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7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r-01" sheetId="1" r:id="rId4"/>
    <sheet name="Fr-02" sheetId="2" r:id="rId5"/>
    <sheet name="Fr-03.1" sheetId="3" r:id="rId6"/>
    <sheet name="Fr-03.2" sheetId="4" r:id="rId7"/>
    <sheet name="Fr-04.1" sheetId="5" r:id="rId8"/>
    <sheet name="Fr-04.2" sheetId="6" r:id="rId9"/>
    <sheet name="Fr-05" sheetId="7" r:id="rId10"/>
    <sheet name="EF TGO AR4" sheetId="8" state="hidden" r:id="rId11"/>
    <sheet name="EF TGO AR5" sheetId="9" r:id="rId12"/>
    <sheet name="บันทึกการปรับปรุง" sheetId="10" r:id="rId13"/>
    <sheet name="1.1 Stationary " sheetId="11" r:id="rId14"/>
    <sheet name="1.2 Mobile" sheetId="12" r:id="rId15"/>
    <sheet name="_DATA_SCOPE11" sheetId="13" state="veryHidden" r:id="rId16"/>
    <sheet name="_FR041_SEL" sheetId="14" state="veryHidden" r:id="rId17"/>
  </sheets>
  <definedNames/>
  <calcPr calcId="999999" calcMode="auto" calcCompleted="1" fullCalcOnLoad="0" forceFullCalc="0"/>
</workbook>
</file>

<file path=xl/comments11.xml><?xml version="1.0" encoding="utf-8"?>
<comments xmlns="http://schemas.openxmlformats.org/spreadsheetml/2006/main">
  <authors>
    <author>Lenovo</author>
  </authors>
  <commentList>
    <comment ref="H2" authorId="0">
      <text>
        <r>
          <rPr>
            <rFont val="Tahoma"/>
            <b val="true"/>
            <i val="false"/>
            <strike val="false"/>
            <color rgb="FF000000"/>
            <sz val="10"/>
            <u val="none"/>
          </rPr>
          <t xml:space="preserve">Lenovo:</t>
        </r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
Density of biodiesel = 0.87 kg/L</t>
        </r>
      </text>
    </comment>
    <comment ref="K2" authorId="0">
      <text>
        <r>
          <rPr>
            <rFont val="Tahoma"/>
            <b val="true"/>
            <i val="false"/>
            <strike val="false"/>
            <color rgb="FF000000"/>
            <sz val="10"/>
            <u val="none"/>
          </rPr>
          <t xml:space="preserve">Lenovo:</t>
        </r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
Density of ethanol = 0.79 kg/L</t>
        </r>
      </text>
    </comment>
  </commentList>
</comments>
</file>

<file path=xl/comments12.xml><?xml version="1.0" encoding="utf-8"?>
<comments xmlns="http://schemas.openxmlformats.org/spreadsheetml/2006/main">
  <authors>
    <author>Lenovo</author>
  </authors>
  <commentList>
    <comment ref="H3" authorId="0">
      <text>
        <r>
          <rPr>
            <rFont val="Tahoma"/>
            <b val="true"/>
            <i val="false"/>
            <strike val="false"/>
            <color rgb="FF000000"/>
            <sz val="10"/>
            <u val="none"/>
          </rPr>
          <t xml:space="preserve">Lenovo:</t>
        </r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
Density of biodiesel = 0.87 kg/L</t>
        </r>
      </text>
    </comment>
    <comment ref="K3" authorId="0">
      <text>
        <r>
          <rPr>
            <rFont val="Tahoma"/>
            <b val="true"/>
            <i val="false"/>
            <strike val="false"/>
            <color rgb="FF000000"/>
            <sz val="10"/>
            <u val="none"/>
          </rPr>
          <t xml:space="preserve">Lenovo:</t>
        </r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
Density of ethanol = 0.79 kg/L</t>
        </r>
      </text>
    </comment>
  </commentList>
</comments>
</file>

<file path=xl/sharedStrings.xml><?xml version="1.0" encoding="utf-8"?>
<sst xmlns="http://schemas.openxmlformats.org/spreadsheetml/2006/main" uniqueCount="363">
  <si>
    <t>รายละเอียดขององค์กร</t>
  </si>
  <si>
    <r>
      <rPr>
        <rFont val="Tahoma"/>
        <b val="true"/>
        <i val="false"/>
        <strike val="false"/>
        <color rgb="FF000000"/>
        <sz val="10"/>
        <u val="none"/>
      </rPr>
      <t xml:space="preserve">TCFO_R_01</t>
    </r>
    <r>
      <rPr>
        <rFont val="Tahoma"/>
        <b val="false"/>
        <i val="false"/>
        <strike val="false"/>
        <color rgb="FF000000"/>
        <sz val="10"/>
        <u val="none"/>
      </rPr>
      <t xml:space="preserve">
Version 04 : 21/2/2020</t>
    </r>
  </si>
  <si>
    <t>ชื่อฟอร์ม</t>
  </si>
  <si>
    <t>บัญชีรายการก๊าซเรือนกระจก</t>
  </si>
  <si>
    <t>องค์กร</t>
  </si>
  <si>
    <t xml:space="preserve">หน้าที่ </t>
  </si>
  <si>
    <t>รหัสฟอร์ม</t>
  </si>
  <si>
    <t>Fr-01</t>
  </si>
  <si>
    <t>ผู้จัดทำ</t>
  </si>
  <si>
    <t>วันที่จัดทำ</t>
  </si>
  <si>
    <t>ชื่อองค์กรที่ขอขึ้นทะเบียน</t>
  </si>
  <si>
    <t>รูปขององค์กร</t>
  </si>
  <si>
    <t xml:space="preserve">ขอบเขตขององค์กร </t>
  </si>
  <si>
    <t xml:space="preserve">ประเภท 1 </t>
  </si>
  <si>
    <t>ประเภท 2</t>
  </si>
  <si>
    <t>ประเภท 3</t>
  </si>
  <si>
    <t>ระยะเวลาเก็บข้อมูล</t>
  </si>
  <si>
    <t xml:space="preserve"> ระบุปีที่เก็บข้อมูล เช่น ม.ค.63-ธ.ค.63</t>
  </si>
  <si>
    <t>ผลผลิต</t>
  </si>
  <si>
    <t>ระบุหน่วย</t>
  </si>
  <si>
    <t>ปีฐาน</t>
  </si>
  <si>
    <t xml:space="preserve"> ระบุปีฐาน เช่น ม.ค.61-ธ.ค.61</t>
  </si>
  <si>
    <t>ผลผลิตปีฐาน</t>
  </si>
  <si>
    <t>ข้อมูลองค์กร</t>
  </si>
  <si>
    <t>สถานที่ติดต่อ</t>
  </si>
  <si>
    <t>วันที่ขอขึ้นทะเบียน</t>
  </si>
  <si>
    <t>การแสดงเครื่องหมาย</t>
  </si>
  <si>
    <t>กราฟแท่งแสดงการปล่อย GHG แต่ละขอบเขต</t>
  </si>
  <si>
    <t>แผนภาพองค์กร</t>
  </si>
  <si>
    <t>Fr-02</t>
  </si>
  <si>
    <t>วันที่</t>
  </si>
  <si>
    <t>แผนภาพแสดงโครงสร้างขององค์กรและหน้าที่ความรับผิดชอบ</t>
  </si>
  <si>
    <t>Fr-03.1</t>
  </si>
  <si>
    <t>จัดทำโดย</t>
  </si>
  <si>
    <t>เสร็จสิ้นวันที่</t>
  </si>
  <si>
    <t>ประเมินความมีนัยสำคัญของการปล่อยก๊าซเรือนกระจกทางอ้อม (SCOPE 3)</t>
  </si>
  <si>
    <t>ประเมินความมีนัยสำคัญ Scope3</t>
  </si>
  <si>
    <t>Fr-03.2</t>
  </si>
  <si>
    <t>คำอธิบาย</t>
  </si>
  <si>
    <t>องค์กรจะต้องคัดเลือกแหล่งปล่อยก๊าซเรือนกระจกทางอ้อม (Scope 3) โดยกำหนดเกณฑ์ในการประเมินความมีนัยสำคัญของการปล่อยก๊าซเรือนกระจกทางอ้อม (Scope 3)</t>
  </si>
  <si>
    <t>ประเด็นที่ต้องพิจารณา</t>
  </si>
  <si>
    <t>Source of GHG</t>
  </si>
  <si>
    <t>องค์กรมีแหล่งปล่อยก๊าซเรือนกระจกนี้หรือไม่</t>
  </si>
  <si>
    <t>ขนาด (Magnitude or Size)</t>
  </si>
  <si>
    <t>เป็นกิจกรรมการปล่อยหรือดูดกลับก๊าซเรือนกระจกทางอ้อมซึ่งถูกสันนิษฐานว่ามีปริมาณการปล่อยหรือดูดกลับก๊าซเรือนกระจกในปริมาณมากอย่างมีนัยสำคัญ</t>
  </si>
  <si>
    <t>ระดับของแรงจูงใจ (Level of influence (Reduction of potential))</t>
  </si>
  <si>
    <t>เป็นกิจกรรมการปล่อยหรือดูดกลับก๊าซเรือนกระจกที่องค์กรมีความสามารถในการตรวจติดตามและลดปริมาณการปล่อยหรือดูดกลับก๊าซเรือนกระจกจากกิจกรรมนั้น(ตัวอย่างเช่นเป็นกิจกรรมที่เกี่ยวข้องกับการประเมินประสิทธิภาพพลังงาน การออกแบบเชิงนิเวศเศรษฐกิจ, เกี่ยวข้องกับข้อตกลงที่มีกับลูกค้า, เกี่ยวข้องกับข้อกำหนดขอบเขตงานจากผู้ว่าจ้าง)</t>
  </si>
  <si>
    <t>ความเสี่ยง หรือ โอกาส Risk or opportunity</t>
  </si>
  <si>
    <t>เป็นกิจกรรมการปล่อยหรือดูดกลับก๊าซเรือนกระจกทางอ้อมซึ่งมีส่วนทำให้องค์กรได้รับความเสี่ยง (ตัวอย่างของความเสี่ยงที่มีความเชื่อมโยงกับการเปลี่ยนแปลงสภาพภูมิอากาศ เช่น ความเสี่ยงทางด้านการเงิน, ความเสี่ยงทางด้านกฎระเบียบข้อบังคับ, ความเสี่ยงตลอดห่วงโซ่อุปทาน, ความเสี่ยงเกี่ยวกับสินค้าและลูกค้า, ความเสี่ยงเกี่ยวกับการดำเนินคดี และ ความเสี่ยงด้านชื่อเสียง) หรือได้รับโอกาสต่างๆ ทางธุรกิจ (เช่น การเข้าสู่ช่องทางตลาดใหม่ การเข้าสู่ระบบธุรกิจในรูปแบบใหม่)</t>
  </si>
  <si>
    <t xml:space="preserve">Sector Guidance </t>
  </si>
  <si>
    <t>เป็นกิจกรรมการปล่อยก๊าซเรือนกระจกที่ถูกถือว่ามีนัยสำคัญสำหรับอุตสาหกรรมที่กำลังพิจารณา ตามที่กำหนดไว้ในคู่มือหรือแนวทางที่เฉพาะเจาะจงสำหรับอุตสาหกรรมนั้น</t>
  </si>
  <si>
    <t>Outsourcing</t>
  </si>
  <si>
    <t>เป็นกิจกรรมการปล่อยและดูดกลับก๊าซเรือนกระจกทางอ้อมที่เกิดจากการจัดจ้างบุคคลหรือหน่วยงานภายนอกเข้ามาดำเนินกิจกรรมที่ถือว่า เป็นกิจกรรมหลักในการดำเนินธุรกิจขององค์กร</t>
  </si>
  <si>
    <t>Employee engagement</t>
  </si>
  <si>
    <t>เป็นกิจกรรมการปล่อยก๊าซเรือนกระจกทางอ้อมที่สามารถส่งเสริมให้เกิดการกระตุ้นให้พนักงานมีส่วนร่วมในการลดการปล่อยก๊าซเรือนกระจก ผ่านการลดการใช้พลังงาน หรือการทำงานร่วมกันเป็นทีมภายใต้หลักคิดที่เกี่ยวข้องกับการเปลี่ยนแปลงสภาพภูมิอากาศ (เช่น การสร้างแรงจูงใจในการอนุรักษ์พลังงาน, การเดินทาง โดยใช้รถร่วมกัน, การประเมินราคาคาร์บอนภายในองค์กร เป็นต้น)</t>
  </si>
  <si>
    <t>ที่มา : หัวข้อที่ 12 ข้อกำหนดในการคำนวณและรายงานคาร์บอนฟุตพริ้นท์ขององค์กร พิมพ์ครั้งที่ 7 (ฉบับปรับปรุงครั้งที่ 5, มกราคม 2564)</t>
  </si>
  <si>
    <t>No</t>
  </si>
  <si>
    <t>Category</t>
  </si>
  <si>
    <t>Magnitude</t>
  </si>
  <si>
    <t>Level of influence (Reduction of potential)</t>
  </si>
  <si>
    <t xml:space="preserve">opportunity or Risk </t>
  </si>
  <si>
    <t>Remark</t>
  </si>
  <si>
    <t>Purchased goods and services</t>
  </si>
  <si>
    <t>P</t>
  </si>
  <si>
    <t>Capital goods</t>
  </si>
  <si>
    <t>Fuel- and energy related activities</t>
  </si>
  <si>
    <t>Upstream transportation and distribution</t>
  </si>
  <si>
    <t>Waste generated in operations</t>
  </si>
  <si>
    <t>Business travel</t>
  </si>
  <si>
    <t>Employee commuting</t>
  </si>
  <si>
    <t>Upstream leased assets</t>
  </si>
  <si>
    <t>Downstream transportation and distribution</t>
  </si>
  <si>
    <t>Processing of sold products</t>
  </si>
  <si>
    <t>Use of sold products</t>
  </si>
  <si>
    <t>End-of-life treatment of sold products</t>
  </si>
  <si>
    <t>Downstream leased assets</t>
  </si>
  <si>
    <t>Franchises</t>
  </si>
  <si>
    <t>Investments</t>
  </si>
  <si>
    <t>อธิบาย หลักเกณฑ์ในการประเมินความมีนัยสำคัญ</t>
  </si>
  <si>
    <t>ปีที่เก็บข้อมูล</t>
  </si>
  <si>
    <t>Fr-04.1</t>
  </si>
  <si>
    <t>ขอบเขต</t>
  </si>
  <si>
    <t>รายการ</t>
  </si>
  <si>
    <t xml:space="preserve">ค่า LCI </t>
  </si>
  <si>
    <t>GHG ที่ต้องรายงานตามข้อกำหนด</t>
  </si>
  <si>
    <t>GHG ที่อยู่นอกข้อกำหนด</t>
  </si>
  <si>
    <t>Total (kgCO2e/หน่วย)</t>
  </si>
  <si>
    <t>ที่มา</t>
  </si>
  <si>
    <t>Subsitute</t>
  </si>
  <si>
    <t>แหล่งอ้างอิง</t>
  </si>
  <si>
    <t>ผลคูณ (Ton GHG)</t>
  </si>
  <si>
    <t>ผลคูณ (TonCO2e)</t>
  </si>
  <si>
    <t>Total GHG</t>
  </si>
  <si>
    <t>สัดส่วน (%)</t>
  </si>
  <si>
    <t>สัดส่วน (%) (SCOPE 1+2)</t>
  </si>
  <si>
    <t>สัดส่วน (%) (SCOPE 1+2+3)</t>
  </si>
  <si>
    <t>คำอธิบายเพิ่มเติม</t>
  </si>
  <si>
    <r>
      <t xml:space="preserve">GWP</t>
    </r>
    <r>
      <rPr>
        <rFont val="Calibri"/>
        <b val="true"/>
        <i val="false"/>
        <vertAlign val="subscript"/>
        <strike val="false"/>
        <color rgb="FFFFFFFF"/>
        <sz val="11"/>
        <u val="none"/>
      </rPr>
      <t xml:space="preserve">100</t>
    </r>
  </si>
  <si>
    <t>1st</t>
  </si>
  <si>
    <t>2nd</t>
  </si>
  <si>
    <t>Other</t>
  </si>
  <si>
    <t>IPCC, AR5</t>
  </si>
  <si>
    <t>ค่า EF (kg GHG/หน่วย)</t>
  </si>
  <si>
    <r>
      <t xml:space="preserve">GWP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100</t>
    </r>
  </si>
  <si>
    <t>Self collct</t>
  </si>
  <si>
    <t>Supplier</t>
  </si>
  <si>
    <t>TH LCI DB</t>
  </si>
  <si>
    <t>TGO EF</t>
  </si>
  <si>
    <t>Thai Res.</t>
  </si>
  <si>
    <t>Int. DB</t>
  </si>
  <si>
    <t xml:space="preserve"> (TonCO2e)</t>
  </si>
  <si>
    <t>CO2</t>
  </si>
  <si>
    <t>หน่วย</t>
  </si>
  <si>
    <t>ปริมาณ</t>
  </si>
  <si>
    <r>
      <t xml:space="preserve">CO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2</t>
    </r>
  </si>
  <si>
    <t xml:space="preserve">Fossil CH4 </t>
  </si>
  <si>
    <r>
      <t xml:space="preserve">CH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4</t>
    </r>
  </si>
  <si>
    <r>
      <t xml:space="preserve">N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2</t>
    </r>
    <r>
      <rPr>
        <rFont val="Tahoma"/>
        <b val="true"/>
        <i val="false"/>
        <strike val="false"/>
        <color rgb="FFFFFFFF"/>
        <sz val="8"/>
        <u val="none"/>
      </rPr>
      <t xml:space="preserve">O</t>
    </r>
  </si>
  <si>
    <r>
      <t xml:space="preserve">SF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6</t>
    </r>
  </si>
  <si>
    <r>
      <t xml:space="preserve">NF</t>
    </r>
    <r>
      <rPr>
        <rFont val="Tahoma"/>
        <b val="true"/>
        <i val="false"/>
        <vertAlign val="subscript"/>
        <strike val="false"/>
        <color rgb="FFFFFFFF"/>
        <sz val="8"/>
        <u val="none"/>
      </rPr>
      <t xml:space="preserve">3</t>
    </r>
  </si>
  <si>
    <t>HFCs</t>
  </si>
  <si>
    <t>PFCs</t>
  </si>
  <si>
    <t>CH4</t>
  </si>
  <si>
    <t>N2O</t>
  </si>
  <si>
    <t>SF6</t>
  </si>
  <si>
    <t>NF3</t>
  </si>
  <si>
    <t>ขอบเขต 1</t>
  </si>
  <si>
    <t>การปล่อย GHG โดยตรงที่ทำการรายงานแยก</t>
  </si>
  <si>
    <t>ขอบเขต 2</t>
  </si>
  <si>
    <t>ขอบเขต 3</t>
  </si>
  <si>
    <t>บัญชีรายการก๊าซเรือนกระจก ปีฐาน (base year)</t>
  </si>
  <si>
    <t>Fr-04.2</t>
  </si>
  <si>
    <t>ระบุความแตกต่างระหว่างการรายงานปริมาณก๊าซเรือนกระจกของปีฐานและปีปัจจุบัน</t>
  </si>
  <si>
    <t>สรุปการปล่อยก๊าซเรือนกระจกขององค์กร</t>
  </si>
  <si>
    <r>
      <rPr>
        <rFont val="Tahoma"/>
        <b val="true"/>
        <i val="false"/>
        <strike val="false"/>
        <color rgb="FF000000"/>
        <sz val="12"/>
        <u val="none"/>
      </rPr>
      <t xml:space="preserve">TCFO_R_01</t>
    </r>
    <r>
      <rPr>
        <rFont val="Tahoma"/>
        <b val="false"/>
        <i val="false"/>
        <strike val="false"/>
        <color rgb="FF000000"/>
        <sz val="11"/>
        <u val="none"/>
      </rPr>
      <t xml:space="preserve">
</t>
    </r>
    <r>
      <rPr>
        <rFont val="Tahoma"/>
        <b val="false"/>
        <i val="false"/>
        <strike val="false"/>
        <color rgb="FF000000"/>
        <sz val="8"/>
        <u val="none"/>
      </rPr>
      <t xml:space="preserve">Version 04 : 21/2/2020</t>
    </r>
  </si>
  <si>
    <t>Fr-05</t>
  </si>
  <si>
    <t>ปีปัจจุบัน</t>
  </si>
  <si>
    <t>การปล่อยก๊าซเรือนกระจกขององค์กร</t>
  </si>
  <si>
    <t>สัดส่วนเมื่อเทียบขอบเขต 1 และ 2</t>
  </si>
  <si>
    <t>สัดส่วนเมื่อเทียบขอบเขต 1, 2 และ 3</t>
  </si>
  <si>
    <t>ประเภท 1</t>
  </si>
  <si>
    <t>อื่น ๆ</t>
  </si>
  <si>
    <t>รวม Scope 1 &amp; 2</t>
  </si>
  <si>
    <t>รวม Scope 1 &amp; 2 &amp; 3</t>
  </si>
  <si>
    <t>Carbon intensity (Scope 1+2)</t>
  </si>
  <si>
    <t>TonCO2eq/</t>
  </si>
  <si>
    <t>Carbon intensity (Scope 1+2+3)</t>
  </si>
  <si>
    <t>เปรียบเทียบ</t>
  </si>
  <si>
    <t>ชื่อ</t>
  </si>
  <si>
    <t>Units</t>
  </si>
  <si>
    <t>EMISSION FACTORS</t>
  </si>
  <si>
    <t>แหล่งอ้างอิงข้อมูล</t>
  </si>
  <si>
    <r>
      <t xml:space="preserve">CO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</si>
  <si>
    <r>
      <t xml:space="preserve">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</t>
    </r>
  </si>
  <si>
    <r>
      <t xml:space="preserve">N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O</t>
    </r>
  </si>
  <si>
    <t>Total</t>
  </si>
  <si>
    <t>IPCC, AR4</t>
  </si>
  <si>
    <r>
      <t xml:space="preserve">[kg CO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/unit]</t>
    </r>
  </si>
  <si>
    <r>
      <t xml:space="preserve">[kg 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</t>
    </r>
    <r>
      <rPr>
        <rFont val="Arial"/>
        <b val="true"/>
        <i val="false"/>
        <strike val="false"/>
        <color rgb="FFFFFFFF"/>
        <sz val="10"/>
        <u val="none"/>
      </rPr>
      <t xml:space="preserve">/unit]</t>
    </r>
  </si>
  <si>
    <r>
      <t xml:space="preserve">[kg N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O/unit]</t>
    </r>
  </si>
  <si>
    <r>
      <t xml:space="preserve">[kg CO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2</t>
    </r>
    <r>
      <rPr>
        <rFont val="Arial"/>
        <b val="true"/>
        <i val="false"/>
        <strike val="false"/>
        <color rgb="FFFFFFFF"/>
        <sz val="10"/>
        <u val="none"/>
      </rPr>
      <t xml:space="preserve">eq/unit]</t>
    </r>
  </si>
  <si>
    <t>Stationary Combustion</t>
  </si>
  <si>
    <t>Natural gas</t>
  </si>
  <si>
    <t>scf</t>
  </si>
  <si>
    <t>IPCC Vol.2 table 2.2, DEDE</t>
  </si>
  <si>
    <t>MJ</t>
  </si>
  <si>
    <t>Lignite</t>
  </si>
  <si>
    <t>kg</t>
  </si>
  <si>
    <t>Fuel oil A</t>
  </si>
  <si>
    <t>litre</t>
  </si>
  <si>
    <t>IPCC Vol.2 table 2.2, PTT</t>
  </si>
  <si>
    <t>PASS: 12345678</t>
  </si>
  <si>
    <t>Fuel oil C</t>
  </si>
  <si>
    <t>Gas/Diesel oil</t>
  </si>
  <si>
    <t>Anthracite</t>
  </si>
  <si>
    <t>Sub-bituminous coal</t>
  </si>
  <si>
    <t>Jet Kerosene</t>
  </si>
  <si>
    <t>LPG</t>
  </si>
  <si>
    <t>IPCC Vol.2 table 2.2, DEDE LPG 1 litre = 0.54 kg</t>
  </si>
  <si>
    <t>Motor gasoline</t>
  </si>
  <si>
    <t>Mobile Combustion (On road)</t>
  </si>
  <si>
    <t xml:space="preserve">Motor Gasoline - uncontrolled </t>
  </si>
  <si>
    <t>IPCC Vol.2 table 3.2.1, 3.2.2, DEDE</t>
  </si>
  <si>
    <t>Motor Gasoline - 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</si>
  <si>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</si>
  <si>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</si>
  <si>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</si>
  <si>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</si>
  <si>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</si>
  <si>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IPCC Vol.2 table 3.2.1, 3.2.2, DEDE LPG 1 litre = 0.54 kg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</si>
  <si>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</si>
  <si>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</si>
  <si>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</si>
  <si>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</si>
  <si>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</si>
  <si>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</si>
  <si>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</si>
  <si>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</si>
  <si>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</si>
  <si>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IPCC</t>
  </si>
  <si>
    <t>DEDE</t>
  </si>
  <si>
    <t>[kg/TJ]</t>
  </si>
  <si>
    <t>[MJ/unit]</t>
  </si>
  <si>
    <t>unit</t>
  </si>
  <si>
    <t>NCV</t>
  </si>
  <si>
    <t>dry basis</t>
  </si>
  <si>
    <t>*ref. from PTT</t>
  </si>
  <si>
    <t>gasoline</t>
  </si>
  <si>
    <t>Motor Gasoline -oxydation catalyst</t>
  </si>
  <si>
    <t xml:space="preserve">Mobile Combustion (Off road) </t>
  </si>
  <si>
    <r>
      <t xml:space="preserve">Fossil 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 </t>
    </r>
  </si>
  <si>
    <r>
      <t xml:space="preserve">CH</t>
    </r>
    <r>
      <rPr>
        <rFont val="Arial"/>
        <b val="true"/>
        <i val="false"/>
        <vertAlign val="subscript"/>
        <strike val="false"/>
        <color rgb="FFFFFFFF"/>
        <sz val="10"/>
        <u val="none"/>
      </rPr>
      <t xml:space="preserve">4 </t>
    </r>
  </si>
  <si>
    <t>FUEL WOOD</t>
  </si>
  <si>
    <t>Bagasse</t>
  </si>
  <si>
    <t xml:space="preserve">Palm kernel shell </t>
  </si>
  <si>
    <t>Cob</t>
  </si>
  <si>
    <t>Biogas</t>
  </si>
  <si>
    <t>m3</t>
  </si>
  <si>
    <t>FUEL WOOD (CO2only)</t>
  </si>
  <si>
    <t>Bagasse (CO2only)</t>
  </si>
  <si>
    <t>Palm kernel shell (CO2only)</t>
  </si>
  <si>
    <t>Cob (CO2only)</t>
  </si>
  <si>
    <t>Biogas (CO2only)</t>
  </si>
  <si>
    <t>Electricity, grid mix (ไฟฟ้า)</t>
  </si>
  <si>
    <t>ไฟฟ้าแบบ grid mix ปี 2016-2018; LCIA
method IPCC 2013 GWP 100a V1.03</t>
  </si>
  <si>
    <t>kWh</t>
  </si>
  <si>
    <t xml:space="preserve"> -</t>
  </si>
  <si>
    <t>Thai National LCI Database,
TIISMTEC-NSTDA, AR5
(with TGO electricity 2016-2018)</t>
  </si>
  <si>
    <t>Refrigerants (สารทำความเย็น)</t>
  </si>
  <si>
    <t>R-22 (HCFC-22)</t>
  </si>
  <si>
    <t>IPCC 2013, AR5</t>
  </si>
  <si>
    <t>R-32</t>
  </si>
  <si>
    <t>R-125</t>
  </si>
  <si>
    <t>R-134</t>
  </si>
  <si>
    <t>R-134a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</si>
  <si>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</si>
  <si>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</si>
  <si>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</si>
  <si>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</si>
  <si>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Residual fuel oil (Fuel oil A)</t>
  </si>
  <si>
    <t>Residual fuel oil (Fuel oil C)</t>
  </si>
  <si>
    <t>Wood / Wood Waste (FUEL WOOD)</t>
  </si>
  <si>
    <t>Other Primary Solid
Biomass</t>
  </si>
  <si>
    <r>
      <t xml:space="preserve">m</t>
    </r>
    <r>
      <rPr>
        <rFont val="Calibri"/>
        <b val="false"/>
        <i val="false"/>
        <vertAlign val="superscript"/>
        <strike val="false"/>
        <color rgb="FF000000"/>
        <sz val="11"/>
        <u val="none"/>
      </rPr>
      <t xml:space="preserve">3</t>
    </r>
  </si>
  <si>
    <t>บันทึกการแก้ไข</t>
  </si>
  <si>
    <t>ลำดับ</t>
  </si>
  <si>
    <t>Sheet</t>
  </si>
  <si>
    <t>Cell</t>
  </si>
  <si>
    <t>รายละเอียด</t>
  </si>
  <si>
    <t>ผู้ทำการแก้ไข</t>
  </si>
  <si>
    <t>Fr-04</t>
  </si>
  <si>
    <t>AM,AN,AO</t>
  </si>
  <si>
    <t>เพิ่มการคำนวณสัดส่วน (%)</t>
  </si>
  <si>
    <t>มนต์ชัย จิตติปัญญากุล</t>
  </si>
  <si>
    <t>C10-C13</t>
  </si>
  <si>
    <t>ลบสูตร Round up</t>
  </si>
  <si>
    <t>B15</t>
  </si>
  <si>
    <t>เพิ่มการคำนวณรวม Scope 1 &amp; 2 &amp; 3</t>
  </si>
  <si>
    <t>TGO_EF</t>
  </si>
  <si>
    <t>เพิ่ม EF  Gasoline Stationary Combustion</t>
  </si>
  <si>
    <t>เพิ่ม Sheet EF TGO AR5</t>
  </si>
  <si>
    <t>แก้ไขสูตรการคำนวณให้ใช้ GWP AR5</t>
  </si>
  <si>
    <t>ใส่สูตร Roundup ในแต่ละ SCOPE</t>
  </si>
  <si>
    <t>เพิ่ม EF  ไฟฟ้า และสารทำความเย็น</t>
  </si>
  <si>
    <t>Fr-01 Fr-05</t>
  </si>
  <si>
    <t>เพิ่ม การคำนวณ Carbon Intensity</t>
  </si>
  <si>
    <t>Fr-01, Fr-04.2, Fr-05</t>
  </si>
  <si>
    <t>เพิ่ม การคำนวณปีฐาน</t>
  </si>
  <si>
    <t>EF TGO AR5</t>
  </si>
  <si>
    <t>เพิ่ม EF Biomass</t>
  </si>
  <si>
    <t xml:space="preserve">Fr-03.2 </t>
  </si>
  <si>
    <t>เพิ่ม Fr-03.2 ประเมินความมีนัยสำคัญของการปล่อยก๊าซเรือนกระจกทางอ้อม (SCOPE 3)</t>
  </si>
  <si>
    <t>เพิ่มค่า GWP Fossil CH4 และแก้ไขการคำนวณ EF การเผาไหม้เชื้อเพลิงฟอสซิล</t>
  </si>
  <si>
    <t>เพิ่มค่า GWP Fossil CH4 และแก้ไขการคำนวณ Total (kgCO2e/หน่วย)</t>
  </si>
  <si>
    <t>เพิ่มคอลัมน์ Fossil CH4</t>
  </si>
  <si>
    <t>Stationary combustion</t>
  </si>
  <si>
    <t>ชนิด</t>
  </si>
  <si>
    <t>หลักฐาน</t>
  </si>
  <si>
    <t>ปริมาณน้ำมัน</t>
  </si>
  <si>
    <t>Diesel  (Stationary combustion)</t>
  </si>
  <si>
    <t>Biodiesel (Stationary combustion)</t>
  </si>
  <si>
    <t>Gasoline  (Stationary combustion)</t>
  </si>
  <si>
    <t>Ethanol  (Stationary combustion)</t>
  </si>
  <si>
    <t>L</t>
  </si>
  <si>
    <t>B7</t>
  </si>
  <si>
    <t>91/95</t>
  </si>
  <si>
    <t xml:space="preserve">หน่วย </t>
  </si>
  <si>
    <t>รวม</t>
  </si>
  <si>
    <t>ปริมาณการใช้แต่ละเดือน/2566</t>
  </si>
  <si>
    <t xml:space="preserve">น้ำมัน Diesel B7 (Fire Pump) </t>
  </si>
  <si>
    <t>น้ำมัน Gasohol 91/95 (เครื่องตัดหญ้า)</t>
  </si>
  <si>
    <t>Acetylene Gas (ซ่อมบำรุง)</t>
  </si>
  <si>
    <t>ใบกำกับภาษี</t>
  </si>
  <si>
    <t>Acetylene gas (5 kg) ในงานการซ่อมบำรุง 2</t>
  </si>
  <si>
    <t>Acetylene gas (5 kg) ในงานการซ่อมบำรุง 3</t>
  </si>
  <si>
    <t>Kg</t>
  </si>
  <si>
    <t>Mobile combustion</t>
  </si>
  <si>
    <t>สรุปรายการน้ำมัน</t>
  </si>
  <si>
    <t>Biodiesel</t>
  </si>
  <si>
    <t>Gasoline</t>
  </si>
  <si>
    <t>Ethanol</t>
  </si>
  <si>
    <t>B10</t>
  </si>
  <si>
    <t>E20</t>
  </si>
  <si>
    <t>Location</t>
  </si>
  <si>
    <t>น้ำมัน Diesel B7  ที่ใช้ในรถยนต์ขององค์กร</t>
  </si>
  <si>
    <t>ใบกำกับภาษี /Fleet Card Report</t>
  </si>
  <si>
    <t>น้ำมัน Diesel B10  ที่ใช้ในรถยนต์ขององค์กร</t>
  </si>
  <si>
    <t xml:space="preserve">1. จก 8296 ชบ                       </t>
  </si>
  <si>
    <t>LCB</t>
  </si>
  <si>
    <t>ใบแจ้งหนี้ / Fleet Card Report</t>
  </si>
  <si>
    <t xml:space="preserve"> L</t>
  </si>
  <si>
    <t xml:space="preserve">2. จก 8297 ชบ                   </t>
  </si>
  <si>
    <t xml:space="preserve">3. นง 1084 ชบ. </t>
  </si>
  <si>
    <t xml:space="preserve">4. ผล 4837 ชบ.       </t>
  </si>
  <si>
    <t xml:space="preserve">5. ฒอ 2780 กทม.   </t>
  </si>
  <si>
    <t xml:space="preserve">6. 6กข-9968 กทม      </t>
  </si>
  <si>
    <t>BKK</t>
  </si>
  <si>
    <t xml:space="preserve">7. ฮฐ-7884 กทม      </t>
  </si>
  <si>
    <t xml:space="preserve">8. 2ฒค-421 กทม  </t>
  </si>
  <si>
    <t xml:space="preserve">9. 1ฒณ-8874 กทม  </t>
  </si>
  <si>
    <t>10. ฮฐ 7884 กทม</t>
  </si>
  <si>
    <t>ใบกำกับภาษี / ใบเสร็จรับเงิน</t>
  </si>
  <si>
    <t>11. ฒอ 2780 กทม.</t>
  </si>
  <si>
    <t>12. จก 8296 ชลบุรี</t>
  </si>
  <si>
    <t>13. รถบรรทุก ทะเบียน 84-1022</t>
  </si>
  <si>
    <t>fleet card</t>
  </si>
  <si>
    <t>14. รถบรรทุก ทะเบียน 86-8438</t>
  </si>
  <si>
    <t xml:space="preserve">น้ำมัน Gasohol 91/95 ที่ใช้ในรถยนต์ขององค์กร </t>
  </si>
  <si>
    <t xml:space="preserve">น้ำมัน Gasohol E20 ที่ใช้ในรถยนต์ขององค์กร </t>
  </si>
  <si>
    <t xml:space="preserve">1. 5กว-3489 กทม.          </t>
  </si>
  <si>
    <t xml:space="preserve">2. ญล 8398 กทม.         </t>
  </si>
  <si>
    <t xml:space="preserve">3. 6กฉ-3489 กทม       </t>
  </si>
  <si>
    <t xml:space="preserve">4. 5กม-3489 กทม   </t>
  </si>
  <si>
    <t xml:space="preserve">5. ฮต-6531 กทม.   </t>
  </si>
  <si>
    <t xml:space="preserve">6. 4 กฬ-8072 กทม.    </t>
  </si>
  <si>
    <t>น้ำมัน Diesel B7 ที่ใช้ใน Forklift</t>
  </si>
  <si>
    <t>Fleet card</t>
  </si>
  <si>
    <t>3. รถโฟล์คลิฟท์ 3 คัน</t>
  </si>
  <si>
    <t>RowId</t>
  </si>
  <si>
    <t>ItemLabel</t>
  </si>
  <si>
    <t>FuelType</t>
  </si>
  <si>
    <t>Evidence</t>
  </si>
  <si>
    <t>Unit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</si>
  <si>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</si>
  <si>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</si>
  <si>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</si>
  <si>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</si>
  <si>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</si>
  <si>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</si>
  <si>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</si>
  <si>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</si>
  <si>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</si>
  <si>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</si>
  <si>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</si>
  <si>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</si>
  <si>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OtherDieselPct</t>
  </si>
  <si>
    <t>OtherBiodieselPct</t>
  </si>
  <si>
    <t>OtherGasolinePct</t>
  </si>
  <si>
    <t>OtherEthanolPct</t>
  </si>
  <si>
    <t>OtherBiodieselDensityKgPerL</t>
  </si>
  <si>
    <t>OtherEthanolDensityKgPerL</t>
  </si>
  <si>
    <t>IncludeFR041</t>
  </si>
  <si>
    <t>Include</t>
  </si>
</sst>
</file>

<file path=xl/styles.xml><?xml version="1.0" encoding="utf-8"?>
<styleSheet xmlns="http://schemas.openxmlformats.org/spreadsheetml/2006/main">
  <numFmts count="10">
    <numFmt numFmtId="164" formatCode="_(* #,##0.0000_);_(* \(#,##0.0000\);_(* &quot;-&quot;??_);_(@_)"/>
    <numFmt numFmtId="165" formatCode="_(* #,##0.00_);_(* \(#,##0.00\);_(* &quot;-&quot;??_);_(@_)"/>
    <numFmt numFmtId="166" formatCode="_(* #,##0_);_(* \(#,##0\);_(* &quot;-&quot;??_);_(@_)"/>
    <numFmt numFmtId="167" formatCode="_-* #,##0.0000_-;\-* #,##0.0000_-;_-* &quot;-&quot;??_-;_-@_-"/>
    <numFmt numFmtId="168" formatCode="0.000000"/>
    <numFmt numFmtId="169" formatCode="0.0000"/>
    <numFmt numFmtId="170" formatCode="_(* #,##0.000000_);_(* \(#,##0.000000\);_(* &quot;-&quot;??_);_(@_)"/>
    <numFmt numFmtId="171" formatCode="_-* #,##0.00_-;\-* #,##0.00_-;_-* &quot;-&quot;??_-;_-@_-"/>
    <numFmt numFmtId="172" formatCode="_-* #,##0.00_-;\-* #,##0.00_-;_-* &quot;-&quot;??_-;_-@"/>
    <numFmt numFmtId="173" formatCode="0.000"/>
  </numFmts>
  <fonts count="53">
    <font>
      <b val="0"/>
      <i val="0"/>
      <strike val="0"/>
      <u val="none"/>
      <sz val="11"/>
      <color theme="1"/>
      <name val="Calibri"/>
      <charset val="222"/>
      <scheme val="minor"/>
    </font>
    <font>
      <b val="1"/>
      <i val="0"/>
      <strike val="0"/>
      <u val="none"/>
      <sz val="10"/>
      <color rgb="FF000000"/>
      <name val="Tahoma"/>
    </font>
    <font>
      <b val="1"/>
      <i val="0"/>
      <strike val="0"/>
      <u val="none"/>
      <sz val="8"/>
      <color theme="0"/>
      <name val="Tahoma"/>
    </font>
    <font>
      <b val="1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FF0000"/>
      <name val="Tahoma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theme="0"/>
      <name val="Tahoma"/>
    </font>
    <font>
      <b val="0"/>
      <i val="0"/>
      <strike val="0"/>
      <u val="none"/>
      <sz val="8"/>
      <color theme="1"/>
      <name val="Tahoma"/>
    </font>
    <font>
      <b val="0"/>
      <i val="0"/>
      <strike val="0"/>
      <u val="none"/>
      <sz val="8"/>
      <color theme="1"/>
      <name val="Calibri"/>
      <charset val="222"/>
      <scheme val="minor"/>
    </font>
    <font>
      <b val="1"/>
      <i val="0"/>
      <strike val="0"/>
      <u val="single"/>
      <sz val="8"/>
      <color rgb="FF000000"/>
      <name val="Tahoma"/>
    </font>
    <font>
      <b val="1"/>
      <i val="0"/>
      <strike val="0"/>
      <u val="none"/>
      <sz val="10"/>
      <color theme="0"/>
      <name val="Tahoma"/>
    </font>
    <font>
      <b val="0"/>
      <i val="0"/>
      <strike val="0"/>
      <u val="none"/>
      <sz val="14"/>
      <color theme="1"/>
      <name val="FreesiaUPC"/>
    </font>
    <font>
      <b val="1"/>
      <i val="0"/>
      <strike val="0"/>
      <u val="none"/>
      <sz val="9"/>
      <color rgb="FF000000"/>
      <name val="Tahoma"/>
    </font>
    <font>
      <b val="0"/>
      <i val="1"/>
      <strike val="0"/>
      <u val="none"/>
      <sz val="9"/>
      <color rgb="FF0000FF"/>
      <name val="Tahoma"/>
    </font>
    <font>
      <b val="1"/>
      <i val="1"/>
      <strike val="0"/>
      <u val="none"/>
      <sz val="9"/>
      <color theme="0"/>
      <name val="Tahoma"/>
    </font>
    <font>
      <b val="0"/>
      <i val="0"/>
      <strike val="0"/>
      <u val="none"/>
      <sz val="10"/>
      <color theme="0"/>
      <name val="Tahoma"/>
    </font>
    <font>
      <b val="1"/>
      <i val="0"/>
      <strike val="0"/>
      <u val="none"/>
      <sz val="10"/>
      <color theme="1"/>
      <name val="Tahoma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Tahoma"/>
    </font>
    <font>
      <b val="0"/>
      <i val="0"/>
      <strike val="0"/>
      <u val="none"/>
      <sz val="11"/>
      <color rgb="FF000000"/>
      <name val="Calibri"/>
      <charset val="222"/>
      <scheme val="minor"/>
    </font>
    <font>
      <b val="1"/>
      <i val="0"/>
      <strike val="0"/>
      <u val="none"/>
      <sz val="11"/>
      <color rgb="FF000000"/>
      <name val="Calibri"/>
      <charset val="222"/>
      <scheme val="minor"/>
    </font>
    <font>
      <b val="1"/>
      <i val="0"/>
      <strike val="0"/>
      <u val="none"/>
      <sz val="11"/>
      <color theme="0"/>
      <name val="Calibri"/>
      <charset val="222"/>
      <scheme val="minor"/>
    </font>
    <font>
      <b val="1"/>
      <i val="0"/>
      <strike val="0"/>
      <u val="none"/>
      <sz val="10"/>
      <color theme="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theme="0"/>
      <name val="Arial"/>
    </font>
    <font>
      <b val="1"/>
      <i val="0"/>
      <strike val="0"/>
      <u val="none"/>
      <sz val="9"/>
      <color theme="0"/>
      <name val="Tahoma"/>
    </font>
    <font>
      <b val="1"/>
      <i val="1"/>
      <strike val="0"/>
      <u val="none"/>
      <sz val="8"/>
      <color rgb="FF3333FF"/>
      <name val="Tahoma"/>
    </font>
    <font>
      <b val="0"/>
      <i val="0"/>
      <strike val="0"/>
      <u val="none"/>
      <sz val="10"/>
      <color theme="1"/>
      <name val="Tahoma"/>
    </font>
    <font>
      <b val="0"/>
      <i val="0"/>
      <strike val="0"/>
      <u val="single"/>
      <sz val="11"/>
      <color theme="10"/>
      <name val="Calibri"/>
      <charset val="222"/>
      <scheme val="minor"/>
    </font>
    <font>
      <b val="0"/>
      <i val="0"/>
      <strike val="0"/>
      <u val="none"/>
      <sz val="10"/>
      <color rgb="FF0070C0"/>
      <name val="Tahoma"/>
    </font>
    <font>
      <b val="0"/>
      <i val="1"/>
      <strike val="0"/>
      <u val="none"/>
      <sz val="10"/>
      <color rgb="FF0000FF"/>
      <name val="Tahoma"/>
    </font>
    <font>
      <b val="0"/>
      <i val="0"/>
      <strike val="0"/>
      <u val="none"/>
      <sz val="11"/>
      <color theme="1"/>
      <name val="Tahoma"/>
    </font>
    <font>
      <b val="1"/>
      <i val="0"/>
      <strike val="0"/>
      <u val="none"/>
      <sz val="10"/>
      <color rgb="FF0070C0"/>
      <name val="Tahoma"/>
    </font>
    <font>
      <b val="0"/>
      <i val="0"/>
      <strike val="0"/>
      <u val="none"/>
      <sz val="10"/>
      <color theme="1"/>
      <name val="Wingdings 2"/>
      <charset val="2"/>
    </font>
    <font>
      <b val="1"/>
      <i val="0"/>
      <strike val="0"/>
      <u val="none"/>
      <sz val="14"/>
      <color rgb="FF000000"/>
      <name val="Tahoma"/>
    </font>
    <font>
      <b val="0"/>
      <i val="0"/>
      <strike val="0"/>
      <u val="none"/>
      <sz val="10"/>
      <color theme="1"/>
      <name val="Arial"/>
    </font>
    <font>
      <b val="1"/>
      <i val="1"/>
      <strike val="0"/>
      <u val="none"/>
      <sz val="10"/>
      <color rgb="FF0000FF"/>
      <name val="Tahoma"/>
    </font>
    <font>
      <b val="1"/>
      <i val="0"/>
      <strike val="0"/>
      <u val="none"/>
      <sz val="10"/>
      <color rgb="FF3333FF"/>
      <name val="Tahoma"/>
    </font>
    <font>
      <b val="0"/>
      <i val="0"/>
      <strike val="0"/>
      <u val="none"/>
      <sz val="10"/>
      <color rgb="FFD9D9D9"/>
      <name val="Tahoma"/>
    </font>
    <font>
      <b val="1"/>
      <i val="0"/>
      <strike val="0"/>
      <u val="none"/>
      <sz val="10"/>
      <color rgb="FFFFFF00"/>
      <name val="Tahoma"/>
    </font>
    <font>
      <b val="1"/>
      <i val="0"/>
      <strike val="0"/>
      <u val="none"/>
      <sz val="10"/>
      <color rgb="FFFFFF00"/>
      <name val="Arial"/>
    </font>
    <font>
      <b val="1"/>
      <i val="0"/>
      <strike val="0"/>
      <u val="none"/>
      <sz val="16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18"/>
      <color rgb="FF000000"/>
      <name val="Tahoma"/>
    </font>
    <font>
      <b val="1"/>
      <i val="1"/>
      <strike val="0"/>
      <u val="none"/>
      <sz val="10"/>
      <color rgb="FF558ED5"/>
      <name val="Tahoma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8"/>
      <color rgb="FF000000"/>
      <name val="Tahoma"/>
    </font>
    <font>
      <b val="0"/>
      <i val="0"/>
      <strike val="0"/>
      <u val="none"/>
      <sz val="11"/>
      <color theme="0"/>
      <name val="Calibri"/>
      <charset val="222"/>
      <scheme val="minor"/>
    </font>
    <font>
      <b val="1"/>
      <i val="0"/>
      <strike val="0"/>
      <u val="single"/>
      <sz val="10"/>
      <color theme="1"/>
      <name val="Tahoma"/>
    </font>
    <font>
      <b val="1"/>
      <i val="0"/>
      <strike val="0"/>
      <u val="singleAccounting"/>
      <sz val="10"/>
      <color theme="1"/>
      <name val="Tahoma"/>
    </font>
    <font>
      <b val="0"/>
      <i val="0"/>
      <strike val="0"/>
      <u val="none"/>
      <sz val="11"/>
      <color theme="1"/>
      <name val="Tahoma"/>
      <scheme val="minor"/>
    </font>
    <font>
      <b val="0"/>
      <i val="0"/>
      <strike val="0"/>
      <u val="none"/>
      <sz val="10"/>
      <color rgb="FFFF0000"/>
      <name val="Tahoma"/>
    </font>
  </fonts>
  <fills count="41">
    <fill>
      <patternFill patternType="none"/>
    </fill>
    <fill>
      <patternFill patternType="gray125"/>
    </fill>
    <fill>
      <patternFill patternType="solid">
        <fgColor rgb="FF4B462A"/>
        <bgColor rgb="FFFFFFFF"/>
      </patternFill>
    </fill>
    <fill>
      <patternFill patternType="solid">
        <fgColor rgb="FF77943C"/>
        <bgColor rgb="FFFFFFFF"/>
      </patternFill>
    </fill>
    <fill>
      <patternFill patternType="solid">
        <fgColor rgb="FF953735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EBF1DE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DBE5F2"/>
        <bgColor rgb="FFFFFFFF"/>
      </patternFill>
    </fill>
    <fill>
      <patternFill patternType="solid">
        <fgColor rgb="FFDBEFF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254061"/>
        <bgColor rgb="FFFFFFFF"/>
      </patternFill>
    </fill>
    <fill>
      <patternFill patternType="solid">
        <fgColor rgb="FF595959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A8D08D"/>
        <bgColor rgb="FFFFFFFF"/>
      </patternFill>
    </fill>
    <fill>
      <patternFill patternType="solid">
        <fgColor rgb="FFF4B083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E2EFD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376093"/>
        <bgColor rgb="FFFFFFFF"/>
      </patternFill>
    </fill>
    <fill>
      <patternFill patternType="solid">
        <fgColor rgb="FF31869B"/>
        <bgColor rgb="FFFFFFFF"/>
      </patternFill>
    </fill>
    <fill>
      <patternFill patternType="solid">
        <fgColor rgb="FF5F497A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2DBDB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B6DEE8"/>
        <bgColor rgb="FFFFFFFF"/>
      </patternFill>
    </fill>
    <fill>
      <patternFill patternType="solid">
        <fgColor rgb="FFD9D9D9"/>
        <bgColor rgb="FFFEF2CB"/>
      </patternFill>
    </fill>
    <fill>
      <patternFill patternType="solid">
        <fgColor rgb="FFFDEADA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93CEDD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E6B9B8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754">
    <xf xfId="0" fontId="0" numFmtId="0" fillId="0" borderId="0" applyFont="0" applyNumberFormat="0" applyFill="0" applyBorder="0" applyAlignment="0"/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3" applyFont="1" applyNumberFormat="1" applyFill="1" applyBorder="1" applyAlignment="1">
      <alignment horizontal="center" vertical="center" textRotation="0" wrapText="false" shrinkToFit="false"/>
    </xf>
    <xf xfId="0" fontId="2" numFmtId="0" fillId="4" borderId="4" applyFont="1" applyNumberFormat="0" applyFill="1" applyBorder="1" applyAlignment="1">
      <alignment horizontal="center" vertical="center" textRotation="0" wrapText="true" shrinkToFit="false"/>
    </xf>
    <xf xfId="0" fontId="2" numFmtId="0" fillId="4" borderId="5" applyFont="1" applyNumberFormat="0" applyFill="1" applyBorder="1" applyAlignment="1">
      <alignment horizontal="center" vertical="center" textRotation="0" wrapText="true" shrinkToFit="false"/>
    </xf>
    <xf xfId="0" fontId="2" numFmtId="0" fillId="4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3" numFmtId="0" fillId="0" borderId="10" applyFont="1" applyNumberFormat="0" applyFill="0" applyBorder="1" applyAlignment="0"/>
    <xf xfId="0" fontId="4" numFmtId="0" fillId="0" borderId="10" applyFont="1" applyNumberFormat="0" applyFill="0" applyBorder="1" applyAlignment="1">
      <alignment horizontal="center" vertical="bottom" textRotation="0" wrapText="false" shrinkToFit="false"/>
    </xf>
    <xf xfId="0" fontId="4" numFmtId="165" fillId="0" borderId="11" applyFont="1" applyNumberFormat="1" applyFill="0" applyBorder="1" applyAlignment="0"/>
    <xf xfId="0" fontId="4" numFmtId="164" fillId="0" borderId="11" applyFont="1" applyNumberFormat="1" applyFill="0" applyBorder="1" applyAlignment="0"/>
    <xf xfId="0" fontId="4" numFmtId="164" fillId="0" borderId="0" applyFont="1" applyNumberFormat="1" applyFill="0" applyBorder="0" applyAlignment="0"/>
    <xf xfId="0" fontId="4" numFmtId="164" fillId="0" borderId="10" applyFont="1" applyNumberFormat="1" applyFill="0" applyBorder="1" applyAlignment="0"/>
    <xf xfId="0" fontId="4" numFmtId="164" fillId="5" borderId="11" applyFont="1" applyNumberFormat="1" applyFill="1" applyBorder="1" applyAlignment="0"/>
    <xf xfId="0" fontId="4" numFmtId="164" fillId="5" borderId="0" applyFont="1" applyNumberFormat="1" applyFill="1" applyBorder="0" applyAlignment="0"/>
    <xf xfId="0" fontId="4" numFmtId="164" fillId="6" borderId="1" applyFont="1" applyNumberFormat="1" applyFill="1" applyBorder="1" applyAlignment="0"/>
    <xf xfId="0" fontId="4" numFmtId="165" fillId="6" borderId="11" applyFont="1" applyNumberFormat="1" applyFill="1" applyBorder="1" applyAlignment="0"/>
    <xf xfId="0" fontId="4" numFmtId="165" fillId="5" borderId="11" applyFont="1" applyNumberFormat="1" applyFill="1" applyBorder="1" applyAlignment="0"/>
    <xf xfId="0" fontId="4" numFmtId="0" fillId="0" borderId="1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165" fillId="0" borderId="12" applyFont="1" applyNumberFormat="1" applyFill="0" applyBorder="1" applyAlignment="0"/>
    <xf xfId="0" fontId="4" numFmtId="164" fillId="0" borderId="12" applyFont="1" applyNumberFormat="1" applyFill="0" applyBorder="1" applyAlignment="0"/>
    <xf xfId="0" fontId="4" numFmtId="164" fillId="5" borderId="12" applyFont="1" applyNumberFormat="1" applyFill="1" applyBorder="1" applyAlignment="0"/>
    <xf xfId="0" fontId="5" numFmtId="165" fillId="0" borderId="1" applyFont="1" applyNumberFormat="1" applyFill="0" applyBorder="1" applyAlignment="0"/>
    <xf xfId="0" fontId="6" numFmtId="164" fillId="0" borderId="0" applyFont="1" applyNumberFormat="1" applyFill="0" applyBorder="0" applyAlignment="0"/>
    <xf xfId="0" fontId="5" numFmtId="165" fillId="0" borderId="1" applyFont="1" applyNumberFormat="1" applyFill="0" applyBorder="1" applyAlignment="0"/>
    <xf xfId="0" fontId="4" numFmtId="165" fillId="0" borderId="12" applyFont="1" applyNumberFormat="1" applyFill="0" applyBorder="1" applyAlignment="1">
      <alignment vertical="center" textRotation="0" wrapText="true" shrinkToFit="false"/>
    </xf>
    <xf xfId="0" fontId="4" numFmtId="164" fillId="5" borderId="10" applyFont="1" applyNumberFormat="1" applyFill="1" applyBorder="1" applyAlignment="0"/>
    <xf xfId="0" fontId="5" numFmtId="0" fillId="0" borderId="1" applyFont="1" applyNumberFormat="0" applyFill="0" applyBorder="1" applyAlignment="0"/>
    <xf xfId="0" fontId="4" numFmtId="165" fillId="0" borderId="13" applyFont="1" applyNumberFormat="1" applyFill="0" applyBorder="1" applyAlignment="1">
      <alignment vertical="center" textRotation="0" wrapText="true" shrinkToFit="false"/>
    </xf>
    <xf xfId="0" fontId="4" numFmtId="164" fillId="0" borderId="13" applyFont="1" applyNumberFormat="1" applyFill="0" applyBorder="1" applyAlignment="0"/>
    <xf xfId="0" fontId="4" numFmtId="164" fillId="0" borderId="8" applyFont="1" applyNumberFormat="1" applyFill="0" applyBorder="1" applyAlignment="0"/>
    <xf xfId="0" fontId="4" numFmtId="0" fillId="7" borderId="14" applyFont="1" applyNumberFormat="0" applyFill="1" applyBorder="1" applyAlignment="0"/>
    <xf xfId="0" fontId="3" numFmtId="0" fillId="7" borderId="1" applyFont="1" applyNumberFormat="0" applyFill="1" applyBorder="1" applyAlignment="1">
      <alignment horizontal="center" vertical="bottom" textRotation="0" wrapText="false" shrinkToFit="false"/>
    </xf>
    <xf xfId="0" fontId="4" numFmtId="165" fillId="7" borderId="15" applyFont="1" applyNumberFormat="1" applyFill="1" applyBorder="1" applyAlignment="0"/>
    <xf xfId="0" fontId="2" numFmtId="165" fillId="7" borderId="11" applyFont="1" applyNumberFormat="1" applyFill="1" applyBorder="1" applyAlignment="0"/>
    <xf xfId="0" fontId="7" numFmtId="165" fillId="7" borderId="1" applyFont="1" applyNumberFormat="1" applyFill="1" applyBorder="1" applyAlignment="0"/>
    <xf xfId="0" fontId="4" numFmtId="0" fillId="0" borderId="11" applyFont="1" applyNumberFormat="0" applyFill="0" applyBorder="1" applyAlignment="0"/>
    <xf xfId="0" fontId="8" numFmtId="0" fillId="0" borderId="11" applyFont="1" applyNumberFormat="0" applyFill="0" applyBorder="1" applyAlignment="1">
      <alignment horizontal="center" vertical="bottom" textRotation="0" wrapText="false" shrinkToFit="false"/>
    </xf>
    <xf xfId="0" fontId="9" numFmtId="165" fillId="0" borderId="11" applyFont="1" applyNumberFormat="1" applyFill="0" applyBorder="1" applyAlignment="0"/>
    <xf xfId="0" fontId="4" numFmtId="164" fillId="5" borderId="16" applyFont="1" applyNumberFormat="1" applyFill="1" applyBorder="1" applyAlignment="0"/>
    <xf xfId="0" fontId="4" numFmtId="164" fillId="5" borderId="17" applyFont="1" applyNumberFormat="1" applyFill="1" applyBorder="1" applyAlignment="0"/>
    <xf xfId="0" fontId="4" numFmtId="164" fillId="5" borderId="15" applyFont="1" applyNumberFormat="1" applyFill="1" applyBorder="1" applyAlignment="0"/>
    <xf xfId="0" fontId="4" numFmtId="165" fillId="5" borderId="16" applyFont="1" applyNumberFormat="1" applyFill="1" applyBorder="1" applyAlignment="0"/>
    <xf xfId="0" fontId="4" numFmtId="165" fillId="5" borderId="17" applyFont="1" applyNumberFormat="1" applyFill="1" applyBorder="1" applyAlignment="0"/>
    <xf xfId="0" fontId="4" numFmtId="0" fillId="0" borderId="12" applyFont="1" applyNumberFormat="0" applyFill="0" applyBorder="1" applyAlignment="0"/>
    <xf xfId="0" fontId="8" numFmtId="0" fillId="0" borderId="12" applyFont="1" applyNumberFormat="0" applyFill="0" applyBorder="1" applyAlignment="1">
      <alignment horizontal="center" vertical="bottom" textRotation="0" wrapText="false" shrinkToFit="false"/>
    </xf>
    <xf xfId="0" fontId="9" numFmtId="165" fillId="0" borderId="12" applyFont="1" applyNumberFormat="1" applyFill="0" applyBorder="1" applyAlignment="0"/>
    <xf xfId="0" fontId="4" numFmtId="164" fillId="5" borderId="18" applyFont="1" applyNumberFormat="1" applyFill="1" applyBorder="1" applyAlignment="0"/>
    <xf xfId="0" fontId="4" numFmtId="165" fillId="5" borderId="10" applyFont="1" applyNumberFormat="1" applyFill="1" applyBorder="1" applyAlignment="0"/>
    <xf xfId="0" fontId="4" numFmtId="165" fillId="5" borderId="0" applyFont="1" applyNumberFormat="1" applyFill="1" applyBorder="0" applyAlignment="0"/>
    <xf xfId="0" fontId="5" numFmtId="165" fillId="0" borderId="19" applyFont="1" applyNumberFormat="1" applyFill="0" applyBorder="1" applyAlignment="0"/>
    <xf xfId="0" fontId="9" numFmtId="0" fillId="0" borderId="12" applyFont="1" applyNumberFormat="0" applyFill="0" applyBorder="1" applyAlignment="1">
      <alignment horizontal="center" vertical="bottom" textRotation="0" wrapText="false" shrinkToFit="false"/>
    </xf>
    <xf xfId="0" fontId="9" numFmtId="165" fillId="0" borderId="10" applyFont="1" applyNumberFormat="1" applyFill="0" applyBorder="1" applyAlignment="0"/>
    <xf xfId="0" fontId="9" numFmtId="165" fillId="5" borderId="0" applyFont="1" applyNumberFormat="1" applyFill="1" applyBorder="0" applyAlignment="0"/>
    <xf xfId="0" fontId="4" numFmtId="0" fillId="0" borderId="19" applyFont="1" applyNumberFormat="0" applyFill="0" applyBorder="1" applyAlignment="0"/>
    <xf xfId="0" fontId="6" numFmtId="164" fillId="0" borderId="0" applyFont="1" applyNumberFormat="1" applyFill="0" applyBorder="0" applyAlignment="0"/>
    <xf xfId="0" fontId="4" numFmtId="164" fillId="5" borderId="8" applyFont="1" applyNumberFormat="1" applyFill="1" applyBorder="1" applyAlignment="0"/>
    <xf xfId="0" fontId="4" numFmtId="164" fillId="5" borderId="6" applyFont="1" applyNumberFormat="1" applyFill="1" applyBorder="1" applyAlignment="0"/>
    <xf xfId="0" fontId="9" numFmtId="165" fillId="5" borderId="6" applyFont="1" applyNumberFormat="1" applyFill="1" applyBorder="1" applyAlignment="0"/>
    <xf xfId="0" fontId="4" numFmtId="164" fillId="5" borderId="20" applyFont="1" applyNumberFormat="1" applyFill="1" applyBorder="1" applyAlignment="0"/>
    <xf xfId="0" fontId="9" numFmtId="165" fillId="0" borderId="13" applyFont="1" applyNumberFormat="1" applyFill="0" applyBorder="1" applyAlignment="0"/>
    <xf xfId="0" fontId="4" numFmtId="165" fillId="5" borderId="8" applyFont="1" applyNumberFormat="1" applyFill="1" applyBorder="1" applyAlignment="0"/>
    <xf xfId="0" fontId="4" numFmtId="165" fillId="5" borderId="6" applyFont="1" applyNumberFormat="1" applyFill="1" applyBorder="1" applyAlignment="0"/>
    <xf xfId="0" fontId="2" numFmtId="165" fillId="7" borderId="1" applyFont="1" applyNumberFormat="1" applyFill="1" applyBorder="1" applyAlignment="0"/>
    <xf xfId="0" fontId="2" numFmtId="165" fillId="7" borderId="13" applyFont="1" applyNumberFormat="1" applyFill="1" applyBorder="1" applyAlignment="0"/>
    <xf xfId="0" fontId="7" numFmtId="0" fillId="7" borderId="19" applyFont="1" applyNumberFormat="0" applyFill="1" applyBorder="1" applyAlignment="0"/>
    <xf xfId="0" fontId="4" numFmtId="0" fillId="0" borderId="0" applyFont="1" applyNumberFormat="0" applyFill="0" applyBorder="0" applyAlignment="0"/>
    <xf xfId="0" fontId="8" numFmtId="165" fillId="0" borderId="11" applyFont="1" applyNumberFormat="1" applyFill="0" applyBorder="1" applyAlignment="0"/>
    <xf xfId="0" fontId="4" numFmtId="164" fillId="0" borderId="11" applyFont="1" applyNumberFormat="1" applyFill="0" applyBorder="1" applyAlignment="0"/>
    <xf xfId="0" fontId="6" numFmtId="0" fillId="0" borderId="0" applyFont="1" applyNumberFormat="0" applyFill="0" applyBorder="0" applyAlignment="1">
      <alignment vertical="center" textRotation="0" wrapText="true" shrinkToFit="false"/>
    </xf>
    <xf xfId="0" fontId="4" numFmtId="164" fillId="0" borderId="12" applyFont="1" applyNumberFormat="1" applyFill="0" applyBorder="1" applyAlignment="0"/>
    <xf xfId="0" fontId="6" numFmtId="165" fillId="0" borderId="0" applyFont="1" applyNumberFormat="1" applyFill="0" applyBorder="0" applyAlignment="0"/>
    <xf xfId="0" fontId="4" numFmtId="165" fillId="0" borderId="13" applyFont="1" applyNumberFormat="1" applyFill="0" applyBorder="1" applyAlignment="0"/>
    <xf xfId="0" fontId="4" numFmtId="164" fillId="0" borderId="13" applyFont="1" applyNumberFormat="1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7" borderId="1" applyFont="1" applyNumberFormat="0" applyFill="1" applyBorder="1" applyAlignment="0"/>
    <xf xfId="0" fontId="4" numFmtId="0" fillId="0" borderId="17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165" fillId="0" borderId="17" applyFont="1" applyNumberFormat="1" applyFill="0" applyBorder="1" applyAlignment="0"/>
    <xf xfId="0" fontId="4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165" fillId="0" borderId="0" applyFont="1" applyNumberFormat="1" applyFill="0" applyBorder="0" applyAlignment="0"/>
    <xf xfId="0" fontId="6" numFmtId="0" fillId="0" borderId="0" applyFont="1" applyNumberFormat="0" applyFill="0" applyBorder="0" applyAlignment="0"/>
    <xf xfId="0" fontId="4" numFmtId="0" fillId="0" borderId="13" applyFont="1" applyNumberFormat="0" applyFill="0" applyBorder="1" applyAlignment="0"/>
    <xf xfId="0" fontId="3" numFmtId="0" fillId="0" borderId="10" applyFont="1" applyNumberFormat="0" applyFill="0" applyBorder="1" applyAlignment="1">
      <alignment horizontal="center" vertical="center" textRotation="9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165" fillId="8" borderId="19" applyFont="1" applyNumberFormat="1" applyFill="1" applyBorder="1" applyAlignment="1">
      <alignment horizontal="righ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11" numFmtId="0" fillId="9" borderId="1" applyFont="1" applyNumberFormat="0" applyFill="1" applyBorder="1" applyAlignment="1">
      <alignment horizontal="center" vertical="center" textRotation="0" wrapText="false" shrinkToFit="false"/>
    </xf>
    <xf xfId="0" fontId="11" numFmtId="0" fillId="9" borderId="3" applyFont="1" applyNumberFormat="0" applyFill="1" applyBorder="1" applyAlignment="1">
      <alignment horizontal="left" vertical="center" textRotation="0" wrapText="false" shrinkToFit="false"/>
    </xf>
    <xf xfId="0" fontId="0" numFmtId="0" fillId="10" borderId="19" applyFont="0" applyNumberFormat="0" applyFill="1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16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13" numFmtId="0" fillId="11" borderId="14" applyFont="1" applyNumberFormat="0" applyFill="1" applyBorder="1" applyAlignment="1">
      <alignment horizontal="center" vertical="center" textRotation="0" wrapText="true" shrinkToFit="false"/>
    </xf>
    <xf xfId="0" fontId="14" numFmtId="165" fillId="0" borderId="19" applyFont="1" applyNumberFormat="1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11" borderId="14" applyFont="1" applyNumberFormat="0" applyFill="1" applyBorder="1" applyAlignment="1">
      <alignment horizontal="center" vertical="center" textRotation="0" wrapText="false" shrinkToFit="false"/>
    </xf>
    <xf xfId="0" fontId="13" numFmtId="0" fillId="11" borderId="1" applyFont="1" applyNumberFormat="0" applyFill="1" applyBorder="1" applyAlignment="1">
      <alignment horizontal="center" vertical="center" textRotation="0" wrapText="false" shrinkToFit="false"/>
    </xf>
    <xf xfId="0" fontId="14" numFmtId="165" fillId="0" borderId="1" applyFont="1" applyNumberFormat="1" applyFill="0" applyBorder="1" applyAlignment="1">
      <alignment horizontal="center" vertical="center" textRotation="0" wrapText="false" shrinkToFit="false"/>
    </xf>
    <xf xfId="0" fontId="15" numFmtId="165" fillId="7" borderId="1" applyFont="1" applyNumberFormat="1" applyFill="1" applyBorder="1" applyAlignment="1">
      <alignment horizontal="center" vertical="center" textRotation="0" wrapText="false" shrinkToFit="false"/>
    </xf>
    <xf xfId="0" fontId="16" numFmtId="0" fillId="9" borderId="0" applyFont="1" applyNumberFormat="0" applyFill="1" applyBorder="0" applyAlignment="1">
      <alignment vertical="center" textRotation="0" wrapText="false" shrinkToFit="false"/>
    </xf>
    <xf xfId="0" fontId="4" numFmtId="0" fillId="7" borderId="15" applyFont="1" applyNumberFormat="0" applyFill="1" applyBorder="1" applyAlignment="0"/>
    <xf xfId="0" fontId="4" numFmtId="0" fillId="7" borderId="20" applyFont="1" applyNumberFormat="0" applyFill="1" applyBorder="1" applyAlignment="0"/>
    <xf xfId="0" fontId="17" numFmtId="0" fillId="10" borderId="3" applyFont="1" applyNumberFormat="0" applyFill="1" applyBorder="1" applyAlignment="1">
      <alignment horizontal="center" vertical="center" textRotation="0" wrapText="false" shrinkToFit="false"/>
    </xf>
    <xf xfId="0" fontId="4" numFmtId="0" fillId="7" borderId="19" applyFont="1" applyNumberFormat="0" applyFill="1" applyBorder="1" applyAlignment="0"/>
    <xf xfId="0" fontId="4" numFmtId="164" fillId="0" borderId="11" applyFont="1" applyNumberFormat="1" applyFill="0" applyBorder="1" applyAlignment="0"/>
    <xf xfId="0" fontId="4" numFmtId="164" fillId="0" borderId="12" applyFont="1" applyNumberFormat="1" applyFill="0" applyBorder="1" applyAlignment="0"/>
    <xf xfId="0" fontId="18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12" borderId="10" applyFont="1" applyNumberFormat="0" applyFill="1" applyBorder="1" applyAlignment="0"/>
    <xf xfId="0" fontId="6" numFmtId="0" fillId="12" borderId="18" applyFont="1" applyNumberFormat="0" applyFill="1" applyBorder="1" applyAlignment="0"/>
    <xf xfId="0" fontId="6" numFmtId="0" fillId="12" borderId="10" applyFont="1" applyNumberFormat="0" applyFill="1" applyBorder="1" applyAlignment="1">
      <alignment vertical="center" textRotation="0" wrapText="false" shrinkToFit="false"/>
    </xf>
    <xf xfId="0" fontId="6" numFmtId="0" fillId="12" borderId="18" applyFont="1" applyNumberFormat="0" applyFill="1" applyBorder="1" applyAlignment="1">
      <alignment vertical="center" textRotation="0" wrapText="false" shrinkToFit="false"/>
    </xf>
    <xf xfId="0" fontId="6" numFmtId="0" fillId="6" borderId="1" applyFont="1" applyNumberFormat="0" applyFill="1" applyBorder="1" applyAlignment="1">
      <alignment horizontal="center" vertical="bottom" textRotation="0" wrapText="false" shrinkToFit="false"/>
    </xf>
    <xf xfId="0" fontId="6" numFmtId="0" fillId="12" borderId="14" applyFont="1" applyNumberFormat="0" applyFill="1" applyBorder="1" applyAlignment="0"/>
    <xf xfId="0" fontId="6" numFmtId="0" fillId="12" borderId="3" applyFont="1" applyNumberFormat="0" applyFill="1" applyBorder="1" applyAlignment="0"/>
    <xf xfId="0" fontId="6" numFmtId="0" fillId="12" borderId="19" applyFont="1" applyNumberFormat="0" applyFill="1" applyBorder="1" applyAlignment="0"/>
    <xf xfId="0" fontId="19" numFmtId="0" fillId="0" borderId="0" applyFont="1" applyNumberFormat="0" applyFill="0" applyBorder="0" applyAlignment="0"/>
    <xf xfId="0" fontId="0" numFmtId="14" fillId="0" borderId="1" applyFont="0" applyNumberFormat="1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16" numFmtId="0" fillId="9" borderId="8" applyFont="1" applyNumberFormat="0" applyFill="1" applyBorder="1" applyAlignment="1">
      <alignment horizontal="center" vertical="center" textRotation="0" wrapText="false" shrinkToFit="false"/>
    </xf>
    <xf xfId="0" fontId="15" numFmtId="166" fillId="7" borderId="1" applyFont="1" applyNumberFormat="1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0" numFmtId="0" fillId="13" borderId="0" applyFont="1" applyNumberFormat="0" applyFill="1" applyBorder="0" applyAlignment="0"/>
    <xf xfId="0" fontId="20" numFmtId="0" fillId="13" borderId="1" applyFont="1" applyNumberFormat="0" applyFill="1" applyBorder="1" applyAlignment="0"/>
    <xf xfId="0" fontId="20" numFmtId="0" fillId="13" borderId="1" applyFont="1" applyNumberFormat="0" applyFill="1" applyBorder="1" applyAlignment="1">
      <alignment horizontal="center" vertical="top" textRotation="0" wrapText="false" shrinkToFit="false"/>
    </xf>
    <xf xfId="0" fontId="20" numFmtId="0" fillId="13" borderId="1" applyFont="1" applyNumberFormat="0" applyFill="1" applyBorder="1" applyAlignment="1">
      <alignment vertical="top" textRotation="0" wrapText="false" shrinkToFit="false"/>
    </xf>
    <xf xfId="0" fontId="20" numFmtId="0" fillId="13" borderId="1" applyFont="1" applyNumberFormat="0" applyFill="1" applyBorder="1" applyAlignment="1">
      <alignment horizontal="center" vertical="center" textRotation="0" wrapText="false" shrinkToFit="false"/>
    </xf>
    <xf xfId="0" fontId="20" numFmtId="0" fillId="13" borderId="1" applyFont="1" applyNumberFormat="0" applyFill="1" applyBorder="1" applyAlignment="1">
      <alignment horizontal="center" vertical="bottom" textRotation="0" wrapText="false" shrinkToFit="false"/>
    </xf>
    <xf xfId="0" fontId="21" numFmtId="0" fillId="13" borderId="1" applyFont="1" applyNumberFormat="0" applyFill="1" applyBorder="1" applyAlignment="1">
      <alignment vertical="top" textRotation="0" wrapText="false" shrinkToFit="false"/>
    </xf>
    <xf xfId="0" fontId="20" numFmtId="49" fillId="13" borderId="1" applyFont="1" applyNumberFormat="1" applyFill="1" applyBorder="1" applyAlignment="1">
      <alignment vertical="top" textRotation="0" wrapText="false" shrinkToFit="false"/>
    </xf>
    <xf xfId="0" fontId="22" numFmtId="0" fillId="14" borderId="0" applyFont="1" applyNumberFormat="0" applyFill="1" applyBorder="0" applyAlignment="0"/>
    <xf xfId="0" fontId="20" numFmtId="0" fillId="14" borderId="0" applyFont="1" applyNumberFormat="0" applyFill="1" applyBorder="0" applyAlignment="0"/>
    <xf xfId="0" fontId="20" numFmtId="167" fillId="13" borderId="0" applyFont="1" applyNumberFormat="1" applyFill="1" applyBorder="0" applyAlignment="0"/>
    <xf xfId="0" fontId="20" numFmtId="167" fillId="13" borderId="0" applyFont="1" applyNumberFormat="1" applyFill="1" applyBorder="0" applyAlignment="1">
      <alignment horizontal="center" vertical="bottom" textRotation="0" wrapText="false" shrinkToFit="false"/>
    </xf>
    <xf xfId="0" fontId="20" numFmtId="167" fillId="13" borderId="1" applyFont="1" applyNumberFormat="1" applyFill="1" applyBorder="1" applyAlignment="1">
      <alignment horizontal="center" vertical="bottom" textRotation="0" wrapText="false" shrinkToFit="false"/>
    </xf>
    <xf xfId="0" fontId="20" numFmtId="0" fillId="13" borderId="1" applyFont="1" applyNumberFormat="0" applyFill="1" applyBorder="1" applyAlignment="1">
      <alignment horizontal="center" vertical="top" textRotation="0" wrapText="false" shrinkToFit="false"/>
    </xf>
    <xf xfId="0" fontId="20" numFmtId="0" fillId="13" borderId="1" applyFont="1" applyNumberFormat="0" applyFill="1" applyBorder="1" applyAlignment="1">
      <alignment horizontal="center" vertical="bottom" textRotation="0" wrapText="false" shrinkToFit="false"/>
    </xf>
    <xf xfId="0" fontId="20" numFmtId="0" fillId="13" borderId="0" applyFont="1" applyNumberFormat="0" applyFill="1" applyBorder="0" applyAlignment="1">
      <alignment horizontal="center" vertical="bottom" textRotation="0" wrapText="false" shrinkToFit="false"/>
    </xf>
    <xf xfId="0" fontId="20" numFmtId="167" fillId="13" borderId="1" applyFont="1" applyNumberFormat="1" applyFill="1" applyBorder="1" applyAlignment="0"/>
    <xf xfId="0" fontId="4" numFmtId="165" fillId="6" borderId="11" applyFont="1" applyNumberFormat="1" applyFill="1" applyBorder="1" applyAlignment="0"/>
    <xf xfId="0" fontId="2" numFmtId="165" fillId="7" borderId="11" applyFont="1" applyNumberFormat="1" applyFill="1" applyBorder="1" applyAlignment="0"/>
    <xf xfId="0" fontId="4" numFmtId="165" fillId="6" borderId="15" applyFont="1" applyNumberFormat="1" applyFill="1" applyBorder="1" applyAlignment="0"/>
    <xf xfId="0" fontId="2" numFmtId="165" fillId="7" borderId="19" applyFont="1" applyNumberFormat="1" applyFill="1" applyBorder="1" applyAlignment="0"/>
    <xf xfId="0" fontId="2" numFmtId="165" fillId="7" borderId="1" applyFont="1" applyNumberFormat="1" applyFill="1" applyBorder="1" applyAlignment="0"/>
    <xf xfId="0" fontId="10" numFmtId="165" fillId="8" borderId="19" applyFont="1" applyNumberFormat="1" applyFill="1" applyBorder="1" applyAlignment="1">
      <alignment horizontal="right" vertical="center" textRotation="0" wrapText="false" shrinkToFit="false"/>
    </xf>
    <xf xfId="0" fontId="20" numFmtId="168" fillId="13" borderId="1" applyFont="1" applyNumberFormat="1" applyFill="1" applyBorder="1" applyAlignment="1">
      <alignment horizontal="center" vertical="top" textRotation="0" wrapText="false" shrinkToFit="false"/>
    </xf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24" numFmtId="0" fillId="13" borderId="1" applyFont="1" applyNumberFormat="0" applyFill="1" applyBorder="1" applyAlignment="1">
      <alignment horizontal="left" vertical="center" textRotation="0" wrapText="false" shrinkToFit="false"/>
    </xf>
    <xf xfId="0" fontId="24" numFmtId="0" fillId="13" borderId="1" applyFont="1" applyNumberFormat="0" applyFill="1" applyBorder="1" applyAlignment="1">
      <alignment horizontal="center" vertical="center" textRotation="0" wrapText="false" shrinkToFit="false"/>
    </xf>
    <xf xfId="0" fontId="24" numFmtId="11" fillId="13" borderId="1" applyFont="1" applyNumberFormat="1" applyFill="1" applyBorder="1" applyAlignment="1">
      <alignment horizontal="center" vertical="center" textRotation="0" wrapText="false" shrinkToFit="false"/>
    </xf>
    <xf xfId="0" fontId="24" numFmtId="169" fillId="13" borderId="1" applyFont="1" applyNumberFormat="1" applyFill="1" applyBorder="1" applyAlignment="1">
      <alignment horizontal="center" vertical="center" textRotation="0" wrapText="false" shrinkToFit="false"/>
    </xf>
    <xf xfId="0" fontId="20" numFmtId="0" fillId="13" borderId="0" applyFont="1" applyNumberFormat="0" applyFill="1" applyBorder="0" applyAlignment="1">
      <alignment horizontal="left" vertical="top" textRotation="0" wrapText="false" shrinkToFit="false"/>
    </xf>
    <xf xfId="0" fontId="20" numFmtId="167" fillId="13" borderId="0" applyFont="1" applyNumberFormat="1" applyFill="1" applyBorder="0" applyAlignment="1">
      <alignment horizontal="left" vertical="top" textRotation="0" wrapText="false" shrinkToFit="false"/>
    </xf>
    <xf xfId="0" fontId="20" numFmtId="0" fillId="14" borderId="0" applyFont="1" applyNumberFormat="0" applyFill="1" applyBorder="0" applyAlignment="1">
      <alignment horizontal="left" vertical="top" textRotation="0" wrapText="false" shrinkToFit="false"/>
    </xf>
    <xf xfId="0" fontId="20" numFmtId="167" fillId="14" borderId="0" applyFont="1" applyNumberFormat="1" applyFill="1" applyBorder="0" applyAlignment="1">
      <alignment horizontal="left" vertical="top" textRotation="0" wrapText="false" shrinkToFit="false"/>
    </xf>
    <xf xfId="0" fontId="20" numFmtId="167" fillId="14" borderId="0" applyFont="1" applyNumberFormat="1" applyFill="1" applyBorder="0" applyAlignment="1">
      <alignment horizontal="left" vertical="top" textRotation="0" wrapText="true" shrinkToFit="false"/>
    </xf>
    <xf xfId="0" fontId="20" numFmtId="167" fillId="14" borderId="0" applyFont="1" applyNumberFormat="1" applyFill="1" applyBorder="0" applyAlignment="0"/>
    <xf xfId="0" fontId="20" numFmtId="164" fillId="13" borderId="0" applyFont="1" applyNumberFormat="1" applyFill="1" applyBorder="0" applyAlignment="0"/>
    <xf xfId="0" fontId="20" numFmtId="165" fillId="13" borderId="0" applyFont="1" applyNumberFormat="1" applyFill="1" applyBorder="0" applyAlignment="0"/>
    <xf xfId="0" fontId="20" numFmtId="169" fillId="13" borderId="0" applyFont="1" applyNumberFormat="1" applyFill="1" applyBorder="0" applyAlignment="0"/>
    <xf xfId="0" fontId="20" numFmtId="0" fillId="13" borderId="0" applyFont="1" applyNumberFormat="0" applyFill="1" applyBorder="0" applyAlignment="1">
      <alignment horizontal="center" vertical="bottom" textRotation="0" wrapText="false" shrinkToFit="false"/>
    </xf>
    <xf xfId="0" fontId="20" numFmtId="2" fillId="13" borderId="1" applyFont="1" applyNumberFormat="1" applyFill="1" applyBorder="1" applyAlignment="1">
      <alignment horizontal="center" vertical="bottom" textRotation="0" wrapText="false" shrinkToFit="false"/>
    </xf>
    <xf xfId="0" fontId="0" numFmtId="166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14" numFmtId="165" fillId="0" borderId="1" applyFont="1" applyNumberFormat="1" applyFill="0" applyBorder="1" applyAlignment="1">
      <alignment horizontal="center" vertical="center" textRotation="0" wrapText="false" shrinkToFit="false"/>
    </xf>
    <xf xfId="0" fontId="14" numFmtId="165" fillId="0" borderId="1" applyFont="1" applyNumberFormat="1" applyFill="0" applyBorder="1" applyAlignment="1">
      <alignment horizontal="center" vertical="center" textRotation="0" wrapText="false" shrinkToFit="false"/>
    </xf>
    <xf xfId="0" fontId="25" numFmtId="0" fillId="3" borderId="3" applyFont="1" applyNumberFormat="0" applyFill="1" applyBorder="1" applyAlignment="1">
      <alignment horizontal="left" vertical="center" textRotation="0" wrapText="false" shrinkToFit="false"/>
    </xf>
    <xf xfId="0" fontId="18" numFmtId="0" fillId="0" borderId="0" applyFont="1" applyNumberFormat="0" applyFill="0" applyBorder="0" applyAlignment="0"/>
    <xf xfId="0" fontId="20" numFmtId="0" fillId="13" borderId="1" applyFont="1" applyNumberFormat="0" applyFill="1" applyBorder="1" applyAlignment="1">
      <alignment horizontal="center" vertical="center" textRotation="0" wrapText="true" shrinkToFit="false"/>
    </xf>
    <xf xfId="0" fontId="20" numFmtId="0" fillId="13" borderId="1" applyFont="1" applyNumberFormat="0" applyFill="1" applyBorder="1" applyAlignment="1">
      <alignment vertical="center" textRotation="0" wrapText="false" shrinkToFit="false"/>
    </xf>
    <xf xfId="0" fontId="20" numFmtId="0" fillId="13" borderId="1" applyFont="1" applyNumberFormat="0" applyFill="1" applyBorder="1" applyAlignment="1">
      <alignment vertical="center" textRotation="0" wrapText="true" shrinkToFit="false"/>
    </xf>
    <xf xfId="0" fontId="23" numFmtId="164" fillId="15" borderId="1" applyFont="1" applyNumberFormat="1" applyFill="1" applyBorder="1" applyAlignment="1">
      <alignment horizontal="center" vertical="center" textRotation="0" wrapText="false" shrinkToFit="false"/>
    </xf>
    <xf xfId="0" fontId="24" numFmtId="164" fillId="13" borderId="1" applyFont="1" applyNumberFormat="1" applyFill="1" applyBorder="1" applyAlignment="1">
      <alignment horizontal="center" vertical="center" textRotation="0" wrapText="false" shrinkToFit="false"/>
    </xf>
    <xf xfId="0" fontId="24" numFmtId="164" fillId="13" borderId="0" applyFont="1" applyNumberFormat="1" applyFill="1" applyBorder="0" applyAlignment="1">
      <alignment horizontal="center" vertical="center" textRotation="0" wrapText="false" shrinkToFit="false"/>
    </xf>
    <xf xfId="0" fontId="20" numFmtId="164" fillId="14" borderId="0" applyFont="1" applyNumberFormat="1" applyFill="1" applyBorder="0" applyAlignment="0"/>
    <xf xfId="0" fontId="20" numFmtId="164" fillId="13" borderId="0" applyFont="1" applyNumberFormat="1" applyFill="1" applyBorder="0" applyAlignment="1">
      <alignment horizontal="center" vertical="bottom" textRotation="0" wrapText="false" shrinkToFit="false"/>
    </xf>
    <xf xfId="0" fontId="20" numFmtId="164" fillId="13" borderId="1" applyFont="1" applyNumberFormat="1" applyFill="1" applyBorder="1" applyAlignment="1">
      <alignment horizontal="center" vertical="bottom" textRotation="0" wrapText="false" shrinkToFit="false"/>
    </xf>
    <xf xfId="0" fontId="20" numFmtId="164" fillId="13" borderId="1" applyFont="1" applyNumberFormat="1" applyFill="1" applyBorder="1" applyAlignment="0"/>
    <xf xfId="0" fontId="21" numFmtId="0" fillId="13" borderId="1" applyFont="1" applyNumberFormat="0" applyFill="1" applyBorder="1" applyAlignment="1">
      <alignment vertical="center" textRotation="0" wrapText="false" shrinkToFit="false"/>
    </xf>
    <xf xfId="0" fontId="6" numFmtId="0" fillId="13" borderId="8" applyFont="1" applyNumberFormat="0" applyFill="1" applyBorder="1" applyAlignment="0"/>
    <xf xfId="0" fontId="6" numFmtId="0" fillId="13" borderId="6" applyFont="1" applyNumberFormat="0" applyFill="1" applyBorder="1" applyAlignment="0"/>
    <xf xfId="0" fontId="6" numFmtId="0" fillId="13" borderId="20" applyFont="1" applyNumberFormat="0" applyFill="1" applyBorder="1" applyAlignment="0"/>
    <xf xfId="0" fontId="6" numFmtId="0" fillId="13" borderId="0" applyFont="1" applyNumberFormat="0" applyFill="1" applyBorder="0" applyAlignment="0"/>
    <xf xfId="0" fontId="26" numFmtId="0" fillId="16" borderId="1" applyFont="1" applyNumberFormat="0" applyFill="1" applyBorder="1" applyAlignment="1">
      <alignment horizontal="center" vertical="center" textRotation="0" wrapText="true" shrinkToFit="false"/>
    </xf>
    <xf xfId="0" fontId="6" numFmtId="0" fillId="13" borderId="10" applyFont="1" applyNumberFormat="0" applyFill="1" applyBorder="1" applyAlignment="0"/>
    <xf xfId="0" fontId="6" numFmtId="0" fillId="13" borderId="18" applyFont="1" applyNumberFormat="0" applyFill="1" applyBorder="1" applyAlignment="0"/>
    <xf xfId="0" fontId="6" numFmtId="0" fillId="12" borderId="0" applyFont="1" applyNumberFormat="0" applyFill="1" applyBorder="0" applyAlignment="0"/>
    <xf xfId="0" fontId="27" numFmtId="0" fillId="6" borderId="1" applyFont="1" applyNumberFormat="0" applyFill="1" applyBorder="1" applyAlignment="1">
      <alignment horizontal="center" vertical="center" textRotation="0" wrapText="false" shrinkToFit="false"/>
    </xf>
    <xf xfId="0" fontId="6" numFmtId="0" fillId="6" borderId="14" applyFont="1" applyNumberFormat="0" applyFill="1" applyBorder="1" applyAlignment="0"/>
    <xf xfId="0" fontId="6" numFmtId="0" fillId="6" borderId="1" applyFont="1" applyNumberFormat="0" applyFill="1" applyBorder="1" applyAlignment="0"/>
    <xf xfId="0" fontId="6" numFmtId="0" fillId="6" borderId="14" applyFont="1" applyNumberFormat="0" applyFill="1" applyBorder="1" applyAlignment="1">
      <alignment horizontal="right" vertical="bottom" textRotation="0" wrapText="false" shrinkToFit="false"/>
    </xf>
    <xf xfId="0" fontId="6" numFmtId="0" fillId="6" borderId="19" applyFont="1" applyNumberFormat="0" applyFill="1" applyBorder="1" applyAlignment="0"/>
    <xf xfId="0" fontId="28" numFmtId="0" fillId="6" borderId="14" applyFont="1" applyNumberFormat="0" applyFill="1" applyBorder="1" applyAlignment="1">
      <alignment horizontal="center" vertical="bottom" textRotation="0" wrapText="false" shrinkToFit="false"/>
    </xf>
    <xf xfId="0" fontId="28" numFmtId="0" fillId="6" borderId="3" applyFont="1" applyNumberFormat="0" applyFill="1" applyBorder="1" applyAlignment="1">
      <alignment horizontal="center" vertical="bottom" textRotation="0" wrapText="false" shrinkToFit="false"/>
    </xf>
    <xf xfId="0" fontId="28" numFmtId="0" fillId="6" borderId="19" applyFont="1" applyNumberFormat="0" applyFill="1" applyBorder="1" applyAlignment="1">
      <alignment horizontal="center" vertical="bottom" textRotation="0" wrapText="false" shrinkToFit="false"/>
    </xf>
    <xf xfId="0" fontId="17" numFmtId="0" fillId="10" borderId="3" applyFont="1" applyNumberFormat="0" applyFill="1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4" numFmtId="0" fillId="7" borderId="14" applyFont="1" applyNumberFormat="0" applyFill="1" applyBorder="1" applyAlignment="0"/>
    <xf xfId="0" fontId="4" numFmtId="0" fillId="7" borderId="19" applyFont="1" applyNumberFormat="0" applyFill="1" applyBorder="1" applyAlignment="0"/>
    <xf xfId="0" fontId="4" numFmtId="0" fillId="7" borderId="20" applyFont="1" applyNumberFormat="0" applyFill="1" applyBorder="1" applyAlignment="0"/>
    <xf xfId="0" fontId="4" numFmtId="0" fillId="7" borderId="15" applyFont="1" applyNumberFormat="0" applyFill="1" applyBorder="1" applyAlignment="0"/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0" numFmtId="168" fillId="13" borderId="1" applyFont="1" applyNumberFormat="1" applyFill="1" applyBorder="1" applyAlignment="1">
      <alignment horizontal="center" vertical="top" textRotation="0" wrapText="false" shrinkToFit="false"/>
    </xf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20" numFmtId="0" fillId="13" borderId="0" applyFont="1" applyNumberFormat="0" applyFill="1" applyBorder="0" applyAlignment="1">
      <alignment vertical="center" textRotation="0" wrapText="false" shrinkToFit="false"/>
    </xf>
    <xf xfId="0" fontId="20" numFmtId="0" fillId="13" borderId="0" applyFont="1" applyNumberFormat="0" applyFill="1" applyBorder="0" applyAlignment="1">
      <alignment vertical="center" textRotation="0" wrapText="true" shrinkToFit="false"/>
    </xf>
    <xf xfId="0" fontId="20" numFmtId="0" fillId="13" borderId="0" applyFont="1" applyNumberFormat="0" applyFill="1" applyBorder="0" applyAlignment="1">
      <alignment horizontal="center" vertical="center" textRotation="0" wrapText="false" shrinkToFit="false"/>
    </xf>
    <xf xfId="0" fontId="24" numFmtId="11" fillId="13" borderId="0" applyFont="1" applyNumberFormat="1" applyFill="1" applyBorder="0" applyAlignment="1">
      <alignment horizontal="center" vertical="center" textRotation="0" wrapText="false" shrinkToFit="false"/>
    </xf>
    <xf xfId="0" fontId="20" numFmtId="0" fillId="13" borderId="0" applyFont="1" applyNumberFormat="0" applyFill="1" applyBorder="0" applyAlignment="1">
      <alignment horizontal="center" vertical="center" textRotation="0" wrapText="true" shrinkToFit="false"/>
    </xf>
    <xf xfId="0" fontId="20" numFmtId="49" fillId="13" borderId="0" applyFont="1" applyNumberFormat="1" applyFill="1" applyBorder="0" applyAlignment="1">
      <alignment vertical="top" textRotation="0" wrapText="false" shrinkToFit="false"/>
    </xf>
    <xf xfId="0" fontId="29" numFmtId="11" fillId="13" borderId="0" applyFont="1" applyNumberFormat="1" applyFill="1" applyBorder="0" applyAlignment="1">
      <alignment horizontal="left" vertical="center" textRotation="0" wrapText="false" shrinkToFit="false"/>
    </xf>
    <xf xfId="0" fontId="20" numFmtId="0" fillId="0" borderId="1" applyFont="1" applyNumberFormat="0" applyFill="0" applyBorder="1" applyAlignment="1">
      <alignment horizontal="center" vertical="top" textRotation="0" wrapText="false" shrinkToFit="false"/>
    </xf>
    <xf xfId="0" fontId="20" numFmtId="0" fillId="0" borderId="1" applyFont="1" applyNumberFormat="0" applyFill="0" applyBorder="1" applyAlignment="1">
      <alignment horizontal="center" vertical="top" textRotation="0" wrapText="false" shrinkToFit="false"/>
    </xf>
    <xf xfId="0" fontId="20" numFmtId="0" fillId="0" borderId="1" applyFont="1" applyNumberFormat="0" applyFill="0" applyBorder="1" applyAlignment="1">
      <alignment vertical="top" textRotation="0" wrapText="false" shrinkToFit="false"/>
    </xf>
    <xf xfId="0" fontId="20" numFmtId="164" fillId="13" borderId="0" applyFont="1" applyNumberFormat="1" applyFill="1" applyBorder="0" applyAlignment="0"/>
    <xf xfId="0" fontId="6" numFmtId="0" fillId="13" borderId="10" applyFont="1" applyNumberFormat="0" applyFill="1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13" borderId="0" applyFont="1" applyNumberFormat="0" applyFill="1" applyBorder="0" applyAlignment="1">
      <alignment horizontal="center" vertical="bottom" textRotation="0" wrapText="false" shrinkToFit="false"/>
    </xf>
    <xf xfId="0" fontId="6" numFmtId="0" fillId="13" borderId="18" applyFont="1" applyNumberFormat="0" applyFill="1" applyBorder="1" applyAlignment="1">
      <alignment horizontal="center" vertical="bottom" textRotation="0" wrapText="false" shrinkToFit="false"/>
    </xf>
    <xf xfId="0" fontId="6" numFmtId="0" fillId="13" borderId="10" applyFont="1" applyNumberFormat="0" applyFill="1" applyBorder="1" applyAlignment="1">
      <alignment horizontal="center" vertical="bottom" textRotation="0" wrapText="false" shrinkToFit="false"/>
    </xf>
    <xf xfId="0" fontId="6" numFmtId="0" fillId="13" borderId="10" applyFont="1" applyNumberFormat="0" applyFill="1" applyBorder="1" applyAlignment="1">
      <alignment horizontal="left" vertical="bottom" textRotation="0" wrapText="false" shrinkToFit="false"/>
    </xf>
    <xf xfId="0" fontId="6" numFmtId="0" fillId="13" borderId="0" applyFont="1" applyNumberFormat="0" applyFill="1" applyBorder="0" applyAlignment="0"/>
    <xf xfId="0" fontId="6" numFmtId="0" fillId="13" borderId="18" applyFont="1" applyNumberFormat="0" applyFill="1" applyBorder="1" applyAlignment="0"/>
    <xf xfId="0" fontId="6" numFmtId="0" fillId="13" borderId="16" applyFont="1" applyNumberFormat="0" applyFill="1" applyBorder="1" applyAlignment="0"/>
    <xf xfId="0" fontId="6" numFmtId="0" fillId="13" borderId="17" applyFont="1" applyNumberFormat="0" applyFill="1" applyBorder="1" applyAlignment="0"/>
    <xf xfId="0" fontId="6" numFmtId="0" fillId="13" borderId="15" applyFont="1" applyNumberFormat="0" applyFill="1" applyBorder="1" applyAlignment="0"/>
    <xf xfId="0" fontId="6" numFmtId="0" fillId="13" borderId="8" applyFont="1" applyNumberFormat="0" applyFill="1" applyBorder="1" applyAlignment="0"/>
    <xf xfId="0" fontId="6" numFmtId="0" fillId="13" borderId="6" applyFont="1" applyNumberFormat="0" applyFill="1" applyBorder="1" applyAlignment="0"/>
    <xf xfId="0" fontId="6" numFmtId="0" fillId="13" borderId="20" applyFont="1" applyNumberFormat="0" applyFill="1" applyBorder="1" applyAlignment="0"/>
    <xf xfId="0" fontId="4" numFmtId="170" fillId="0" borderId="11" applyFont="1" applyNumberFormat="1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4" numFmtId="164" fillId="5" borderId="0" applyFont="1" applyNumberFormat="1" applyFill="1" applyBorder="0" applyAlignment="0"/>
    <xf xfId="0" fontId="4" numFmtId="165" fillId="5" borderId="0" applyFont="1" applyNumberFormat="1" applyFill="1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7" numFmtId="0" fillId="10" borderId="1" applyFont="1" applyNumberFormat="0" applyFill="1" applyBorder="1" applyAlignment="1">
      <alignment horizontal="center" vertical="bottom" textRotation="0" wrapText="false" shrinkToFit="false"/>
    </xf>
    <xf xfId="0" fontId="31" numFmtId="0" fillId="10" borderId="3" applyFont="1" applyNumberFormat="0" applyFill="1" applyBorder="1" applyAlignment="0"/>
    <xf xfId="0" fontId="32" numFmtId="0" fillId="0" borderId="0" applyFont="1" applyNumberFormat="0" applyFill="0" applyBorder="0" applyAlignment="0"/>
    <xf xfId="0" fontId="28" numFmtId="0" fillId="10" borderId="3" applyFont="1" applyNumberFormat="0" applyFill="1" applyBorder="1" applyAlignment="0"/>
    <xf xfId="0" fontId="28" numFmtId="0" fillId="10" borderId="19" applyFont="1" applyNumberFormat="0" applyFill="1" applyBorder="1" applyAlignment="0"/>
    <xf xfId="0" fontId="28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32" numFmtId="0" fillId="13" borderId="10" applyFont="1" applyNumberFormat="0" applyFill="1" applyBorder="1" applyAlignment="0"/>
    <xf xfId="0" fontId="32" numFmtId="0" fillId="13" borderId="0" applyFont="1" applyNumberFormat="0" applyFill="1" applyBorder="0" applyAlignment="0"/>
    <xf xfId="0" fontId="32" numFmtId="0" fillId="13" borderId="18" applyFont="1" applyNumberFormat="0" applyFill="1" applyBorder="1" applyAlignment="0"/>
    <xf xfId="0" fontId="32" numFmtId="0" fillId="13" borderId="8" applyFont="1" applyNumberFormat="0" applyFill="1" applyBorder="1" applyAlignment="0"/>
    <xf xfId="0" fontId="32" numFmtId="0" fillId="13" borderId="6" applyFont="1" applyNumberFormat="0" applyFill="1" applyBorder="1" applyAlignment="0"/>
    <xf xfId="0" fontId="32" numFmtId="0" fillId="13" borderId="20" applyFont="1" applyNumberFormat="0" applyFill="1" applyBorder="1" applyAlignment="0"/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3" numFmtId="0" fillId="13" borderId="14" applyFont="1" applyNumberFormat="0" applyFill="1" applyBorder="1" applyAlignment="1">
      <alignment vertical="center" textRotation="0" wrapText="false" shrinkToFit="false"/>
    </xf>
    <xf xfId="0" fontId="33" numFmtId="0" fillId="13" borderId="19" applyFont="1" applyNumberFormat="0" applyFill="1" applyBorder="1" applyAlignment="1">
      <alignment vertical="center" textRotation="0" wrapText="false" shrinkToFit="false"/>
    </xf>
    <xf xfId="0" fontId="33" numFmtId="0" fillId="13" borderId="3" applyFont="1" applyNumberFormat="0" applyFill="1" applyBorder="1" applyAlignment="1">
      <alignment vertical="center" textRotation="0" wrapText="false" shrinkToFit="false"/>
    </xf>
    <xf xfId="0" fontId="33" numFmtId="0" fillId="0" borderId="19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0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17" borderId="16" applyFont="1" applyNumberFormat="0" applyFill="1" applyBorder="1" applyAlignment="1">
      <alignment horizontal="center" vertical="bottom" textRotation="0" wrapText="false" shrinkToFit="false"/>
    </xf>
    <xf xfId="0" fontId="28" numFmtId="0" fillId="13" borderId="10" applyFont="1" applyNumberFormat="0" applyFill="1" applyBorder="1" applyAlignment="0"/>
    <xf xfId="0" fontId="28" numFmtId="0" fillId="13" borderId="0" applyFont="1" applyNumberFormat="0" applyFill="1" applyBorder="0" applyAlignment="0"/>
    <xf xfId="0" fontId="17" numFmtId="0" fillId="5" borderId="1" applyFont="1" applyNumberFormat="0" applyFill="1" applyBorder="1" applyAlignment="1">
      <alignment horizontal="center" vertical="center" textRotation="0" wrapText="true" shrinkToFit="false"/>
    </xf>
    <xf xfId="0" fontId="17" numFmtId="0" fillId="5" borderId="1" applyFont="1" applyNumberFormat="0" applyFill="1" applyBorder="1" applyAlignment="1">
      <alignment horizontal="center" vertical="center" textRotation="0" wrapText="true" shrinkToFit="false"/>
    </xf>
    <xf xfId="0" fontId="1" numFmtId="0" fillId="18" borderId="1" applyFont="1" applyNumberFormat="0" applyFill="1" applyBorder="1" applyAlignment="1">
      <alignment horizontal="center" vertical="center" textRotation="0" wrapText="true" shrinkToFit="false"/>
    </xf>
    <xf xfId="0" fontId="1" numFmtId="0" fillId="19" borderId="1" applyFont="1" applyNumberFormat="0" applyFill="1" applyBorder="1" applyAlignment="1">
      <alignment horizontal="center" vertical="center" textRotation="0" wrapText="true" shrinkToFit="false"/>
    </xf>
    <xf xfId="0" fontId="1" numFmtId="0" fillId="20" borderId="1" applyFont="1" applyNumberFormat="0" applyFill="1" applyBorder="1" applyAlignment="1">
      <alignment horizontal="center" vertical="center" textRotation="0" wrapText="true" shrinkToFit="false"/>
    </xf>
    <xf xfId="0" fontId="28" numFmtId="0" fillId="0" borderId="1" applyFont="1" applyNumberFormat="0" applyFill="0" applyBorder="1" applyAlignment="1">
      <alignment horizontal="center" vertical="bottom" textRotation="0" wrapText="false" shrinkToFit="false"/>
    </xf>
    <xf xfId="0" fontId="28" numFmtId="0" fillId="0" borderId="1" applyFont="1" applyNumberFormat="0" applyFill="0" applyBorder="1" applyAlignment="0"/>
    <xf xfId="0" fontId="34" numFmtId="0" fillId="21" borderId="1" applyFont="1" applyNumberFormat="0" applyFill="1" applyBorder="1" applyAlignment="1">
      <alignment horizontal="center" vertical="bottom" textRotation="0" wrapText="false" shrinkToFit="false"/>
    </xf>
    <xf xfId="0" fontId="6" numFmtId="10" fillId="22" borderId="13" applyFont="1" applyNumberFormat="1" applyFill="1" applyBorder="1" applyAlignment="1">
      <alignment horizontal="center" vertical="bottom" textRotation="0" wrapText="false" shrinkToFit="false"/>
    </xf>
    <xf xfId="0" fontId="34" numFmtId="0" fillId="23" borderId="1" applyFont="1" applyNumberFormat="0" applyFill="1" applyBorder="1" applyAlignment="1">
      <alignment horizontal="center" vertical="bottom" textRotation="0" wrapText="false" shrinkToFit="false"/>
    </xf>
    <xf xfId="0" fontId="6" numFmtId="10" fillId="22" borderId="1" applyFont="1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1" numFmtId="0" fillId="3" borderId="1" applyFont="1" applyNumberFormat="0" applyFill="1" applyBorder="1" applyAlignment="1">
      <alignment horizontal="left" vertical="center" textRotation="0" wrapText="false" shrinkToFit="false"/>
    </xf>
    <xf xfId="0" fontId="27" numFmtId="0" fillId="6" borderId="14" applyFont="1" applyNumberFormat="0" applyFill="1" applyBorder="1" applyAlignment="1">
      <alignment horizontal="center" vertical="center" textRotation="0" wrapText="false" shrinkToFit="false"/>
    </xf>
    <xf xfId="0" fontId="27" numFmtId="0" fillId="6" borderId="3" applyFont="1" applyNumberFormat="0" applyFill="1" applyBorder="1" applyAlignment="1">
      <alignment horizontal="center" vertical="center" textRotation="0" wrapText="false" shrinkToFit="false"/>
    </xf>
    <xf xfId="0" fontId="27" numFmtId="0" fillId="6" borderId="19" applyFont="1" applyNumberFormat="0" applyFill="1" applyBorder="1" applyAlignment="1">
      <alignment horizontal="center" vertical="center" textRotation="0" wrapText="false" shrinkToFit="false"/>
    </xf>
    <xf xfId="0" fontId="11" numFmtId="0" fillId="3" borderId="14" applyFont="1" applyNumberFormat="0" applyFill="1" applyBorder="1" applyAlignment="1">
      <alignment horizontal="left" vertical="center" textRotation="0" wrapText="false" shrinkToFit="false"/>
    </xf>
    <xf xfId="0" fontId="11" numFmtId="0" fillId="3" borderId="19" applyFont="1" applyNumberFormat="0" applyFill="1" applyBorder="1" applyAlignment="1">
      <alignment horizontal="left" vertical="center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35" numFmtId="0" fillId="0" borderId="16" applyFont="1" applyNumberFormat="0" applyFill="0" applyBorder="1" applyAlignment="1">
      <alignment horizontal="center" vertical="center" textRotation="0" wrapText="false" shrinkToFit="false"/>
    </xf>
    <xf xfId="0" fontId="35" numFmtId="0" fillId="0" borderId="17" applyFont="1" applyNumberFormat="0" applyFill="0" applyBorder="1" applyAlignment="1">
      <alignment horizontal="center" vertical="center" textRotation="0" wrapText="false" shrinkToFit="false"/>
    </xf>
    <xf xfId="0" fontId="35" numFmtId="0" fillId="0" borderId="15" applyFont="1" applyNumberFormat="0" applyFill="0" applyBorder="1" applyAlignment="1">
      <alignment horizontal="center" vertical="center" textRotation="0" wrapText="false" shrinkToFit="false"/>
    </xf>
    <xf xfId="0" fontId="35" numFmtId="0" fillId="0" borderId="8" applyFont="1" applyNumberFormat="0" applyFill="0" applyBorder="1" applyAlignment="1">
      <alignment horizontal="center" vertical="center" textRotation="0" wrapText="false" shrinkToFit="false"/>
    </xf>
    <xf xfId="0" fontId="35" numFmtId="0" fillId="0" borderId="6" applyFont="1" applyNumberFormat="0" applyFill="0" applyBorder="1" applyAlignment="1">
      <alignment horizontal="center" vertical="center" textRotation="0" wrapText="false" shrinkToFit="false"/>
    </xf>
    <xf xfId="0" fontId="35" numFmtId="0" fillId="0" borderId="20" applyFont="1" applyNumberFormat="0" applyFill="0" applyBorder="1" applyAlignment="1">
      <alignment horizontal="center" vertical="center" textRotation="0" wrapText="false" shrinkToFit="false"/>
    </xf>
    <xf xfId="0" fontId="33" numFmtId="0" fillId="0" borderId="14" applyFont="1" applyNumberFormat="0" applyFill="0" applyBorder="1" applyAlignment="1">
      <alignment horizontal="left" vertical="center" textRotation="0" wrapText="false" shrinkToFit="false"/>
    </xf>
    <xf xfId="0" fontId="33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28" numFmtId="0" fillId="6" borderId="3" applyFont="1" applyNumberFormat="0" applyFill="1" applyBorder="1" applyAlignment="1">
      <alignment horizontal="left" vertical="center" textRotation="0" wrapText="false" shrinkToFit="false"/>
    </xf>
    <xf xfId="0" fontId="36" numFmtId="0" fillId="6" borderId="19" applyFont="1" applyNumberFormat="0" applyFill="1" applyBorder="1" applyAlignment="1">
      <alignment horizontal="left" vertical="center" textRotation="0" wrapText="false" shrinkToFit="false"/>
    </xf>
    <xf xfId="0" fontId="25" numFmtId="0" fillId="3" borderId="3" applyFont="1" applyNumberFormat="0" applyFill="1" applyBorder="1" applyAlignment="1">
      <alignment horizontal="left" vertical="center" textRotation="0" wrapText="false" shrinkToFit="false"/>
    </xf>
    <xf xfId="0" fontId="6" numFmtId="0" fillId="0" borderId="16" applyFont="1" applyNumberFormat="0" applyFill="0" applyBorder="1" applyAlignment="1">
      <alignment horizontal="center" vertical="center" textRotation="0" wrapText="true" shrinkToFit="false"/>
    </xf>
    <xf xfId="0" fontId="6" numFmtId="0" fillId="0" borderId="15" applyFont="1" applyNumberFormat="0" applyFill="0" applyBorder="1" applyAlignment="1">
      <alignment horizontal="center" vertical="center" textRotation="0" wrapText="tru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horizontal="center" vertical="center" textRotation="0" wrapText="true" shrinkToFit="false"/>
    </xf>
    <xf xfId="0" fontId="37" numFmtId="0" fillId="0" borderId="14" applyFont="1" applyNumberFormat="0" applyFill="0" applyBorder="1" applyAlignment="1">
      <alignment horizontal="center" vertical="center" textRotation="0" wrapText="false" shrinkToFit="false"/>
    </xf>
    <xf xfId="0" fontId="37" numFmtId="0" fillId="0" borderId="3" applyFont="1" applyNumberFormat="0" applyFill="0" applyBorder="1" applyAlignment="1">
      <alignment horizontal="center" vertical="center" textRotation="0" wrapText="false" shrinkToFit="false"/>
    </xf>
    <xf xfId="0" fontId="37" numFmtId="0" fillId="0" borderId="19" applyFont="1" applyNumberFormat="0" applyFill="0" applyBorder="1" applyAlignment="1">
      <alignment horizontal="center" vertical="center" textRotation="0" wrapText="false" shrinkToFit="false"/>
    </xf>
    <xf xfId="0" fontId="38" numFmtId="165" fillId="6" borderId="14" applyFont="1" applyNumberFormat="1" applyFill="1" applyBorder="1" applyAlignment="1">
      <alignment horizontal="center" vertical="center" textRotation="0" wrapText="false" shrinkToFit="false"/>
    </xf>
    <xf xfId="0" fontId="38" numFmtId="165" fillId="6" borderId="19" applyFont="1" applyNumberFormat="1" applyFill="1" applyBorder="1" applyAlignment="1">
      <alignment horizontal="center" vertical="center" textRotation="0" wrapText="false" shrinkToFit="false"/>
    </xf>
    <xf xfId="0" fontId="28" numFmtId="0" fillId="6" borderId="14" applyFont="1" applyNumberFormat="0" applyFill="1" applyBorder="1" applyAlignment="1">
      <alignment horizontal="center" vertical="bottom" textRotation="0" wrapText="false" shrinkToFit="false"/>
    </xf>
    <xf xfId="0" fontId="28" numFmtId="0" fillId="6" borderId="3" applyFont="1" applyNumberFormat="0" applyFill="1" applyBorder="1" applyAlignment="1">
      <alignment horizontal="center" vertical="bottom" textRotation="0" wrapText="false" shrinkToFit="false"/>
    </xf>
    <xf xfId="0" fontId="28" numFmtId="0" fillId="6" borderId="19" applyFont="1" applyNumberFormat="0" applyFill="1" applyBorder="1" applyAlignment="1">
      <alignment horizontal="center" vertical="bottom" textRotation="0" wrapText="false" shrinkToFit="false"/>
    </xf>
    <xf xfId="0" fontId="11" numFmtId="0" fillId="3" borderId="16" applyFont="1" applyNumberFormat="0" applyFill="1" applyBorder="1" applyAlignment="1">
      <alignment horizontal="left" vertical="center" textRotation="0" wrapText="false" shrinkToFit="false"/>
    </xf>
    <xf xfId="0" fontId="11" numFmtId="0" fillId="3" borderId="15" applyFont="1" applyNumberFormat="0" applyFill="1" applyBorder="1" applyAlignment="1">
      <alignment horizontal="left" vertical="center" textRotation="0" wrapText="false" shrinkToFit="false"/>
    </xf>
    <xf xfId="0" fontId="11" numFmtId="0" fillId="3" borderId="10" applyFont="1" applyNumberFormat="0" applyFill="1" applyBorder="1" applyAlignment="1">
      <alignment horizontal="left" vertical="center" textRotation="0" wrapText="false" shrinkToFit="false"/>
    </xf>
    <xf xfId="0" fontId="11" numFmtId="0" fillId="3" borderId="18" applyFont="1" applyNumberFormat="0" applyFill="1" applyBorder="1" applyAlignment="1">
      <alignment horizontal="left" vertical="center" textRotation="0" wrapText="false" shrinkToFit="false"/>
    </xf>
    <xf xfId="0" fontId="11" numFmtId="0" fillId="3" borderId="8" applyFont="1" applyNumberFormat="0" applyFill="1" applyBorder="1" applyAlignment="1">
      <alignment horizontal="left" vertical="center" textRotation="0" wrapText="false" shrinkToFit="false"/>
    </xf>
    <xf xfId="0" fontId="11" numFmtId="0" fillId="3" borderId="20" applyFont="1" applyNumberFormat="0" applyFill="1" applyBorder="1" applyAlignment="1">
      <alignment horizontal="left" vertical="center" textRotation="0" wrapText="false" shrinkToFit="false"/>
    </xf>
    <xf xfId="0" fontId="11" numFmtId="0" fillId="3" borderId="8" applyFont="1" applyNumberFormat="0" applyFill="1" applyBorder="1" applyAlignment="1">
      <alignment vertical="center" textRotation="0" wrapText="false" shrinkToFit="false"/>
    </xf>
    <xf xfId="0" fontId="11" numFmtId="0" fillId="3" borderId="6" applyFont="1" applyNumberFormat="0" applyFill="1" applyBorder="1" applyAlignment="1">
      <alignment vertical="center" textRotation="0" wrapText="false" shrinkToFit="false"/>
    </xf>
    <xf xfId="0" fontId="11" numFmtId="0" fillId="3" borderId="20" applyFont="1" applyNumberFormat="0" applyFill="1" applyBorder="1" applyAlignment="1">
      <alignment vertical="center" textRotation="0" wrapText="false" shrinkToFit="false"/>
    </xf>
    <xf xfId="0" fontId="28" numFmtId="0" fillId="6" borderId="14" applyFont="1" applyNumberFormat="0" applyFill="1" applyBorder="1" applyAlignment="0"/>
    <xf xfId="0" fontId="28" numFmtId="0" fillId="6" borderId="3" applyFont="1" applyNumberFormat="0" applyFill="1" applyBorder="1" applyAlignment="0"/>
    <xf xfId="0" fontId="28" numFmtId="0" fillId="6" borderId="19" applyFont="1" applyNumberFormat="0" applyFill="1" applyBorder="1" applyAlignment="0"/>
    <xf xfId="0" fontId="28" numFmtId="0" fillId="6" borderId="1" applyFont="1" applyNumberFormat="0" applyFill="1" applyBorder="1" applyAlignment="0"/>
    <xf xfId="0" fontId="36" numFmtId="0" fillId="6" borderId="1" applyFont="1" applyNumberFormat="0" applyFill="1" applyBorder="1" applyAlignment="0"/>
    <xf xfId="0" fontId="6" numFmtId="0" fillId="12" borderId="12" applyFont="1" applyNumberFormat="0" applyFill="1" applyBorder="1" applyAlignment="0"/>
    <xf xfId="0" fontId="6" numFmtId="0" fillId="12" borderId="13" applyFont="1" applyNumberFormat="0" applyFill="1" applyBorder="1" applyAlignment="0"/>
    <xf xfId="0" fontId="39" numFmtId="0" fillId="12" borderId="10" applyFont="1" applyNumberFormat="0" applyFill="1" applyBorder="1" applyAlignment="0"/>
    <xf xfId="0" fontId="39" numFmtId="0" fillId="12" borderId="0" applyFont="1" applyNumberFormat="0" applyFill="1" applyBorder="0" applyAlignment="0"/>
    <xf xfId="0" fontId="39" numFmtId="0" fillId="12" borderId="18" applyFont="1" applyNumberFormat="0" applyFill="1" applyBorder="1" applyAlignment="0"/>
    <xf xfId="0" fontId="6" numFmtId="0" fillId="12" borderId="12" applyFont="1" applyNumberFormat="0" applyFill="1" applyBorder="1" applyAlignment="1">
      <alignment horizontal="left" vertical="center" textRotation="0" wrapText="false" shrinkToFit="false"/>
    </xf>
    <xf xfId="0" fontId="18" numFmtId="0" fillId="12" borderId="10" applyFont="1" applyNumberFormat="0" applyFill="1" applyBorder="1" applyAlignment="0"/>
    <xf xfId="0" fontId="18" numFmtId="0" fillId="12" borderId="12" applyFont="1" applyNumberFormat="0" applyFill="1" applyBorder="1" applyAlignment="0"/>
    <xf xfId="0" fontId="11" numFmtId="0" fillId="3" borderId="3" applyFont="1" applyNumberFormat="0" applyFill="1" applyBorder="1" applyAlignment="1">
      <alignment horizontal="left" vertical="center" textRotation="0" wrapText="false" shrinkToFit="false"/>
    </xf>
    <xf xfId="0" fontId="6" numFmtId="0" fillId="0" borderId="10" applyFont="1" applyNumberFormat="0" applyFill="0" applyBorder="1" applyAlignment="1">
      <alignment horizontal="left" vertical="center" textRotation="0" wrapText="false" shrinkToFit="false"/>
    </xf>
    <xf xfId="0" fontId="18" numFmtId="0" fillId="0" borderId="0" applyFont="1" applyNumberFormat="0" applyFill="0" applyBorder="0" applyAlignment="0"/>
    <xf xfId="0" fontId="18" numFmtId="0" fillId="0" borderId="18" applyFont="1" applyNumberFormat="0" applyFill="0" applyBorder="1" applyAlignment="0"/>
    <xf xfId="0" fontId="18" numFmtId="0" fillId="0" borderId="10" applyFont="1" applyNumberFormat="0" applyFill="0" applyBorder="1" applyAlignment="0"/>
    <xf xfId="0" fontId="18" numFmtId="0" fillId="0" borderId="8" applyFont="1" applyNumberFormat="0" applyFill="0" applyBorder="1" applyAlignment="0"/>
    <xf xfId="0" fontId="18" numFmtId="0" fillId="0" borderId="6" applyFont="1" applyNumberFormat="0" applyFill="0" applyBorder="1" applyAlignment="0"/>
    <xf xfId="0" fontId="18" numFmtId="0" fillId="0" borderId="20" applyFont="1" applyNumberFormat="0" applyFill="0" applyBorder="1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8" applyFont="1" applyNumberFormat="0" applyFill="0" applyBorder="1" applyAlignment="1">
      <alignment horizontal="left" vertical="center" textRotation="0" wrapText="false" shrinkToFit="false"/>
    </xf>
    <xf xfId="0" fontId="6" numFmtId="0" fillId="0" borderId="8" applyFont="1" applyNumberFormat="0" applyFill="0" applyBorder="1" applyAlignment="1">
      <alignment horizontal="left" vertical="center" textRotation="0" wrapText="false" shrinkToFit="false"/>
    </xf>
    <xf xfId="0" fontId="6" numFmtId="0" fillId="0" borderId="6" applyFont="1" applyNumberFormat="0" applyFill="0" applyBorder="1" applyAlignment="1">
      <alignment horizontal="left" vertical="center" textRotation="0" wrapText="false" shrinkToFit="false"/>
    </xf>
    <xf xfId="0" fontId="6" numFmtId="0" fillId="0" borderId="20" applyFont="1" applyNumberFormat="0" applyFill="0" applyBorder="1" applyAlignment="1">
      <alignment horizontal="left" vertical="center" textRotation="0" wrapText="false" shrinkToFit="false"/>
    </xf>
    <xf xfId="0" fontId="37" numFmtId="0" fillId="0" borderId="16" applyFont="1" applyNumberFormat="0" applyFill="0" applyBorder="1" applyAlignment="1">
      <alignment horizontal="center" vertical="center" textRotation="0" wrapText="false" shrinkToFit="false"/>
    </xf>
    <xf xfId="0" fontId="18" numFmtId="0" fillId="0" borderId="17" applyFont="1" applyNumberFormat="0" applyFill="0" applyBorder="1" applyAlignment="1">
      <alignment horizontal="center" vertical="bottom" textRotation="0" wrapText="false" shrinkToFit="false"/>
    </xf>
    <xf xfId="0" fontId="18" numFmtId="0" fillId="0" borderId="15" applyFont="1" applyNumberFormat="0" applyFill="0" applyBorder="1" applyAlignment="1">
      <alignment horizontal="center" vertical="bottom" textRotation="0" wrapText="false" shrinkToFit="false"/>
    </xf>
    <xf xfId="0" fontId="18" numFmtId="0" fillId="0" borderId="10" applyFont="1" applyNumberFormat="0" applyFill="0" applyBorder="1" applyAlignment="1">
      <alignment horizontal="center" vertical="bottom" textRotation="0" wrapText="false" shrinkToFit="false"/>
    </xf>
    <xf xfId="0" fontId="18" numFmtId="0" fillId="0" borderId="0" applyFont="1" applyNumberFormat="0" applyFill="0" applyBorder="0" applyAlignment="1">
      <alignment horizontal="center" vertical="bottom" textRotation="0" wrapText="false" shrinkToFit="false"/>
    </xf>
    <xf xfId="0" fontId="18" numFmtId="0" fillId="0" borderId="18" applyFont="1" applyNumberFormat="0" applyFill="0" applyBorder="1" applyAlignment="1">
      <alignment horizontal="center" vertical="bottom" textRotation="0" wrapText="false" shrinkToFit="false"/>
    </xf>
    <xf xfId="0" fontId="18" numFmtId="0" fillId="0" borderId="8" applyFont="1" applyNumberFormat="0" applyFill="0" applyBorder="1" applyAlignment="1">
      <alignment horizontal="center" vertical="bottom" textRotation="0" wrapText="false" shrinkToFit="false"/>
    </xf>
    <xf xfId="0" fontId="18" numFmtId="0" fillId="0" borderId="6" applyFont="1" applyNumberFormat="0" applyFill="0" applyBorder="1" applyAlignment="1">
      <alignment horizontal="center" vertical="bottom" textRotation="0" wrapText="false" shrinkToFit="false"/>
    </xf>
    <xf xfId="0" fontId="18" numFmtId="0" fillId="0" borderId="20" applyFont="1" applyNumberFormat="0" applyFill="0" applyBorder="1" applyAlignment="1">
      <alignment horizontal="center" vertical="bottom" textRotation="0" wrapText="false" shrinkToFit="false"/>
    </xf>
    <xf xfId="0" fontId="40" numFmtId="0" fillId="14" borderId="16" applyFont="1" applyNumberFormat="0" applyFill="1" applyBorder="1" applyAlignment="1">
      <alignment horizontal="center" vertical="center" textRotation="0" wrapText="false" shrinkToFit="false"/>
    </xf>
    <xf xfId="0" fontId="41" numFmtId="0" fillId="14" borderId="17" applyFont="1" applyNumberFormat="0" applyFill="1" applyBorder="1" applyAlignment="1">
      <alignment horizontal="center" vertical="center" textRotation="0" wrapText="false" shrinkToFit="false"/>
    </xf>
    <xf xfId="0" fontId="41" numFmtId="0" fillId="14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6" applyFont="1" applyNumberFormat="0" applyFill="0" applyBorder="1" applyAlignment="0"/>
    <xf xfId="0" fontId="6" numFmtId="0" fillId="0" borderId="17" applyFont="1" applyNumberFormat="0" applyFill="0" applyBorder="1" applyAlignment="0"/>
    <xf xfId="0" fontId="6" numFmtId="0" fillId="0" borderId="15" applyFont="1" applyNumberFormat="0" applyFill="0" applyBorder="1" applyAlignment="0"/>
    <xf xfId="0" fontId="6" numFmtId="0" fillId="0" borderId="10" applyFont="1" applyNumberFormat="0" applyFill="0" applyBorder="1" applyAlignment="0"/>
    <xf xfId="0" fontId="6" numFmtId="0" fillId="0" borderId="0" applyFont="1" applyNumberFormat="0" applyFill="0" applyBorder="0" applyAlignment="0"/>
    <xf xfId="0" fontId="6" numFmtId="0" fillId="0" borderId="18" applyFont="1" applyNumberFormat="0" applyFill="0" applyBorder="1" applyAlignment="0"/>
    <xf xfId="0" fontId="6" numFmtId="0" fillId="0" borderId="8" applyFont="1" applyNumberFormat="0" applyFill="0" applyBorder="1" applyAlignment="0"/>
    <xf xfId="0" fontId="6" numFmtId="0" fillId="0" borderId="6" applyFont="1" applyNumberFormat="0" applyFill="0" applyBorder="1" applyAlignment="0"/>
    <xf xfId="0" fontId="6" numFmtId="0" fillId="0" borderId="20" applyFont="1" applyNumberFormat="0" applyFill="0" applyBorder="1" applyAlignment="0"/>
    <xf xfId="0" fontId="35" numFmtId="0" fillId="0" borderId="16" applyFont="1" applyNumberFormat="0" applyFill="0" applyBorder="1" applyAlignment="1">
      <alignment horizontal="center" vertical="center" textRotation="0" wrapText="false" shrinkToFit="false"/>
    </xf>
    <xf xfId="0" fontId="35" numFmtId="0" fillId="0" borderId="17" applyFont="1" applyNumberFormat="0" applyFill="0" applyBorder="1" applyAlignment="1">
      <alignment horizontal="center" vertical="center" textRotation="0" wrapText="false" shrinkToFit="false"/>
    </xf>
    <xf xfId="0" fontId="35" numFmtId="0" fillId="0" borderId="15" applyFont="1" applyNumberFormat="0" applyFill="0" applyBorder="1" applyAlignment="1">
      <alignment horizontal="center" vertical="center" textRotation="0" wrapText="false" shrinkToFit="false"/>
    </xf>
    <xf xfId="0" fontId="35" numFmtId="0" fillId="0" borderId="8" applyFont="1" applyNumberFormat="0" applyFill="0" applyBorder="1" applyAlignment="1">
      <alignment horizontal="center" vertical="center" textRotation="0" wrapText="false" shrinkToFit="false"/>
    </xf>
    <xf xfId="0" fontId="35" numFmtId="0" fillId="0" borderId="6" applyFont="1" applyNumberFormat="0" applyFill="0" applyBorder="1" applyAlignment="1">
      <alignment horizontal="center" vertical="center" textRotation="0" wrapText="false" shrinkToFit="false"/>
    </xf>
    <xf xfId="0" fontId="35" numFmtId="0" fillId="0" borderId="20" applyFont="1" applyNumberFormat="0" applyFill="0" applyBorder="1" applyAlignment="1">
      <alignment horizontal="center" vertical="center" textRotation="0" wrapText="false" shrinkToFit="false"/>
    </xf>
    <xf xfId="0" fontId="33" numFmtId="0" fillId="0" borderId="19" applyFont="1" applyNumberFormat="0" applyFill="0" applyBorder="1" applyAlignment="1">
      <alignment horizontal="left" vertical="center" textRotation="0" wrapText="false" shrinkToFit="false"/>
    </xf>
    <xf xfId="0" fontId="33" numFmtId="0" fillId="0" borderId="14" applyFont="1" applyNumberFormat="0" applyFill="0" applyBorder="1" applyAlignment="1">
      <alignment horizontal="left" vertical="center" textRotation="0" wrapText="false" shrinkToFit="false"/>
    </xf>
    <xf xfId="0" fontId="33" numFmtId="0" fillId="0" borderId="3" applyFont="1" applyNumberFormat="0" applyFill="0" applyBorder="1" applyAlignment="1">
      <alignment horizontal="left" vertical="center" textRotation="0" wrapText="false" shrinkToFit="false"/>
    </xf>
    <xf xfId="0" fontId="42" numFmtId="0" fillId="0" borderId="16" applyFont="1" applyNumberFormat="0" applyFill="0" applyBorder="1" applyAlignment="1">
      <alignment horizontal="center" vertical="center" textRotation="0" wrapText="false" shrinkToFit="false"/>
    </xf>
    <xf xfId="0" fontId="42" numFmtId="0" fillId="0" borderId="17" applyFont="1" applyNumberFormat="0" applyFill="0" applyBorder="1" applyAlignment="1">
      <alignment horizontal="center" vertical="center" textRotation="0" wrapText="false" shrinkToFit="false"/>
    </xf>
    <xf xfId="0" fontId="42" numFmtId="0" fillId="0" borderId="15" applyFont="1" applyNumberFormat="0" applyFill="0" applyBorder="1" applyAlignment="1">
      <alignment horizontal="center" vertical="center" textRotation="0" wrapText="false" shrinkToFit="false"/>
    </xf>
    <xf xfId="0" fontId="42" numFmtId="0" fillId="0" borderId="8" applyFont="1" applyNumberFormat="0" applyFill="0" applyBorder="1" applyAlignment="1">
      <alignment horizontal="center" vertical="center" textRotation="0" wrapText="false" shrinkToFit="false"/>
    </xf>
    <xf xfId="0" fontId="42" numFmtId="0" fillId="0" borderId="6" applyFont="1" applyNumberFormat="0" applyFill="0" applyBorder="1" applyAlignment="1">
      <alignment horizontal="center" vertical="center" textRotation="0" wrapText="false" shrinkToFit="false"/>
    </xf>
    <xf xfId="0" fontId="42" numFmtId="0" fillId="0" borderId="20" applyFont="1" applyNumberFormat="0" applyFill="0" applyBorder="1" applyAlignment="1">
      <alignment horizontal="center" vertical="center" textRotation="0" wrapText="false" shrinkToFit="false"/>
    </xf>
    <xf xfId="0" fontId="33" numFmtId="0" fillId="0" borderId="14" applyFont="1" applyNumberFormat="0" applyFill="0" applyBorder="1" applyAlignment="1">
      <alignment horizontal="center" vertical="center" textRotation="0" wrapText="false" shrinkToFit="false"/>
    </xf>
    <xf xfId="0" fontId="33" numFmtId="0" fillId="0" borderId="3" applyFont="1" applyNumberFormat="0" applyFill="0" applyBorder="1" applyAlignment="1">
      <alignment horizontal="center" vertical="center" textRotation="0" wrapText="false" shrinkToFit="false"/>
    </xf>
    <xf xfId="0" fontId="33" numFmtId="0" fillId="0" borderId="19" applyFont="1" applyNumberFormat="0" applyFill="0" applyBorder="1" applyAlignment="1">
      <alignment horizontal="center" vertical="center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17" numFmtId="0" fillId="10" borderId="14" applyFont="1" applyNumberFormat="0" applyFill="1" applyBorder="1" applyAlignment="1">
      <alignment horizontal="center" vertical="center" textRotation="0" wrapText="false" shrinkToFit="false"/>
    </xf>
    <xf xfId="0" fontId="17" numFmtId="0" fillId="10" borderId="3" applyFont="1" applyNumberFormat="0" applyFill="1" applyBorder="1" applyAlignment="1">
      <alignment horizontal="center" vertical="center" textRotation="0" wrapText="false" shrinkToFit="false"/>
    </xf>
    <xf xfId="0" fontId="17" numFmtId="0" fillId="10" borderId="19" applyFont="1" applyNumberFormat="0" applyFill="1" applyBorder="1" applyAlignment="1">
      <alignment horizontal="center" vertical="center" textRotation="0" wrapText="false" shrinkToFit="false"/>
    </xf>
    <xf xfId="0" fontId="6" numFmtId="0" fillId="10" borderId="14" applyFont="1" applyNumberFormat="0" applyFill="1" applyBorder="1" applyAlignment="1">
      <alignment horizontal="center" vertical="center" textRotation="0" wrapText="false" shrinkToFit="false"/>
    </xf>
    <xf xfId="0" fontId="6" numFmtId="0" fillId="10" borderId="3" applyFont="1" applyNumberFormat="0" applyFill="1" applyBorder="1" applyAlignment="1">
      <alignment horizontal="center" vertical="center" textRotation="0" wrapText="false" shrinkToFit="false"/>
    </xf>
    <xf xfId="0" fontId="6" numFmtId="0" fillId="10" borderId="19" applyFont="1" applyNumberFormat="0" applyFill="1" applyBorder="1" applyAlignment="1">
      <alignment horizontal="center" vertical="center" textRotation="0" wrapText="false" shrinkToFit="false"/>
    </xf>
    <xf xfId="0" fontId="6" numFmtId="0" fillId="12" borderId="16" applyFont="1" applyNumberFormat="0" applyFill="1" applyBorder="1" applyAlignment="0"/>
    <xf xfId="0" fontId="0" numFmtId="0" fillId="12" borderId="17" applyFont="0" applyNumberFormat="0" applyFill="1" applyBorder="1" applyAlignment="0"/>
    <xf xfId="0" fontId="0" numFmtId="0" fillId="12" borderId="15" applyFont="0" applyNumberFormat="0" applyFill="1" applyBorder="1" applyAlignment="0"/>
    <xf xfId="0" fontId="6" numFmtId="0" fillId="0" borderId="17" applyFont="1" applyNumberFormat="0" applyFill="0" applyBorder="1" applyAlignment="0"/>
    <xf xfId="0" fontId="6" numFmtId="0" fillId="0" borderId="15" applyFont="1" applyNumberFormat="0" applyFill="0" applyBorder="1" applyAlignment="0"/>
    <xf xfId="0" fontId="6" numFmtId="0" fillId="0" borderId="0" applyFont="1" applyNumberFormat="0" applyFill="0" applyBorder="0" applyAlignment="0"/>
    <xf xfId="0" fontId="6" numFmtId="0" fillId="0" borderId="18" applyFont="1" applyNumberFormat="0" applyFill="0" applyBorder="1" applyAlignment="0"/>
    <xf xfId="0" fontId="6" numFmtId="0" fillId="0" borderId="6" applyFont="1" applyNumberFormat="0" applyFill="0" applyBorder="1" applyAlignment="0"/>
    <xf xfId="0" fontId="6" numFmtId="0" fillId="0" borderId="20" applyFont="1" applyNumberFormat="0" applyFill="0" applyBorder="1" applyAlignment="0"/>
    <xf xfId="0" fontId="6" numFmtId="0" fillId="12" borderId="16" applyFont="1" applyNumberFormat="0" applyFill="1" applyBorder="1" applyAlignment="0"/>
    <xf xfId="0" fontId="18" numFmtId="0" fillId="12" borderId="17" applyFont="1" applyNumberFormat="0" applyFill="1" applyBorder="1" applyAlignment="0"/>
    <xf xfId="0" fontId="18" numFmtId="0" fillId="12" borderId="15" applyFont="1" applyNumberFormat="0" applyFill="1" applyBorder="1" applyAlignment="0"/>
    <xf xfId="0" fontId="6" numFmtId="0" fillId="24" borderId="1" applyFont="1" applyNumberFormat="0" applyFill="1" applyBorder="1" applyAlignment="1">
      <alignment horizontal="left" vertical="center" textRotation="0" wrapText="true" shrinkToFit="false"/>
    </xf>
    <xf xfId="0" fontId="28" numFmtId="0" fillId="6" borderId="1" applyFont="1" applyNumberFormat="0" applyFill="1" applyBorder="1" applyAlignment="1">
      <alignment horizontal="left" vertical="center" textRotation="0" wrapText="true" shrinkToFit="false"/>
    </xf>
    <xf xfId="0" fontId="3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7" applyFont="1" applyNumberFormat="0" applyFill="0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33" numFmtId="0" fillId="0" borderId="1" applyFont="1" applyNumberFormat="0" applyFill="0" applyBorder="1" applyAlignment="1">
      <alignment horizontal="left" vertical="center" textRotation="0" wrapText="false" shrinkToFit="false"/>
    </xf>
    <xf xfId="0" fontId="33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12" borderId="14" applyFont="1" applyNumberFormat="0" applyFill="1" applyBorder="1" applyAlignment="1">
      <alignment horizontal="center" vertical="bottom" textRotation="0" wrapText="false" shrinkToFit="false"/>
    </xf>
    <xf xfId="0" fontId="6" numFmtId="0" fillId="12" borderId="3" applyFont="1" applyNumberFormat="0" applyFill="1" applyBorder="1" applyAlignment="1">
      <alignment horizontal="center" vertical="bottom" textRotation="0" wrapText="false" shrinkToFit="false"/>
    </xf>
    <xf xfId="0" fontId="6" numFmtId="0" fillId="12" borderId="19" applyFont="1" applyNumberFormat="0" applyFill="1" applyBorder="1" applyAlignment="1">
      <alignment horizontal="center" vertical="bottom" textRotation="0" wrapText="false" shrinkToFit="false"/>
    </xf>
    <xf xfId="0" fontId="6" numFmtId="0" fillId="17" borderId="17" applyFont="1" applyNumberFormat="0" applyFill="1" applyBorder="1" applyAlignment="1">
      <alignment horizontal="left" vertical="bottom" textRotation="0" wrapText="false" shrinkToFit="false"/>
    </xf>
    <xf xfId="0" fontId="6" numFmtId="0" fillId="17" borderId="15" applyFont="1" applyNumberFormat="0" applyFill="1" applyBorder="1" applyAlignment="1">
      <alignment horizontal="left" vertical="bottom" textRotation="0" wrapText="false" shrinkToFit="false"/>
    </xf>
    <xf xfId="0" fontId="6" numFmtId="0" fillId="0" borderId="16" applyFont="1" applyNumberFormat="0" applyFill="0" applyBorder="1" applyAlignment="1">
      <alignment horizontal="center" vertical="bottom" textRotation="0" wrapText="false" shrinkToFit="false"/>
    </xf>
    <xf xfId="0" fontId="6" numFmtId="0" fillId="0" borderId="17" applyFont="1" applyNumberFormat="0" applyFill="0" applyBorder="1" applyAlignment="1">
      <alignment horizontal="center" vertical="bottom" textRotation="0" wrapText="false" shrinkToFit="false"/>
    </xf>
    <xf xfId="0" fontId="6" numFmtId="0" fillId="0" borderId="15" applyFont="1" applyNumberFormat="0" applyFill="0" applyBorder="1" applyAlignment="1">
      <alignment horizontal="center" vertical="bottom" textRotation="0" wrapText="false" shrinkToFit="false"/>
    </xf>
    <xf xfId="0" fontId="17" numFmtId="0" fillId="25" borderId="1" applyFont="1" applyNumberFormat="0" applyFill="1" applyBorder="1" applyAlignment="1">
      <alignment horizontal="center" vertical="bottom" textRotation="0" wrapText="false" shrinkToFit="false"/>
    </xf>
    <xf xfId="0" fontId="6" numFmtId="0" fillId="24" borderId="1" applyFont="1" applyNumberFormat="0" applyFill="1" applyBorder="1" applyAlignment="1">
      <alignment horizontal="left" vertical="center" textRotation="0" wrapText="true" shrinkToFit="false"/>
    </xf>
    <xf xfId="0" fontId="6" numFmtId="0" fillId="6" borderId="14" applyFont="1" applyNumberFormat="0" applyFill="1" applyBorder="1" applyAlignment="1">
      <alignment horizontal="left" vertical="center" textRotation="0" wrapText="true" shrinkToFit="false"/>
    </xf>
    <xf xfId="0" fontId="6" numFmtId="0" fillId="6" borderId="3" applyFont="1" applyNumberFormat="0" applyFill="1" applyBorder="1" applyAlignment="1">
      <alignment horizontal="left" vertical="center" textRotation="0" wrapText="true" shrinkToFit="false"/>
    </xf>
    <xf xfId="0" fontId="6" numFmtId="0" fillId="6" borderId="19" applyFont="1" applyNumberFormat="0" applyFill="1" applyBorder="1" applyAlignment="1">
      <alignment horizontal="left" vertical="center" textRotation="0" wrapText="true" shrinkToFit="false"/>
    </xf>
    <xf xfId="0" fontId="1" numFmtId="0" fillId="19" borderId="1" applyFont="1" applyNumberFormat="0" applyFill="1" applyBorder="1" applyAlignment="1">
      <alignment horizontal="center" vertical="center" textRotation="0" wrapText="true" shrinkToFit="false"/>
    </xf>
    <xf xfId="0" fontId="1" numFmtId="0" fillId="19" borderId="14" applyFont="1" applyNumberFormat="0" applyFill="1" applyBorder="1" applyAlignment="1">
      <alignment horizontal="center" vertical="center" textRotation="0" wrapText="true" shrinkToFit="false"/>
    </xf>
    <xf xfId="0" fontId="1" numFmtId="0" fillId="19" borderId="3" applyFont="1" applyNumberFormat="0" applyFill="1" applyBorder="1" applyAlignment="1">
      <alignment horizontal="center" vertical="center" textRotation="0" wrapText="true" shrinkToFit="false"/>
    </xf>
    <xf xfId="0" fontId="1" numFmtId="0" fillId="19" borderId="19" applyFont="1" applyNumberFormat="0" applyFill="1" applyBorder="1" applyAlignment="1">
      <alignment horizontal="center" vertical="center" textRotation="0" wrapText="true" shrinkToFit="false"/>
    </xf>
    <xf xfId="0" fontId="1" numFmtId="0" fillId="20" borderId="1" applyFont="1" applyNumberFormat="0" applyFill="1" applyBorder="1" applyAlignment="1">
      <alignment horizontal="center" vertical="center" textRotation="0" wrapText="true" shrinkToFit="false"/>
    </xf>
    <xf xfId="0" fontId="6" numFmtId="10" fillId="22" borderId="1" applyFont="1" applyNumberFormat="1" applyFill="1" applyBorder="1" applyAlignment="1">
      <alignment horizontal="center" vertical="bottom" textRotation="0" wrapText="false" shrinkToFit="false"/>
    </xf>
    <xf xfId="0" fontId="6" numFmtId="10" fillId="22" borderId="14" applyFont="1" applyNumberFormat="1" applyFill="1" applyBorder="1" applyAlignment="1">
      <alignment horizontal="center" vertical="bottom" textRotation="0" wrapText="false" shrinkToFit="false"/>
    </xf>
    <xf xfId="0" fontId="6" numFmtId="10" fillId="22" borderId="3" applyFont="1" applyNumberFormat="1" applyFill="1" applyBorder="1" applyAlignment="1">
      <alignment horizontal="center" vertical="bottom" textRotation="0" wrapText="false" shrinkToFit="false"/>
    </xf>
    <xf xfId="0" fontId="6" numFmtId="10" fillId="22" borderId="19" applyFont="1" applyNumberFormat="1" applyFill="1" applyBorder="1" applyAlignment="1">
      <alignment horizontal="center" vertical="bottom" textRotation="0" wrapText="false" shrinkToFit="false"/>
    </xf>
    <xf xfId="0" fontId="34" numFmtId="0" fillId="23" borderId="1" applyFont="1" applyNumberFormat="0" applyFill="1" applyBorder="1" applyAlignment="1">
      <alignment horizontal="center" vertical="bottom" textRotation="0" wrapText="false" shrinkToFit="false"/>
    </xf>
    <xf xfId="0" fontId="6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165" fillId="5" borderId="17" applyFont="1" applyNumberFormat="1" applyFill="1" applyBorder="1" applyAlignment="1">
      <alignment horizontal="center" vertical="center" textRotation="0" wrapText="false" shrinkToFit="false"/>
    </xf>
    <xf xfId="0" fontId="4" numFmtId="165" fillId="5" borderId="15" applyFont="1" applyNumberFormat="1" applyFill="1" applyBorder="1" applyAlignment="1">
      <alignment horizontal="center" vertical="center" textRotation="0" wrapText="false" shrinkToFit="false"/>
    </xf>
    <xf xfId="0" fontId="4" numFmtId="165" fillId="5" borderId="0" applyFont="1" applyNumberFormat="1" applyFill="1" applyBorder="0" applyAlignment="1">
      <alignment horizontal="center" vertical="center" textRotation="0" wrapText="false" shrinkToFit="false"/>
    </xf>
    <xf xfId="0" fontId="4" numFmtId="165" fillId="5" borderId="18" applyFont="1" applyNumberFormat="1" applyFill="1" applyBorder="1" applyAlignment="1">
      <alignment horizontal="center" vertical="center" textRotation="0" wrapText="false" shrinkToFit="false"/>
    </xf>
    <xf xfId="0" fontId="4" numFmtId="165" fillId="5" borderId="6" applyFont="1" applyNumberFormat="1" applyFill="1" applyBorder="1" applyAlignment="1">
      <alignment horizontal="center" vertical="center" textRotation="0" wrapText="false" shrinkToFit="false"/>
    </xf>
    <xf xfId="0" fontId="4" numFmtId="165" fillId="5" borderId="20" applyFont="1" applyNumberFormat="1" applyFill="1" applyBorder="1" applyAlignment="1">
      <alignment horizontal="center" vertical="center" textRotation="0" wrapText="false" shrinkToFit="false"/>
    </xf>
    <xf xfId="0" fontId="4" numFmtId="0" fillId="7" borderId="14" applyFont="1" applyNumberFormat="0" applyFill="1" applyBorder="1" applyAlignment="0"/>
    <xf xfId="0" fontId="4" numFmtId="0" fillId="7" borderId="3" applyFont="1" applyNumberFormat="0" applyFill="1" applyBorder="1" applyAlignment="0"/>
    <xf xfId="0" fontId="4" numFmtId="0" fillId="7" borderId="19" applyFont="1" applyNumberFormat="0" applyFill="1" applyBorder="1" applyAlignment="0"/>
    <xf xfId="0" fontId="1" numFmtId="0" fillId="0" borderId="11" applyFont="1" applyNumberFormat="0" applyFill="0" applyBorder="1" applyAlignment="1">
      <alignment horizontal="center" vertical="center" textRotation="90" wrapText="false" shrinkToFit="false"/>
    </xf>
    <xf xfId="0" fontId="1" numFmtId="0" fillId="0" borderId="12" applyFont="1" applyNumberFormat="0" applyFill="0" applyBorder="1" applyAlignment="1">
      <alignment horizontal="center" vertical="center" textRotation="90" wrapText="false" shrinkToFit="false"/>
    </xf>
    <xf xfId="0" fontId="1" numFmtId="0" fillId="0" borderId="13" applyFont="1" applyNumberFormat="0" applyFill="0" applyBorder="1" applyAlignment="1">
      <alignment horizontal="center" vertical="center" textRotation="90" wrapText="false" shrinkToFit="false"/>
    </xf>
    <xf xfId="0" fontId="4" numFmtId="164" fillId="5" borderId="16" applyFont="1" applyNumberFormat="1" applyFill="1" applyBorder="1" applyAlignment="1">
      <alignment horizontal="center" vertical="center" textRotation="0" wrapText="false" shrinkToFit="false"/>
    </xf>
    <xf xfId="0" fontId="4" numFmtId="164" fillId="5" borderId="17" applyFont="1" applyNumberFormat="1" applyFill="1" applyBorder="1" applyAlignment="1">
      <alignment horizontal="center" vertical="center" textRotation="0" wrapText="false" shrinkToFit="false"/>
    </xf>
    <xf xfId="0" fontId="4" numFmtId="164" fillId="5" borderId="10" applyFont="1" applyNumberFormat="1" applyFill="1" applyBorder="1" applyAlignment="1">
      <alignment horizontal="center" vertical="center" textRotation="0" wrapText="false" shrinkToFit="false"/>
    </xf>
    <xf xfId="0" fontId="4" numFmtId="164" fillId="5" borderId="0" applyFont="1" applyNumberFormat="1" applyFill="1" applyBorder="0" applyAlignment="1">
      <alignment horizontal="center" vertical="center" textRotation="0" wrapText="false" shrinkToFit="false"/>
    </xf>
    <xf xfId="0" fontId="4" numFmtId="164" fillId="5" borderId="8" applyFont="1" applyNumberFormat="1" applyFill="1" applyBorder="1" applyAlignment="1">
      <alignment horizontal="center" vertical="center" textRotation="0" wrapText="false" shrinkToFit="false"/>
    </xf>
    <xf xfId="0" fontId="4" numFmtId="164" fillId="5" borderId="6" applyFont="1" applyNumberFormat="1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90" wrapText="true" shrinkToFit="false"/>
    </xf>
    <xf xfId="0" fontId="1" numFmtId="0" fillId="0" borderId="12" applyFont="1" applyNumberFormat="0" applyFill="0" applyBorder="1" applyAlignment="1">
      <alignment horizontal="center" vertical="center" textRotation="90" wrapText="true" shrinkToFit="false"/>
    </xf>
    <xf xfId="0" fontId="1" numFmtId="0" fillId="0" borderId="13" applyFont="1" applyNumberFormat="0" applyFill="0" applyBorder="1" applyAlignment="1">
      <alignment horizontal="center" vertical="center" textRotation="90" wrapText="true" shrinkToFit="false"/>
    </xf>
    <xf xfId="0" fontId="4" numFmtId="0" fillId="7" borderId="8" applyFont="1" applyNumberFormat="0" applyFill="1" applyBorder="1" applyAlignment="0"/>
    <xf xfId="0" fontId="4" numFmtId="0" fillId="7" borderId="6" applyFont="1" applyNumberFormat="0" applyFill="1" applyBorder="1" applyAlignment="0"/>
    <xf xfId="0" fontId="4" numFmtId="0" fillId="7" borderId="20" applyFont="1" applyNumberFormat="0" applyFill="1" applyBorder="1" applyAlignment="0"/>
    <xf xfId="0" fontId="43" numFmtId="164" fillId="5" borderId="16" applyFont="1" applyNumberFormat="1" applyFill="1" applyBorder="1" applyAlignment="1">
      <alignment horizontal="center" vertical="center" textRotation="0" wrapText="false" shrinkToFit="false"/>
    </xf>
    <xf xfId="0" fontId="43" numFmtId="164" fillId="5" borderId="17" applyFont="1" applyNumberFormat="1" applyFill="1" applyBorder="1" applyAlignment="1">
      <alignment horizontal="center" vertical="center" textRotation="0" wrapText="false" shrinkToFit="false"/>
    </xf>
    <xf xfId="0" fontId="43" numFmtId="164" fillId="5" borderId="15" applyFont="1" applyNumberFormat="1" applyFill="1" applyBorder="1" applyAlignment="1">
      <alignment horizontal="center" vertical="center" textRotation="0" wrapText="false" shrinkToFit="false"/>
    </xf>
    <xf xfId="0" fontId="43" numFmtId="164" fillId="5" borderId="10" applyFont="1" applyNumberFormat="1" applyFill="1" applyBorder="1" applyAlignment="1">
      <alignment horizontal="center" vertical="center" textRotation="0" wrapText="false" shrinkToFit="false"/>
    </xf>
    <xf xfId="0" fontId="43" numFmtId="164" fillId="5" borderId="0" applyFont="1" applyNumberFormat="1" applyFill="1" applyBorder="0" applyAlignment="1">
      <alignment horizontal="center" vertical="center" textRotation="0" wrapText="false" shrinkToFit="false"/>
    </xf>
    <xf xfId="0" fontId="43" numFmtId="164" fillId="5" borderId="18" applyFont="1" applyNumberFormat="1" applyFill="1" applyBorder="1" applyAlignment="1">
      <alignment horizontal="center" vertical="center" textRotation="0" wrapText="false" shrinkToFit="false"/>
    </xf>
    <xf xfId="0" fontId="43" numFmtId="164" fillId="5" borderId="8" applyFont="1" applyNumberFormat="1" applyFill="1" applyBorder="1" applyAlignment="1">
      <alignment horizontal="center" vertical="center" textRotation="0" wrapText="false" shrinkToFit="false"/>
    </xf>
    <xf xfId="0" fontId="43" numFmtId="164" fillId="5" borderId="6" applyFont="1" applyNumberFormat="1" applyFill="1" applyBorder="1" applyAlignment="1">
      <alignment horizontal="center" vertical="center" textRotation="0" wrapText="false" shrinkToFit="false"/>
    </xf>
    <xf xfId="0" fontId="43" numFmtId="164" fillId="5" borderId="20" applyFont="1" applyNumberFormat="1" applyFill="1" applyBorder="1" applyAlignment="1">
      <alignment horizontal="center" vertical="center" textRotation="0" wrapText="false" shrinkToFit="false"/>
    </xf>
    <xf xfId="0" fontId="4" numFmtId="0" fillId="7" borderId="16" applyFont="1" applyNumberFormat="0" applyFill="1" applyBorder="1" applyAlignment="0"/>
    <xf xfId="0" fontId="4" numFmtId="0" fillId="7" borderId="17" applyFont="1" applyNumberFormat="0" applyFill="1" applyBorder="1" applyAlignment="0"/>
    <xf xfId="0" fontId="4" numFmtId="0" fillId="7" borderId="15" applyFont="1" applyNumberFormat="0" applyFill="1" applyBorder="1" applyAlignment="0"/>
    <xf xfId="0" fontId="2" numFmtId="0" fillId="26" borderId="11" applyFont="1" applyNumberFormat="0" applyFill="1" applyBorder="1" applyAlignment="1">
      <alignment horizontal="center" vertical="center" textRotation="0" wrapText="false" shrinkToFit="false"/>
    </xf>
    <xf xfId="0" fontId="25" numFmtId="0" fillId="26" borderId="12" applyFont="1" applyNumberFormat="0" applyFill="1" applyBorder="1" applyAlignment="1">
      <alignment horizontal="center" vertical="center" textRotation="0" wrapText="false" shrinkToFit="false"/>
    </xf>
    <xf xfId="0" fontId="7" numFmtId="0" fillId="26" borderId="11" applyFont="1" applyNumberFormat="0" applyFill="1" applyBorder="1" applyAlignment="1">
      <alignment horizontal="center" vertical="center" textRotation="90" wrapText="false" shrinkToFit="false"/>
    </xf>
    <xf xfId="0" fontId="7" numFmtId="0" fillId="26" borderId="12" applyFont="1" applyNumberFormat="0" applyFill="1" applyBorder="1" applyAlignment="1">
      <alignment horizontal="center" vertical="center" textRotation="90" wrapText="false" shrinkToFit="false"/>
    </xf>
    <xf xfId="0" fontId="7" numFmtId="0" fillId="26" borderId="13" applyFont="1" applyNumberFormat="0" applyFill="1" applyBorder="1" applyAlignment="1">
      <alignment horizontal="center" vertical="center" textRotation="90" wrapText="false" shrinkToFit="false"/>
    </xf>
    <xf xfId="0" fontId="7" numFmtId="0" fillId="26" borderId="16" applyFont="1" applyNumberFormat="0" applyFill="1" applyBorder="1" applyAlignment="1">
      <alignment horizontal="center" vertical="center" textRotation="90" wrapText="false" shrinkToFit="false"/>
    </xf>
    <xf xfId="0" fontId="7" numFmtId="0" fillId="26" borderId="8" applyFont="1" applyNumberFormat="0" applyFill="1" applyBorder="1" applyAlignment="1">
      <alignment horizontal="center" vertical="center" textRotation="90" wrapText="false" shrinkToFit="false"/>
    </xf>
    <xf xfId="0" fontId="2" numFmtId="0" fillId="26" borderId="14" applyFont="1" applyNumberFormat="0" applyFill="1" applyBorder="1" applyAlignment="1">
      <alignment horizontal="center" vertical="bottom" textRotation="0" wrapText="false" shrinkToFit="false"/>
    </xf>
    <xf xfId="0" fontId="2" numFmtId="0" fillId="26" borderId="3" applyFont="1" applyNumberFormat="0" applyFill="1" applyBorder="1" applyAlignment="1">
      <alignment horizontal="center" vertical="bottom" textRotation="0" wrapText="false" shrinkToFit="false"/>
    </xf>
    <xf xfId="0" fontId="7" numFmtId="0" fillId="26" borderId="15" applyFont="1" applyNumberFormat="0" applyFill="1" applyBorder="1" applyAlignment="1">
      <alignment horizontal="center" vertical="center" textRotation="90" wrapText="false" shrinkToFit="false"/>
    </xf>
    <xf xfId="0" fontId="7" numFmtId="0" fillId="26" borderId="20" applyFont="1" applyNumberFormat="0" applyFill="1" applyBorder="1" applyAlignment="1">
      <alignment horizontal="center" vertical="center" textRotation="90" wrapText="false" shrinkToFit="false"/>
    </xf>
    <xf xfId="0" fontId="2" numFmtId="0" fillId="26" borderId="19" applyFont="1" applyNumberFormat="0" applyFill="1" applyBorder="1" applyAlignment="1">
      <alignment horizontal="center" vertical="bottom" textRotation="0" wrapText="false" shrinkToFit="false"/>
    </xf>
    <xf xfId="0" fontId="2" numFmtId="0" fillId="26" borderId="1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12" borderId="14" applyFont="1" applyNumberFormat="0" applyFill="1" applyBorder="1" applyAlignment="0"/>
    <xf xfId="0" fontId="6" numFmtId="0" fillId="12" borderId="3" applyFont="1" applyNumberFormat="0" applyFill="1" applyBorder="1" applyAlignment="0"/>
    <xf xfId="0" fontId="6" numFmtId="0" fillId="12" borderId="19" applyFont="1" applyNumberFormat="0" applyFill="1" applyBorder="1" applyAlignment="0"/>
    <xf xfId="0" fontId="2" numFmtId="0" fillId="27" borderId="11" applyFont="1" applyNumberFormat="0" applyFill="1" applyBorder="1" applyAlignment="1">
      <alignment horizontal="center" vertical="center" textRotation="0" wrapText="false" shrinkToFit="false"/>
    </xf>
    <xf xfId="0" fontId="2" numFmtId="0" fillId="27" borderId="12" applyFont="1" applyNumberFormat="0" applyFill="1" applyBorder="1" applyAlignment="1">
      <alignment horizontal="center" vertical="center" textRotation="0" wrapText="false" shrinkToFit="false"/>
    </xf>
    <xf xfId="0" fontId="2" numFmtId="0" fillId="27" borderId="13" applyFont="1" applyNumberFormat="0" applyFill="1" applyBorder="1" applyAlignment="1">
      <alignment horizontal="center" vertical="center" textRotation="0" wrapText="false" shrinkToFit="false"/>
    </xf>
    <xf xfId="0" fontId="2" numFmtId="0" fillId="28" borderId="11" applyFont="1" applyNumberFormat="0" applyFill="1" applyBorder="1" applyAlignment="1">
      <alignment horizontal="center" vertical="center" textRotation="0" wrapText="false" shrinkToFit="false"/>
    </xf>
    <xf xfId="0" fontId="25" numFmtId="0" fillId="28" borderId="12" applyFont="1" applyNumberFormat="0" applyFill="1" applyBorder="1" applyAlignment="1">
      <alignment vertical="center" textRotation="0" wrapText="false" shrinkToFit="false"/>
    </xf>
    <xf xfId="0" fontId="25" numFmtId="0" fillId="28" borderId="13" applyFont="1" applyNumberFormat="0" applyFill="1" applyBorder="1" applyAlignment="1">
      <alignment vertical="center" textRotation="0" wrapText="false" shrinkToFit="false"/>
    </xf>
    <xf xfId="0" fontId="2" numFmtId="0" fillId="3" borderId="16" applyFont="1" applyNumberFormat="0" applyFill="1" applyBorder="1" applyAlignment="1">
      <alignment horizontal="center" vertical="center" textRotation="0" wrapText="true" shrinkToFit="false"/>
    </xf>
    <xf xfId="0" fontId="2" numFmtId="0" fillId="3" borderId="21" applyFont="1" applyNumberFormat="0" applyFill="1" applyBorder="1" applyAlignment="1">
      <alignment horizontal="center" vertical="center" textRotation="0" wrapText="true" shrinkToFit="false"/>
    </xf>
    <xf xfId="0" fontId="2" numFmtId="0" fillId="3" borderId="10" applyFont="1" applyNumberFormat="0" applyFill="1" applyBorder="1" applyAlignment="1">
      <alignment horizontal="center" vertical="center" textRotation="0" wrapText="true" shrinkToFit="false"/>
    </xf>
    <xf xfId="0" fontId="2" numFmtId="0" fillId="3" borderId="22" applyFont="1" applyNumberFormat="0" applyFill="1" applyBorder="1" applyAlignment="1">
      <alignment horizontal="center" vertical="center" textRotation="0" wrapText="true" shrinkToFit="false"/>
    </xf>
    <xf xfId="0" fontId="2" numFmtId="0" fillId="3" borderId="8" applyFont="1" applyNumberFormat="0" applyFill="1" applyBorder="1" applyAlignment="1">
      <alignment horizontal="center" vertical="center" textRotation="0" wrapText="true" shrinkToFit="false"/>
    </xf>
    <xf xfId="0" fontId="2" numFmtId="0" fillId="3" borderId="23" applyFont="1" applyNumberFormat="0" applyFill="1" applyBorder="1" applyAlignment="1">
      <alignment horizontal="center" vertical="center" textRotation="0" wrapText="true" shrinkToFit="false"/>
    </xf>
    <xf xfId="0" fontId="2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4" borderId="21" applyFont="1" applyNumberFormat="0" applyFill="1" applyBorder="1" applyAlignment="1">
      <alignment horizontal="center" vertical="center" textRotation="0" wrapText="true" shrinkToFit="false"/>
    </xf>
    <xf xfId="0" fontId="2" numFmtId="0" fillId="4" borderId="25" applyFont="1" applyNumberFormat="0" applyFill="1" applyBorder="1" applyAlignment="1">
      <alignment horizontal="center" vertical="center" textRotation="0" wrapText="true" shrinkToFit="false"/>
    </xf>
    <xf xfId="0" fontId="2" numFmtId="0" fillId="4" borderId="26" applyFont="1" applyNumberFormat="0" applyFill="1" applyBorder="1" applyAlignment="1">
      <alignment horizontal="center" vertical="center" textRotation="0" wrapText="true" shrinkToFit="false"/>
    </xf>
    <xf xfId="0" fontId="2" numFmtId="0" fillId="4" borderId="27" applyFont="1" applyNumberFormat="0" applyFill="1" applyBorder="1" applyAlignment="1">
      <alignment horizontal="center" vertical="center" textRotation="0" wrapText="true" shrinkToFit="false"/>
    </xf>
    <xf xfId="0" fontId="2" numFmtId="0" fillId="4" borderId="28" applyFont="1" applyNumberFormat="0" applyFill="1" applyBorder="1" applyAlignment="1">
      <alignment horizontal="center" vertical="center" textRotation="0" wrapText="true" shrinkToFit="false"/>
    </xf>
    <xf xfId="0" fontId="2" numFmtId="0" fillId="4" borderId="29" applyFont="1" applyNumberFormat="0" applyFill="1" applyBorder="1" applyAlignment="1">
      <alignment horizontal="center" vertical="center" textRotation="0" wrapText="true" shrinkToFit="false"/>
    </xf>
    <xf xfId="0" fontId="2" numFmtId="0" fillId="4" borderId="30" applyFont="1" applyNumberFormat="0" applyFill="1" applyBorder="1" applyAlignment="1">
      <alignment horizontal="center" vertical="center" textRotation="0" wrapText="true" shrinkToFit="false"/>
    </xf>
    <xf xfId="0" fontId="2" numFmtId="0" fillId="4" borderId="31" applyFont="1" applyNumberFormat="0" applyFill="1" applyBorder="1" applyAlignment="1">
      <alignment horizontal="center" vertical="center" textRotation="0" wrapText="true" shrinkToFit="false"/>
    </xf>
    <xf xfId="0" fontId="2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4" borderId="33" applyFont="1" applyNumberFormat="0" applyFill="1" applyBorder="1" applyAlignment="1">
      <alignment horizontal="center" vertical="center" textRotation="0" wrapText="true" shrinkToFit="false"/>
    </xf>
    <xf xfId="0" fontId="2" numFmtId="0" fillId="4" borderId="34" applyFont="1" applyNumberFormat="0" applyFill="1" applyBorder="1" applyAlignment="1">
      <alignment horizontal="center" vertical="center" textRotation="0" wrapText="true" shrinkToFit="false"/>
    </xf>
    <xf xfId="0" fontId="2" numFmtId="0" fillId="4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16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21" applyFont="1" applyNumberFormat="0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false" shrinkToFit="false"/>
    </xf>
    <xf xfId="0" fontId="2" numFmtId="0" fillId="2" borderId="35" applyFont="1" applyNumberFormat="0" applyFill="1" applyBorder="1" applyAlignment="1">
      <alignment horizontal="center" vertical="center" textRotation="0" wrapText="false" shrinkToFit="false"/>
    </xf>
    <xf xfId="0" fontId="2" numFmtId="0" fillId="2" borderId="26" applyFont="1" applyNumberFormat="0" applyFill="1" applyBorder="1" applyAlignment="1">
      <alignment horizontal="center" vertical="center" textRotation="0" wrapText="false" shrinkToFit="false"/>
    </xf>
    <xf xfId="0" fontId="2" numFmtId="0" fillId="2" borderId="27" applyFont="1" applyNumberFormat="0" applyFill="1" applyBorder="1" applyAlignment="1">
      <alignment horizontal="center" vertical="center" textRotation="0" wrapText="false" shrinkToFit="false"/>
    </xf>
    <xf xfId="0" fontId="2" numFmtId="0" fillId="2" borderId="24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33" numFmtId="0" fillId="0" borderId="14" applyFont="1" applyNumberFormat="0" applyFill="0" applyBorder="1" applyAlignment="1">
      <alignment horizontal="left" vertical="center" textRotation="0" wrapText="false" shrinkToFit="false"/>
    </xf>
    <xf xfId="0" fontId="33" numFmtId="0" fillId="0" borderId="3" applyFont="1" applyNumberFormat="0" applyFill="0" applyBorder="1" applyAlignment="1">
      <alignment horizontal="left" vertical="center" textRotation="0" wrapText="false" shrinkToFit="false"/>
    </xf>
    <xf xfId="0" fontId="33" numFmtId="0" fillId="0" borderId="19" applyFont="1" applyNumberFormat="0" applyFill="0" applyBorder="1" applyAlignment="1">
      <alignment horizontal="left" vertical="center" textRotation="0" wrapText="false" shrinkToFit="false"/>
    </xf>
    <xf xfId="0" fontId="44" numFmtId="0" fillId="0" borderId="16" applyFont="1" applyNumberFormat="0" applyFill="0" applyBorder="1" applyAlignment="1">
      <alignment horizontal="center" vertical="center" textRotation="0" wrapText="false" shrinkToFit="false"/>
    </xf>
    <xf xfId="0" fontId="44" numFmtId="0" fillId="0" borderId="17" applyFont="1" applyNumberFormat="0" applyFill="0" applyBorder="1" applyAlignment="1">
      <alignment horizontal="center" vertical="center" textRotation="0" wrapText="false" shrinkToFit="false"/>
    </xf>
    <xf xfId="0" fontId="44" numFmtId="0" fillId="0" borderId="15" applyFont="1" applyNumberFormat="0" applyFill="0" applyBorder="1" applyAlignment="1">
      <alignment horizontal="center" vertical="center" textRotation="0" wrapText="false" shrinkToFit="false"/>
    </xf>
    <xf xfId="0" fontId="44" numFmtId="0" fillId="0" borderId="8" applyFont="1" applyNumberFormat="0" applyFill="0" applyBorder="1" applyAlignment="1">
      <alignment horizontal="center" vertical="center" textRotation="0" wrapText="false" shrinkToFit="false"/>
    </xf>
    <xf xfId="0" fontId="44" numFmtId="0" fillId="0" borderId="6" applyFont="1" applyNumberFormat="0" applyFill="0" applyBorder="1" applyAlignment="1">
      <alignment horizontal="center" vertical="center" textRotation="0" wrapText="false" shrinkToFit="false"/>
    </xf>
    <xf xfId="0" fontId="44" numFmtId="0" fillId="0" borderId="20" applyFont="1" applyNumberFormat="0" applyFill="0" applyBorder="1" applyAlignment="1">
      <alignment horizontal="center" vertical="center" textRotation="0" wrapText="false" shrinkToFit="false"/>
    </xf>
    <xf xfId="0" fontId="6" numFmtId="0" fillId="0" borderId="16" applyFont="1" applyNumberFormat="0" applyFill="0" applyBorder="1" applyAlignment="1">
      <alignment horizontal="center" vertical="center" textRotation="0" wrapText="true" shrinkToFit="false"/>
    </xf>
    <xf xfId="0" fontId="6" numFmtId="0" fillId="0" borderId="17" applyFont="1" applyNumberFormat="0" applyFill="0" applyBorder="1" applyAlignment="1">
      <alignment horizontal="center" vertical="center" textRotation="0" wrapText="true" shrinkToFit="false"/>
    </xf>
    <xf xfId="0" fontId="6" numFmtId="0" fillId="0" borderId="15" applyFont="1" applyNumberFormat="0" applyFill="0" applyBorder="1" applyAlignment="1">
      <alignment horizontal="center" vertical="center" textRotation="0" wrapText="tru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horizontal="center" vertical="center" textRotation="0" wrapText="true" shrinkToFit="false"/>
    </xf>
    <xf xfId="0" fontId="33" numFmtId="0" fillId="13" borderId="14" applyFont="1" applyNumberFormat="0" applyFill="1" applyBorder="1" applyAlignment="1">
      <alignment horizontal="center" vertical="center" textRotation="0" wrapText="false" shrinkToFit="false"/>
    </xf>
    <xf xfId="0" fontId="33" numFmtId="0" fillId="13" borderId="3" applyFont="1" applyNumberFormat="0" applyFill="1" applyBorder="1" applyAlignment="1">
      <alignment horizontal="center" vertical="center" textRotation="0" wrapText="false" shrinkToFit="false"/>
    </xf>
    <xf xfId="0" fontId="33" numFmtId="0" fillId="13" borderId="19" applyFont="1" applyNumberFormat="0" applyFill="1" applyBorder="1" applyAlignment="1">
      <alignment horizontal="center" vertical="center" textRotation="0" wrapText="false" shrinkToFit="false"/>
    </xf>
    <xf xfId="0" fontId="45" numFmtId="0" fillId="0" borderId="14" applyFont="1" applyNumberFormat="0" applyFill="0" applyBorder="1" applyAlignment="1">
      <alignment horizontal="center" vertical="center" textRotation="0" wrapText="false" shrinkToFit="false"/>
    </xf>
    <xf xfId="0" fontId="45" numFmtId="0" fillId="0" borderId="3" applyFont="1" applyNumberFormat="0" applyFill="0" applyBorder="1" applyAlignment="1">
      <alignment horizontal="center" vertical="center" textRotation="0" wrapText="false" shrinkToFit="false"/>
    </xf>
    <xf xfId="0" fontId="45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13" borderId="14" applyFont="1" applyNumberFormat="0" applyFill="1" applyBorder="1" applyAlignment="1">
      <alignment horizontal="center" vertical="center" textRotation="0" wrapText="false" shrinkToFit="false"/>
    </xf>
    <xf xfId="0" fontId="1" numFmtId="0" fillId="13" borderId="3" applyFont="1" applyNumberFormat="0" applyFill="1" applyBorder="1" applyAlignment="1">
      <alignment horizontal="center" vertical="center" textRotation="0" wrapText="false" shrinkToFit="false"/>
    </xf>
    <xf xfId="0" fontId="1" numFmtId="0" fillId="13" borderId="19" applyFont="1" applyNumberFormat="0" applyFill="1" applyBorder="1" applyAlignment="1">
      <alignment horizontal="center" vertical="center" textRotation="0" wrapText="false" shrinkToFit="false"/>
    </xf>
    <xf xfId="0" fontId="22" numFmtId="0" fillId="29" borderId="14" applyFont="1" applyNumberFormat="0" applyFill="1" applyBorder="1" applyAlignment="1">
      <alignment horizontal="center" vertical="bottom" textRotation="0" wrapText="false" shrinkToFit="false"/>
    </xf>
    <xf xfId="0" fontId="22" numFmtId="0" fillId="29" borderId="19" applyFont="1" applyNumberFormat="0" applyFill="1" applyBorder="1" applyAlignment="1">
      <alignment horizontal="center" vertical="bottom" textRotation="0" wrapText="false" shrinkToFit="false"/>
    </xf>
    <xf xfId="0" fontId="2" numFmtId="2" fillId="2" borderId="11" applyFont="1" applyNumberFormat="1" applyFill="1" applyBorder="1" applyAlignment="1">
      <alignment horizontal="center" vertical="center" textRotation="0" wrapText="true" shrinkToFit="false"/>
    </xf>
    <xf xfId="0" fontId="2" numFmtId="2" fillId="2" borderId="12" applyFont="1" applyNumberFormat="1" applyFill="1" applyBorder="1" applyAlignment="1">
      <alignment horizontal="center" vertical="center" textRotation="0" wrapText="true" shrinkToFit="false"/>
    </xf>
    <xf xfId="0" fontId="2" numFmtId="2" fillId="2" borderId="13" applyFont="1" applyNumberFormat="1" applyFill="1" applyBorder="1" applyAlignment="1">
      <alignment horizontal="center" vertical="center" textRotation="0" wrapText="true" shrinkToFit="false"/>
    </xf>
    <xf xfId="0" fontId="1" numFmtId="165" fillId="0" borderId="14" applyFont="1" applyNumberFormat="1" applyFill="0" applyBorder="1" applyAlignment="1">
      <alignment horizontal="center" vertical="center" textRotation="0" wrapText="false" shrinkToFit="false"/>
    </xf>
    <xf xfId="0" fontId="1" numFmtId="165" fillId="0" borderId="3" applyFont="1" applyNumberFormat="1" applyFill="0" applyBorder="1" applyAlignment="1">
      <alignment horizontal="center" vertical="center" textRotation="0" wrapText="false" shrinkToFit="false"/>
    </xf>
    <xf xfId="0" fontId="1" numFmtId="165" fillId="0" borderId="19" applyFont="1" applyNumberFormat="1" applyFill="0" applyBorder="1" applyAlignment="1">
      <alignment horizontal="center" vertical="center" textRotation="0" wrapText="false" shrinkToFit="false"/>
    </xf>
    <xf xfId="0" fontId="30" numFmtId="0" fillId="0" borderId="14" applyFont="1" applyNumberFormat="0" applyFill="0" applyBorder="1" applyAlignment="1">
      <alignment horizontal="center" vertical="center" textRotation="0" wrapText="false" shrinkToFit="false"/>
    </xf>
    <xf xfId="0" fontId="30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2" borderId="28" applyFont="1" applyNumberFormat="0" applyFill="1" applyBorder="1" applyAlignment="1">
      <alignment horizontal="center" vertical="center" textRotation="0" wrapText="false" shrinkToFit="false"/>
    </xf>
    <xf xfId="0" fontId="2" numFmtId="0" fillId="2" borderId="29" applyFont="1" applyNumberFormat="0" applyFill="1" applyBorder="1" applyAlignment="1">
      <alignment horizontal="center" vertical="center" textRotation="0" wrapText="false" shrinkToFit="false"/>
    </xf>
    <xf xfId="0" fontId="2" numFmtId="0" fillId="2" borderId="30" applyFont="1" applyNumberFormat="0" applyFill="1" applyBorder="1" applyAlignment="1">
      <alignment horizontal="center" vertical="center" textRotation="0" wrapText="false" shrinkToFit="false"/>
    </xf>
    <xf xfId="0" fontId="11" numFmtId="0" fillId="3" borderId="11" applyFont="1" applyNumberFormat="0" applyFill="1" applyBorder="1" applyAlignment="1">
      <alignment horizontal="center" vertical="center" textRotation="0" wrapText="true" shrinkToFit="false"/>
    </xf>
    <xf xfId="0" fontId="11" numFmtId="0" fillId="3" borderId="12" applyFont="1" applyNumberFormat="0" applyFill="1" applyBorder="1" applyAlignment="1">
      <alignment horizontal="center" vertical="center" textRotation="0" wrapText="true" shrinkToFit="false"/>
    </xf>
    <xf xfId="0" fontId="11" numFmtId="0" fillId="3" borderId="13" applyFont="1" applyNumberFormat="0" applyFill="1" applyBorder="1" applyAlignment="1">
      <alignment horizontal="center" vertical="center" textRotation="0" wrapText="true" shrinkToFit="false"/>
    </xf>
    <xf xfId="0" fontId="46" numFmtId="0" fillId="0" borderId="16" applyFont="1" applyNumberFormat="0" applyFill="0" applyBorder="1" applyAlignment="1">
      <alignment horizontal="center" vertical="center" textRotation="0" wrapText="false" shrinkToFit="false"/>
    </xf>
    <xf xfId="0" fontId="46" numFmtId="0" fillId="0" borderId="17" applyFont="1" applyNumberFormat="0" applyFill="0" applyBorder="1" applyAlignment="1">
      <alignment horizontal="center" vertical="center" textRotation="0" wrapText="false" shrinkToFit="false"/>
    </xf>
    <xf xfId="0" fontId="46" numFmtId="0" fillId="0" borderId="15" applyFont="1" applyNumberFormat="0" applyFill="0" applyBorder="1" applyAlignment="1">
      <alignment horizontal="center" vertical="center" textRotation="0" wrapText="false" shrinkToFit="false"/>
    </xf>
    <xf xfId="0" fontId="46" numFmtId="0" fillId="0" borderId="8" applyFont="1" applyNumberFormat="0" applyFill="0" applyBorder="1" applyAlignment="1">
      <alignment horizontal="center" vertical="center" textRotation="0" wrapText="false" shrinkToFit="false"/>
    </xf>
    <xf xfId="0" fontId="46" numFmtId="0" fillId="0" borderId="6" applyFont="1" applyNumberFormat="0" applyFill="0" applyBorder="1" applyAlignment="1">
      <alignment horizontal="center" vertical="center" textRotation="0" wrapText="false" shrinkToFit="false"/>
    </xf>
    <xf xfId="0" fontId="46" numFmtId="0" fillId="0" borderId="20" applyFont="1" applyNumberFormat="0" applyFill="0" applyBorder="1" applyAlignment="1">
      <alignment horizontal="center" vertical="center" textRotation="0" wrapText="false" shrinkToFit="false"/>
    </xf>
    <xf xfId="0" fontId="17" numFmtId="0" fillId="10" borderId="8" applyFont="1" applyNumberFormat="0" applyFill="1" applyBorder="1" applyAlignment="1">
      <alignment horizontal="left" vertical="center" textRotation="0" wrapText="false" shrinkToFit="false"/>
    </xf>
    <xf xfId="0" fontId="17" numFmtId="0" fillId="10" borderId="6" applyFont="1" applyNumberFormat="0" applyFill="1" applyBorder="1" applyAlignment="1">
      <alignment horizontal="left" vertical="center" textRotation="0" wrapText="false" shrinkToFit="false"/>
    </xf>
    <xf xfId="0" fontId="17" numFmtId="0" fillId="0" borderId="6" applyFont="1" applyNumberFormat="0" applyFill="0" applyBorder="1" applyAlignment="1">
      <alignment horizontal="left" vertical="center" textRotation="0" wrapText="false" shrinkToFit="false"/>
    </xf>
    <xf xfId="0" fontId="17" numFmtId="0" fillId="0" borderId="20" applyFont="1" applyNumberFormat="0" applyFill="0" applyBorder="1" applyAlignment="1">
      <alignment horizontal="left" vertical="center" textRotation="0" wrapText="false" shrinkToFit="false"/>
    </xf>
    <xf xfId="0" fontId="28" numFmtId="0" fillId="10" borderId="8" applyFont="1" applyNumberFormat="0" applyFill="1" applyBorder="1" applyAlignment="1">
      <alignment vertical="center" textRotation="0" wrapText="false" shrinkToFit="false"/>
    </xf>
    <xf xfId="0" fontId="28" numFmtId="0" fillId="10" borderId="6" applyFont="1" applyNumberFormat="0" applyFill="1" applyBorder="1" applyAlignment="1">
      <alignment vertical="center" textRotation="0" wrapText="false" shrinkToFit="false"/>
    </xf>
    <xf xfId="0" fontId="28" numFmtId="0" fillId="10" borderId="20" applyFont="1" applyNumberFormat="0" applyFill="1" applyBorder="1" applyAlignment="1">
      <alignment vertical="center" textRotation="0" wrapText="false" shrinkToFit="false"/>
    </xf>
    <xf xfId="0" fontId="11" numFmtId="0" fillId="27" borderId="10" applyFont="1" applyNumberFormat="0" applyFill="1" applyBorder="1" applyAlignment="1">
      <alignment horizontal="center" vertical="center" textRotation="0" wrapText="true" shrinkToFit="false"/>
    </xf>
    <xf xfId="0" fontId="11" numFmtId="0" fillId="28" borderId="10" applyFont="1" applyNumberFormat="0" applyFill="1" applyBorder="1" applyAlignment="1">
      <alignment horizontal="center" vertical="center" textRotation="0" wrapText="true" shrinkToFit="false"/>
    </xf>
    <xf xfId="0" fontId="11" numFmtId="0" fillId="28" borderId="8" applyFont="1" applyNumberFormat="0" applyFill="1" applyBorder="1" applyAlignment="1">
      <alignment horizontal="center" vertical="center" textRotation="0" wrapText="true" shrinkToFit="false"/>
    </xf>
    <xf xfId="0" fontId="11" numFmtId="0" fillId="26" borderId="12" applyFont="1" applyNumberFormat="0" applyFill="1" applyBorder="1" applyAlignment="1">
      <alignment horizontal="center" vertical="center" textRotation="0" wrapText="true" shrinkToFit="false"/>
    </xf>
    <xf xfId="0" fontId="11" numFmtId="0" fillId="26" borderId="13" applyFont="1" applyNumberFormat="0" applyFill="1" applyBorder="1" applyAlignment="1">
      <alignment horizontal="center" vertical="center" textRotation="0" wrapText="true" shrinkToFit="false"/>
    </xf>
    <xf xfId="0" fontId="11" numFmtId="0" fillId="27" borderId="16" applyFont="1" applyNumberFormat="0" applyFill="1" applyBorder="1" applyAlignment="1">
      <alignment horizontal="center" vertical="center" textRotation="0" wrapText="true" shrinkToFit="false"/>
    </xf>
    <xf xfId="0" fontId="11" numFmtId="0" fillId="28" borderId="16" applyFont="1" applyNumberFormat="0" applyFill="1" applyBorder="1" applyAlignment="1">
      <alignment horizontal="center" vertical="center" textRotation="0" wrapText="true" shrinkToFit="false"/>
    </xf>
    <xf xfId="0" fontId="11" numFmtId="0" fillId="26" borderId="11" applyFont="1" applyNumberFormat="0" applyFill="1" applyBorder="1" applyAlignment="1">
      <alignment horizontal="center" vertical="center" textRotation="0" wrapText="true" shrinkToFit="false"/>
    </xf>
    <xf xfId="0" fontId="14" numFmtId="165" fillId="0" borderId="11" applyFont="1" applyNumberFormat="1" applyFill="0" applyBorder="1" applyAlignment="1">
      <alignment horizontal="center" vertical="center" textRotation="0" wrapText="false" shrinkToFit="false"/>
    </xf>
    <xf xfId="0" fontId="14" numFmtId="165" fillId="0" borderId="13" applyFont="1" applyNumberFormat="1" applyFill="0" applyBorder="1" applyAlignment="1">
      <alignment horizontal="center" vertical="center" textRotation="0" wrapText="false" shrinkToFit="false"/>
    </xf>
    <xf xfId="0" fontId="6" numFmtId="0" fillId="25" borderId="14" applyFont="1" applyNumberFormat="0" applyFill="1" applyBorder="1" applyAlignment="1">
      <alignment horizontal="left" vertical="bottom" textRotation="0" wrapText="false" shrinkToFit="false"/>
    </xf>
    <xf xfId="0" fontId="6" numFmtId="0" fillId="25" borderId="19" applyFont="1" applyNumberFormat="0" applyFill="1" applyBorder="1" applyAlignment="1">
      <alignment horizontal="left" vertical="bottom" textRotation="0" wrapText="false" shrinkToFit="false"/>
    </xf>
    <xf xfId="0" fontId="6" numFmtId="0" fillId="13" borderId="0" applyFont="1" applyNumberFormat="0" applyFill="1" applyBorder="0" applyAlignment="1">
      <alignment horizontal="center" vertical="bottom" textRotation="0" wrapText="false" shrinkToFit="false"/>
    </xf>
    <xf xfId="0" fontId="32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18" applyFont="1" applyNumberFormat="0" applyFill="0" applyBorder="1" applyAlignment="1">
      <alignment horizontal="center" vertical="bottom" textRotation="0" wrapText="false" shrinkToFit="false"/>
    </xf>
    <xf xfId="0" fontId="19" numFmtId="0" fillId="0" borderId="11" applyFont="1" applyNumberFormat="0" applyFill="0" applyBorder="1" applyAlignment="1">
      <alignment horizontal="center" vertical="center" textRotation="0" wrapText="false" shrinkToFit="false"/>
    </xf>
    <xf xfId="0" fontId="19" numFmtId="0" fillId="0" borderId="12" applyFont="1" applyNumberFormat="0" applyFill="0" applyBorder="1" applyAlignment="1">
      <alignment horizontal="center" vertical="center" textRotation="0" wrapText="false" shrinkToFit="false"/>
    </xf>
    <xf xfId="0" fontId="19" numFmtId="0" fillId="0" borderId="13" applyFont="1" applyNumberFormat="0" applyFill="0" applyBorder="1" applyAlignment="1">
      <alignment horizontal="center" vertical="center" textRotation="0" wrapText="false" shrinkToFit="false"/>
    </xf>
    <xf xfId="0" fontId="33" numFmtId="0" fillId="0" borderId="1" applyFont="1" applyNumberFormat="0" applyFill="0" applyBorder="1" applyAlignment="1">
      <alignment horizontal="left" vertical="center" textRotation="0" wrapText="false" shrinkToFit="false"/>
    </xf>
    <xf xfId="0" fontId="19" numFmtId="0" fillId="0" borderId="1" applyFont="1" applyNumberFormat="0" applyFill="0" applyBorder="1" applyAlignment="1">
      <alignment horizontal="center" vertical="center" textRotation="0" wrapText="true" shrinkToFit="false"/>
    </xf>
    <xf xfId="0" fontId="47" numFmtId="0" fillId="0" borderId="1" applyFont="1" applyNumberFormat="0" applyFill="0" applyBorder="1" applyAlignment="1">
      <alignment horizontal="center" vertical="center" textRotation="0" wrapText="false" shrinkToFit="false"/>
    </xf>
    <xf xfId="0" fontId="46" numFmtId="0" fillId="0" borderId="1" applyFont="1" applyNumberFormat="0" applyFill="0" applyBorder="1" applyAlignment="1">
      <alignment horizontal="center" vertical="center" textRotation="0" wrapText="false" shrinkToFit="false"/>
    </xf>
    <xf xfId="0" fontId="33" numFmtId="0" fillId="0" borderId="14" applyFont="1" applyNumberFormat="0" applyFill="0" applyBorder="1" applyAlignment="1">
      <alignment horizontal="center" vertical="center" textRotation="0" wrapText="false" shrinkToFit="false"/>
    </xf>
    <xf xfId="0" fontId="33" numFmtId="0" fillId="0" borderId="3" applyFont="1" applyNumberFormat="0" applyFill="0" applyBorder="1" applyAlignment="1">
      <alignment horizontal="center" vertical="center" textRotation="0" wrapText="false" shrinkToFit="false"/>
    </xf>
    <xf xfId="0" fontId="33" numFmtId="0" fillId="0" borderId="19" applyFont="1" applyNumberFormat="0" applyFill="0" applyBorder="1" applyAlignment="1">
      <alignment horizontal="center" vertical="center" textRotation="0" wrapText="false" shrinkToFit="false"/>
    </xf>
    <xf xfId="0" fontId="20" numFmtId="168" fillId="13" borderId="1" applyFont="1" applyNumberFormat="1" applyFill="1" applyBorder="1" applyAlignment="1">
      <alignment horizontal="center" vertical="top" textRotation="0" wrapText="false" shrinkToFit="false"/>
    </xf>
    <xf xfId="0" fontId="20" numFmtId="167" fillId="13" borderId="6" applyFont="1" applyNumberFormat="1" applyFill="1" applyBorder="1" applyAlignment="1">
      <alignment horizontal="center" vertical="bottom" textRotation="0" wrapText="false" shrinkToFit="false"/>
    </xf>
    <xf xfId="0" fontId="20" numFmtId="0" fillId="13" borderId="14" applyFont="1" applyNumberFormat="0" applyFill="1" applyBorder="1" applyAlignment="1">
      <alignment horizontal="center" vertical="top" textRotation="0" wrapText="false" shrinkToFit="false"/>
    </xf>
    <xf xfId="0" fontId="20" numFmtId="0" fillId="13" borderId="3" applyFont="1" applyNumberFormat="0" applyFill="1" applyBorder="1" applyAlignment="1">
      <alignment horizontal="center" vertical="top" textRotation="0" wrapText="false" shrinkToFit="false"/>
    </xf>
    <xf xfId="0" fontId="20" numFmtId="0" fillId="13" borderId="19" applyFont="1" applyNumberFormat="0" applyFill="1" applyBorder="1" applyAlignment="1">
      <alignment horizontal="center" vertical="top" textRotation="0" wrapText="false" shrinkToFit="false"/>
    </xf>
    <xf xfId="0" fontId="22" numFmtId="0" fillId="29" borderId="3" applyFont="1" applyNumberFormat="0" applyFill="1" applyBorder="1" applyAlignment="1">
      <alignment horizontal="center" vertical="bottom" textRotation="0" wrapText="false" shrinkToFit="false"/>
    </xf>
    <xf xfId="0" fontId="23" numFmtId="0" fillId="15" borderId="1" applyFont="1" applyNumberFormat="0" applyFill="1" applyBorder="1" applyAlignment="1">
      <alignment horizontal="center" vertical="center" textRotation="0" wrapText="false" shrinkToFit="false"/>
    </xf>
    <xf xfId="0" fontId="48" numFmtId="0" fillId="15" borderId="1" applyFont="1" applyNumberFormat="0" applyFill="1" applyBorder="1" applyAlignment="1">
      <alignment horizontal="center" vertical="center" textRotation="0" wrapText="false" shrinkToFit="false"/>
    </xf>
    <xf xfId="0" fontId="23" numFmtId="0" fillId="15" borderId="14" applyFont="1" applyNumberFormat="0" applyFill="1" applyBorder="1" applyAlignment="1">
      <alignment horizontal="center" vertical="center" textRotation="0" wrapText="false" shrinkToFit="false"/>
    </xf>
    <xf xfId="0" fontId="23" numFmtId="0" fillId="15" borderId="3" applyFont="1" applyNumberFormat="0" applyFill="1" applyBorder="1" applyAlignment="1">
      <alignment horizontal="center" vertical="center" textRotation="0" wrapText="false" shrinkToFit="false"/>
    </xf>
    <xf xfId="0" fontId="20" numFmtId="168" fillId="13" borderId="14" applyFont="1" applyNumberFormat="1" applyFill="1" applyBorder="1" applyAlignment="1">
      <alignment horizontal="center" vertical="top" textRotation="0" wrapText="false" shrinkToFit="false"/>
    </xf>
    <xf xfId="0" fontId="20" numFmtId="168" fillId="13" borderId="3" applyFont="1" applyNumberFormat="1" applyFill="1" applyBorder="1" applyAlignment="1">
      <alignment horizontal="center" vertical="top" textRotation="0" wrapText="false" shrinkToFit="false"/>
    </xf>
    <xf xfId="0" fontId="20" numFmtId="168" fillId="13" borderId="19" applyFont="1" applyNumberFormat="1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49" numFmtId="0" fillId="0" borderId="0" applyFont="1" applyNumberFormat="0" applyFill="0" applyBorder="0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vertical="center" textRotation="0" wrapText="false" shrinkToFit="false"/>
    </xf>
    <xf xfId="0" fontId="17" numFmtId="0" fillId="30" borderId="1" applyFont="1" applyNumberFormat="0" applyFill="1" applyBorder="1" applyAlignment="1">
      <alignment horizontal="center" vertical="center" textRotation="0" wrapText="false" shrinkToFit="false"/>
    </xf>
    <xf xfId="0" fontId="17" numFmtId="0" fillId="31" borderId="1" applyFont="1" applyNumberFormat="0" applyFill="1" applyBorder="1" applyAlignment="1">
      <alignment vertical="center" textRotation="0" wrapText="false" shrinkToFit="false"/>
    </xf>
    <xf xfId="0" fontId="17" numFmtId="0" fillId="31" borderId="1" applyFont="1" applyNumberFormat="0" applyFill="1" applyBorder="1" applyAlignment="1">
      <alignment horizontal="center" vertical="center" textRotation="0" wrapText="false" shrinkToFit="false"/>
    </xf>
    <xf xfId="0" fontId="50" numFmtId="171" fillId="32" borderId="1" applyFont="1" applyNumberFormat="1" applyFill="1" applyBorder="1" applyAlignment="1">
      <alignment horizontal="center" vertical="center" textRotation="0" wrapText="false" shrinkToFit="false"/>
    </xf>
    <xf xfId="0" fontId="28" numFmtId="165" fillId="0" borderId="1" applyFont="1" applyNumberFormat="1" applyFill="0" applyBorder="1" applyAlignment="1">
      <alignment horizontal="center" vertical="center" textRotation="0" wrapText="false" shrinkToFit="false"/>
    </xf>
    <xf xfId="0" fontId="28" numFmtId="165" fillId="13" borderId="1" applyFont="1" applyNumberFormat="1" applyFill="1" applyBorder="1" applyAlignment="1">
      <alignment horizontal="center" vertical="center" textRotation="0" wrapText="false" shrinkToFit="false"/>
    </xf>
    <xf xfId="0" fontId="17" numFmtId="0" fillId="31" borderId="11" applyFont="1" applyNumberFormat="0" applyFill="1" applyBorder="1" applyAlignment="1">
      <alignment horizontal="center" vertical="center" textRotation="0" wrapText="false" shrinkToFit="false"/>
    </xf>
    <xf xfId="0" fontId="17" numFmtId="0" fillId="31" borderId="11" applyFont="1" applyNumberFormat="0" applyFill="1" applyBorder="1" applyAlignment="1">
      <alignment vertical="center" textRotation="0" wrapText="false" shrinkToFit="false"/>
    </xf>
    <xf xfId="0" fontId="28" numFmtId="0" fillId="0" borderId="16" applyFont="1" applyNumberFormat="0" applyFill="0" applyBorder="1" applyAlignment="1">
      <alignment vertical="center" textRotation="0" wrapText="false" shrinkToFit="false"/>
    </xf>
    <xf xfId="0" fontId="28" numFmtId="0" fillId="0" borderId="11" applyFont="1" applyNumberFormat="0" applyFill="0" applyBorder="1" applyAlignment="1">
      <alignment horizontal="center" vertical="center" textRotation="0" wrapText="false" shrinkToFit="false"/>
    </xf>
    <xf xfId="0" fontId="28" numFmtId="0" fillId="0" borderId="19" applyFont="1" applyNumberFormat="0" applyFill="0" applyBorder="1" applyAlignment="1">
      <alignment horizontal="center" vertical="center" textRotation="0" wrapText="false" shrinkToFit="false"/>
    </xf>
    <xf xfId="0" fontId="28" numFmtId="171" fillId="0" borderId="1" applyFont="1" applyNumberFormat="1" applyFill="0" applyBorder="1" applyAlignment="1">
      <alignment horizontal="center" vertical="center" textRotation="0" wrapText="false" shrinkToFit="false"/>
    </xf>
    <xf xfId="0" fontId="28" numFmtId="0" fillId="0" borderId="10" applyFont="1" applyNumberFormat="0" applyFill="0" applyBorder="1" applyAlignment="1">
      <alignment vertical="center" textRotation="0" wrapText="false" shrinkToFit="false"/>
    </xf>
    <xf xfId="0" fontId="28" numFmtId="0" fillId="0" borderId="12" applyFont="1" applyNumberFormat="0" applyFill="0" applyBorder="1" applyAlignment="1">
      <alignment horizontal="center" vertical="center" textRotation="0" wrapText="false" shrinkToFit="false"/>
    </xf>
    <xf xfId="0" fontId="28" numFmtId="0" fillId="13" borderId="19" applyFont="1" applyNumberFormat="0" applyFill="1" applyBorder="1" applyAlignment="1">
      <alignment horizontal="center" vertical="center" textRotation="0" wrapText="false" shrinkToFit="false"/>
    </xf>
    <xf xfId="0" fontId="28" numFmtId="0" fillId="0" borderId="8" applyFont="1" applyNumberFormat="0" applyFill="0" applyBorder="1" applyAlignment="1">
      <alignment horizontal="left" vertical="center" textRotation="0" wrapText="false" shrinkToFit="true"/>
    </xf>
    <xf xfId="0" fontId="28" numFmtId="0" fillId="0" borderId="13" applyFont="1" applyNumberFormat="0" applyFill="0" applyBorder="1" applyAlignment="1">
      <alignment horizontal="center" vertical="center" textRotation="0" wrapText="false" shrinkToFit="false"/>
    </xf>
    <xf xfId="0" fontId="28" numFmtId="172" fillId="0" borderId="1" applyFont="1" applyNumberFormat="1" applyFill="0" applyBorder="1" applyAlignment="1">
      <alignment horizontal="center" vertical="center" textRotation="0" wrapText="false" shrinkToFit="false"/>
    </xf>
    <xf xfId="0" fontId="28" numFmtId="0" fillId="0" borderId="1" applyFont="1" applyNumberFormat="0" applyFill="0" applyBorder="1" applyAlignment="1">
      <alignment vertical="center" textRotation="0" wrapText="false" shrinkToFit="false"/>
    </xf>
    <xf xfId="0" fontId="28" numFmtId="0" fillId="0" borderId="1" applyFont="1" applyNumberFormat="0" applyFill="0" applyBorder="1" applyAlignment="1">
      <alignment horizontal="center" vertical="center" textRotation="0" wrapText="false" shrinkToFit="false"/>
    </xf>
    <xf xfId="0" fontId="28" numFmtId="172" fillId="0" borderId="1" applyFont="1" applyNumberFormat="1" applyFill="0" applyBorder="1" applyAlignment="1">
      <alignment vertical="center" textRotation="0" wrapText="false" shrinkToFit="false"/>
    </xf>
    <xf xfId="0" fontId="17" numFmtId="0" fillId="31" borderId="1" applyFont="1" applyNumberFormat="0" applyFill="1" applyBorder="1" applyAlignment="1">
      <alignment horizontal="left" vertical="center" textRotation="0" wrapText="false" shrinkToFit="false"/>
    </xf>
    <xf xfId="0" fontId="28" numFmtId="0" fillId="33" borderId="1" applyFont="1" applyNumberFormat="0" applyFill="1" applyBorder="1" applyAlignment="1">
      <alignment horizontal="center" vertical="center" textRotation="0" wrapText="false" shrinkToFit="false"/>
    </xf>
    <xf xfId="0" fontId="28" numFmtId="171" fillId="0" borderId="1" applyFont="1" applyNumberFormat="1" applyFill="0" applyBorder="1" applyAlignment="1">
      <alignment vertical="center" textRotation="0" wrapText="false" shrinkToFit="false"/>
    </xf>
    <xf xfId="0" fontId="50" numFmtId="171" fillId="17" borderId="1" applyFont="1" applyNumberFormat="1" applyFill="1" applyBorder="1" applyAlignment="1">
      <alignment vertical="center" textRotation="0" wrapText="false" shrinkToFit="false"/>
    </xf>
    <xf xfId="0" fontId="50" numFmtId="171" fillId="34" borderId="1" applyFont="1" applyNumberFormat="1" applyFill="1" applyBorder="1" applyAlignment="1">
      <alignment vertical="center" textRotation="0" wrapText="false" shrinkToFit="false"/>
    </xf>
    <xf xfId="0" fontId="17" numFmtId="0" fillId="30" borderId="11" applyFont="1" applyNumberFormat="0" applyFill="1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vertical="center" textRotation="0" wrapText="false" shrinkToFit="false"/>
    </xf>
    <xf xfId="0" fontId="17" numFmtId="0" fillId="30" borderId="13" applyFont="1" applyNumberFormat="0" applyFill="1" applyBorder="1" applyAlignment="1">
      <alignment horizontal="center" vertical="center" textRotation="0" wrapText="false" shrinkToFit="false"/>
    </xf>
    <xf xfId="0" fontId="17" numFmtId="0" fillId="30" borderId="14" applyFont="1" applyNumberFormat="0" applyFill="1" applyBorder="1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vertical="center" textRotation="0" wrapText="false" shrinkToFit="false"/>
    </xf>
    <xf xfId="0" fontId="6" numFmtId="0" fillId="0" borderId="19" applyFont="1" applyNumberFormat="0" applyFill="0" applyBorder="1" applyAlignment="1">
      <alignment vertical="center" textRotation="0" wrapText="false" shrinkToFit="false"/>
    </xf>
    <xf xfId="0" fontId="28" numFmtId="0" fillId="33" borderId="1" applyFont="1" applyNumberFormat="0" applyFill="1" applyBorder="1" applyAlignment="1">
      <alignment horizontal="center" vertical="center" textRotation="0" wrapText="false" shrinkToFit="false"/>
    </xf>
    <xf xfId="0" fontId="28" numFmtId="0" fillId="0" borderId="1" applyFont="1" applyNumberFormat="0" applyFill="0" applyBorder="1" applyAlignment="1">
      <alignment horizontal="left" vertical="center" textRotation="0" wrapText="false" shrinkToFit="false"/>
    </xf>
    <xf xfId="0" fontId="28" numFmtId="0" fillId="0" borderId="14" applyFont="1" applyNumberFormat="0" applyFill="0" applyBorder="1" applyAlignment="1">
      <alignment horizontal="left" vertical="center" textRotation="0" wrapText="false" shrinkToFit="false"/>
    </xf>
    <xf xfId="0" fontId="28" numFmtId="0" fillId="0" borderId="19" applyFont="1" applyNumberFormat="0" applyFill="0" applyBorder="1" applyAlignment="1">
      <alignment horizontal="left" vertical="center" textRotation="0" wrapText="false" shrinkToFit="false"/>
    </xf>
    <xf xfId="0" fontId="51" numFmtId="0" fillId="0" borderId="0" applyFont="1" applyNumberFormat="0" applyFill="0" applyBorder="0" applyAlignment="0"/>
    <xf xfId="0" fontId="49" numFmtId="0" fillId="0" borderId="0" applyFont="1" applyNumberFormat="0" applyFill="0" applyBorder="0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vertical="center" textRotation="0" wrapText="false" shrinkToFit="false"/>
    </xf>
    <xf xfId="0" fontId="17" numFmtId="0" fillId="35" borderId="11" applyFont="1" applyNumberFormat="0" applyFill="1" applyBorder="1" applyAlignment="1">
      <alignment horizontal="center" vertical="center" textRotation="0" wrapText="false" shrinkToFit="false"/>
    </xf>
    <xf xfId="0" fontId="17" numFmtId="0" fillId="35" borderId="16" applyFont="1" applyNumberFormat="0" applyFill="1" applyBorder="1" applyAlignment="1">
      <alignment horizontal="center" vertical="center" textRotation="0" wrapText="false" shrinkToFit="false"/>
    </xf>
    <xf xfId="0" fontId="17" numFmtId="0" fillId="35" borderId="1" applyFont="1" applyNumberFormat="0" applyFill="1" applyBorder="1" applyAlignment="1">
      <alignment horizontal="center" vertical="center" textRotation="0" wrapText="false" shrinkToFit="false"/>
    </xf>
    <xf xfId="0" fontId="17" numFmtId="0" fillId="31" borderId="1" applyFont="1" applyNumberFormat="0" applyFill="1" applyBorder="1" applyAlignment="1">
      <alignment vertical="center" textRotation="0" wrapText="false" shrinkToFit="false"/>
    </xf>
    <xf xfId="0" fontId="17" numFmtId="0" fillId="31" borderId="1" applyFont="1" applyNumberFormat="0" applyFill="1" applyBorder="1" applyAlignment="1">
      <alignment horizontal="center" vertical="center" textRotation="0" wrapText="false" shrinkToFit="false"/>
    </xf>
    <xf xfId="0" fontId="50" numFmtId="172" fillId="32" borderId="1" applyFont="1" applyNumberFormat="1" applyFill="1" applyBorder="1" applyAlignment="1">
      <alignment horizontal="center" vertical="center" textRotation="0" wrapText="false" shrinkToFit="false"/>
    </xf>
    <xf xfId="0" fontId="17" numFmtId="172" fillId="0" borderId="1" applyFont="1" applyNumberFormat="1" applyFill="0" applyBorder="1" applyAlignment="1">
      <alignment horizontal="right" vertical="center" textRotation="0" wrapText="false" shrinkToFit="false"/>
    </xf>
    <xf xfId="0" fontId="17" numFmtId="172" fillId="0" borderId="14" applyFont="1" applyNumberFormat="1" applyFill="0" applyBorder="1" applyAlignment="1">
      <alignment horizontal="right" vertical="center" textRotation="0" wrapText="false" shrinkToFit="false"/>
    </xf>
    <xf xfId="0" fontId="28" numFmtId="0" fillId="0" borderId="1" applyFont="1" applyNumberFormat="0" applyFill="0" applyBorder="1" applyAlignment="1">
      <alignment vertical="center" textRotation="0" wrapText="false" shrinkToFit="false"/>
    </xf>
    <xf xfId="0" fontId="28" numFmtId="0" fillId="0" borderId="1" applyFont="1" applyNumberFormat="0" applyFill="0" applyBorder="1" applyAlignment="1">
      <alignment vertical="center" textRotation="0" wrapText="true" shrinkToFit="false"/>
    </xf>
    <xf xfId="0" fontId="28" numFmtId="0" fillId="0" borderId="1" applyFont="1" applyNumberFormat="0" applyFill="0" applyBorder="1" applyAlignment="1">
      <alignment horizontal="center" vertical="center" textRotation="0" wrapText="true" shrinkToFit="false"/>
    </xf>
    <xf xfId="0" fontId="28" numFmtId="0" fillId="0" borderId="1" applyFont="1" applyNumberFormat="0" applyFill="0" applyBorder="1" applyAlignment="1">
      <alignment horizontal="center" vertical="center" textRotation="0" wrapText="false" shrinkToFit="false"/>
    </xf>
    <xf xfId="0" fontId="28" numFmtId="172" fillId="0" borderId="1" applyFont="1" applyNumberFormat="1" applyFill="0" applyBorder="1" applyAlignment="1">
      <alignment horizontal="center" vertical="center" textRotation="0" wrapText="false" shrinkToFit="false"/>
    </xf>
    <xf xfId="0" fontId="28" numFmtId="172" fillId="0" borderId="1" applyFont="1" applyNumberFormat="1" applyFill="0" applyBorder="1" applyAlignment="1">
      <alignment vertical="center" textRotation="0" wrapText="false" shrinkToFit="false"/>
    </xf>
    <xf xfId="0" fontId="28" numFmtId="172" fillId="0" borderId="14" applyFont="1" applyNumberFormat="1" applyFill="0" applyBorder="1" applyAlignment="1">
      <alignment vertical="center" textRotation="0" wrapText="false" shrinkToFit="false"/>
    </xf>
    <xf xfId="0" fontId="17" numFmtId="172" fillId="0" borderId="1" applyFont="1" applyNumberFormat="1" applyFill="0" applyBorder="1" applyAlignment="1">
      <alignment vertical="center" textRotation="0" wrapText="false" shrinkToFit="false"/>
    </xf>
    <xf xfId="0" fontId="28" numFmtId="0" fillId="31" borderId="1" applyFont="1" applyNumberFormat="0" applyFill="1" applyBorder="1" applyAlignment="1">
      <alignment horizontal="center" vertical="center" textRotation="0" wrapText="false" shrinkToFit="false"/>
    </xf>
    <xf xfId="0" fontId="28" numFmtId="0" fillId="0" borderId="14" applyFont="1" applyNumberFormat="0" applyFill="0" applyBorder="1" applyAlignment="1">
      <alignment vertical="center" textRotation="0" wrapText="false" shrinkToFit="false"/>
    </xf>
    <xf xfId="0" fontId="28" numFmtId="172" fillId="13" borderId="1" applyFont="1" applyNumberFormat="1" applyFill="1" applyBorder="1" applyAlignment="1">
      <alignment horizontal="left" vertical="center" textRotation="0" wrapText="false" shrinkToFit="false"/>
    </xf>
    <xf xfId="0" fontId="28" numFmtId="172" fillId="13" borderId="1" applyFont="1" applyNumberFormat="1" applyFill="1" applyBorder="1" applyAlignment="1">
      <alignment horizontal="center" vertical="center" textRotation="0" wrapText="false" shrinkToFit="false"/>
    </xf>
    <xf xfId="0" fontId="28" numFmtId="172" fillId="13" borderId="14" applyFont="1" applyNumberFormat="1" applyFill="1" applyBorder="1" applyAlignment="1">
      <alignment horizontal="left" vertical="center" textRotation="0" wrapText="false" shrinkToFit="false"/>
    </xf>
    <xf xfId="0" fontId="28" numFmtId="173" fillId="0" borderId="0" applyFont="1" applyNumberFormat="1" applyFill="0" applyBorder="0" applyAlignment="1">
      <alignment vertical="center" textRotation="0" wrapText="false" shrinkToFit="false"/>
    </xf>
    <xf xfId="0" fontId="52" numFmtId="0" fillId="0" borderId="0" applyFont="1" applyNumberFormat="0" applyFill="0" applyBorder="0" applyAlignment="1">
      <alignment vertical="center" textRotation="0" wrapText="false" shrinkToFit="false"/>
    </xf>
    <xf xfId="0" fontId="17" numFmtId="0" fillId="11" borderId="1" applyFont="1" applyNumberFormat="0" applyFill="1" applyBorder="1" applyAlignment="1">
      <alignment horizontal="center" vertical="center" textRotation="0" wrapText="false" shrinkToFit="false"/>
    </xf>
    <xf xfId="0" fontId="17" numFmtId="0" fillId="36" borderId="1" applyFont="1" applyNumberFormat="0" applyFill="1" applyBorder="1" applyAlignment="1">
      <alignment vertical="center" textRotation="0" wrapText="false" shrinkToFit="false"/>
    </xf>
    <xf xfId="0" fontId="17" numFmtId="0" fillId="36" borderId="1" applyFont="1" applyNumberFormat="0" applyFill="1" applyBorder="1" applyAlignment="1">
      <alignment vertical="center" textRotation="0" wrapText="true" shrinkToFit="false"/>
    </xf>
    <xf xfId="0" fontId="17" numFmtId="0" fillId="36" borderId="1" applyFont="1" applyNumberFormat="0" applyFill="1" applyBorder="1" applyAlignment="1">
      <alignment horizontal="left" vertical="center" textRotation="0" wrapText="false" shrinkToFit="false"/>
    </xf>
    <xf xfId="0" fontId="17" numFmtId="0" fillId="36" borderId="1" applyFont="1" applyNumberFormat="0" applyFill="1" applyBorder="1" applyAlignment="1">
      <alignment horizontal="center" vertical="center" textRotation="0" wrapText="false" shrinkToFit="false"/>
    </xf>
    <xf xfId="0" fontId="50" numFmtId="172" fillId="37" borderId="1" applyFont="1" applyNumberFormat="1" applyFill="1" applyBorder="1" applyAlignment="1">
      <alignment horizontal="center" vertical="center" textRotation="0" wrapText="false" shrinkToFit="false"/>
    </xf>
    <xf xfId="0" fontId="17" numFmtId="0" fillId="11" borderId="1" applyFont="1" applyNumberFormat="0" applyFill="1" applyBorder="1" applyAlignment="1">
      <alignment vertical="center" textRotation="0" wrapText="false" shrinkToFit="false"/>
    </xf>
    <xf xfId="0" fontId="17" numFmtId="0" fillId="11" borderId="1" applyFont="1" applyNumberFormat="0" applyFill="1" applyBorder="1" applyAlignment="1">
      <alignment vertical="center" textRotation="0" wrapText="true" shrinkToFit="false"/>
    </xf>
    <xf xfId="0" fontId="17" numFmtId="0" fillId="11" borderId="1" applyFont="1" applyNumberFormat="0" applyFill="1" applyBorder="1" applyAlignment="1">
      <alignment horizontal="left" vertical="center" textRotation="0" wrapText="false" shrinkToFit="false"/>
    </xf>
    <xf xfId="0" fontId="50" numFmtId="172" fillId="38" borderId="1" applyFont="1" applyNumberFormat="1" applyFill="1" applyBorder="1" applyAlignment="1">
      <alignment horizontal="center" vertical="center" textRotation="0" wrapText="false" shrinkToFit="false"/>
    </xf>
    <xf xfId="0" fontId="28" numFmtId="172" fillId="36" borderId="1" applyFont="1" applyNumberFormat="1" applyFill="1" applyBorder="1" applyAlignment="1">
      <alignment horizontal="center" vertical="center" textRotation="0" wrapText="false" shrinkToFit="false"/>
    </xf>
    <xf xfId="0" fontId="28" numFmtId="172" fillId="11" borderId="1" applyFont="1" applyNumberFormat="1" applyFill="1" applyBorder="1" applyAlignment="1">
      <alignment horizontal="center" vertical="center" textRotation="0" wrapText="false" shrinkToFit="false"/>
    </xf>
    <xf xfId="0" fontId="28" numFmtId="0" fillId="39" borderId="1" applyFont="1" applyNumberFormat="0" applyFill="1" applyBorder="1" applyAlignment="1">
      <alignment vertical="center" textRotation="0" wrapText="true" shrinkToFit="false"/>
    </xf>
    <xf xfId="0" fontId="28" numFmtId="0" fillId="39" borderId="1" applyFont="1" applyNumberFormat="0" applyFill="1" applyBorder="1" applyAlignment="1">
      <alignment horizontal="center" vertical="center" textRotation="0" wrapText="true" shrinkToFit="false"/>
    </xf>
    <xf xfId="0" fontId="28" numFmtId="0" fillId="39" borderId="1" applyFont="1" applyNumberFormat="0" applyFill="1" applyBorder="1" applyAlignment="1">
      <alignment horizontal="center" vertical="center" textRotation="0" wrapText="false" shrinkToFit="false"/>
    </xf>
    <xf xfId="0" fontId="28" numFmtId="172" fillId="39" borderId="1" applyFont="1" applyNumberFormat="1" applyFill="1" applyBorder="1" applyAlignment="1">
      <alignment vertical="center" textRotation="0" wrapText="false" shrinkToFit="false"/>
    </xf>
    <xf xfId="0" fontId="28" numFmtId="172" fillId="39" borderId="14" applyFont="1" applyNumberFormat="1" applyFill="1" applyBorder="1" applyAlignment="1">
      <alignment vertical="center" textRotation="0" wrapText="false" shrinkToFit="false"/>
    </xf>
    <xf xfId="0" fontId="28" numFmtId="0" fillId="33" borderId="1" applyFont="1" applyNumberFormat="0" applyFill="1" applyBorder="1" applyAlignment="1">
      <alignment horizontal="center" vertical="center" textRotation="0" wrapText="false" shrinkToFit="false"/>
    </xf>
    <xf xfId="0" fontId="17" numFmtId="0" fillId="36" borderId="1" applyFont="1" applyNumberFormat="0" applyFill="1" applyBorder="1" applyAlignment="1">
      <alignment horizontal="center" vertical="center" textRotation="0" wrapText="true" shrinkToFit="false"/>
    </xf>
    <xf xfId="0" fontId="28" numFmtId="171" fillId="0" borderId="1" applyFont="1" applyNumberFormat="1" applyFill="0" applyBorder="1" applyAlignment="1">
      <alignment vertical="center" textRotation="0" wrapText="false" shrinkToFit="false"/>
    </xf>
    <xf xfId="0" fontId="50" numFmtId="171" fillId="17" borderId="1" applyFont="1" applyNumberFormat="1" applyFill="1" applyBorder="1" applyAlignment="1">
      <alignment vertical="center" textRotation="0" wrapText="false" shrinkToFit="false"/>
    </xf>
    <xf xfId="0" fontId="50" numFmtId="171" fillId="34" borderId="1" applyFont="1" applyNumberFormat="1" applyFill="1" applyBorder="1" applyAlignment="1">
      <alignment vertical="center" textRotation="0" wrapText="false" shrinkToFit="false"/>
    </xf>
    <xf xfId="0" fontId="50" numFmtId="171" fillId="40" borderId="1" applyFont="1" applyNumberFormat="1" applyFill="1" applyBorder="1" applyAlignment="1">
      <alignment vertical="center" textRotation="0" wrapText="false" shrinkToFit="false"/>
    </xf>
    <xf xfId="0" fontId="17" numFmtId="0" fillId="35" borderId="16" applyFont="1" applyNumberFormat="0" applyFill="1" applyBorder="1" applyAlignment="1">
      <alignment horizontal="center" vertical="center" textRotation="0" wrapText="false" shrinkToFit="false"/>
    </xf>
    <xf xfId="0" fontId="17" numFmtId="0" fillId="35" borderId="17" applyFont="1" applyNumberFormat="0" applyFill="1" applyBorder="1" applyAlignment="1">
      <alignment horizontal="center" vertical="center" textRotation="0" wrapText="false" shrinkToFit="false"/>
    </xf>
    <xf xfId="0" fontId="17" numFmtId="0" fillId="35" borderId="15" applyFont="1" applyNumberFormat="0" applyFill="1" applyBorder="1" applyAlignment="1">
      <alignment horizontal="center" vertical="center" textRotation="0" wrapText="false" shrinkToFit="false"/>
    </xf>
    <xf xfId="0" fontId="17" numFmtId="0" fillId="35" borderId="11" applyFont="1" applyNumberFormat="0" applyFill="1" applyBorder="1" applyAlignment="1">
      <alignment horizontal="center" vertical="center" textRotation="0" wrapText="false" shrinkToFit="false"/>
    </xf>
    <xf xfId="0" fontId="17" numFmtId="0" fillId="35" borderId="13" applyFont="1" applyNumberFormat="0" applyFill="1" applyBorder="1" applyAlignment="1">
      <alignment horizontal="center" vertical="center" textRotation="0" wrapText="false" shrinkToFit="false"/>
    </xf>
    <xf xfId="0" fontId="28" numFmtId="0" fillId="33" borderId="11" applyFont="1" applyNumberFormat="0" applyFill="1" applyBorder="1" applyAlignment="1">
      <alignment horizontal="center" vertical="center" textRotation="0" wrapText="false" shrinkToFit="false"/>
    </xf>
    <xf xfId="0" fontId="28" numFmtId="0" fillId="33" borderId="13" applyFont="1" applyNumberFormat="0" applyFill="1" applyBorder="1" applyAlignment="1">
      <alignment horizontal="center" vertical="center" textRotation="0" wrapText="false" shrinkToFit="false"/>
    </xf>
    <xf xfId="0" fontId="28" numFmtId="0" fillId="33" borderId="14" applyFont="1" applyNumberFormat="0" applyFill="1" applyBorder="1" applyAlignment="1">
      <alignment horizontal="center" vertical="center" textRotation="0" wrapText="false" shrinkToFit="false"/>
    </xf>
    <xf xfId="0" fontId="28" numFmtId="0" fillId="33" borderId="19" applyFont="1" applyNumberFormat="0" applyFill="1" applyBorder="1" applyAlignment="1">
      <alignment horizontal="center" vertical="center" textRotation="0" wrapText="false" shrinkToFit="false"/>
    </xf>
    <xf xfId="0" fontId="28" numFmtId="0" fillId="0" borderId="14" applyFont="1" applyNumberFormat="0" applyFill="0" applyBorder="1" applyAlignment="1">
      <alignment vertical="center" textRotation="0" wrapText="false" shrinkToFit="false"/>
    </xf>
    <xf xfId="0" fontId="28" numFmtId="0" fillId="0" borderId="19" applyFont="1" applyNumberFormat="0" applyFill="0" applyBorder="1" applyAlignment="1">
      <alignment vertical="center" textRotation="0" wrapText="false" shrinkToFit="false"/>
    </xf>
    <xf xfId="0" fontId="28" numFmtId="0" fillId="33" borderId="16" applyFont="1" applyNumberFormat="0" applyFill="1" applyBorder="1" applyAlignment="1">
      <alignment horizontal="center" vertical="center" textRotation="0" wrapText="false" shrinkToFit="false"/>
    </xf>
    <xf xfId="0" fontId="28" numFmtId="0" fillId="33" borderId="15" applyFont="1" applyNumberFormat="0" applyFill="1" applyBorder="1" applyAlignment="1">
      <alignment horizontal="center" vertical="center" textRotation="0" wrapText="false" shrinkToFit="false"/>
    </xf>
    <xf xfId="0" fontId="28" numFmtId="0" fillId="33" borderId="8" applyFont="1" applyNumberFormat="0" applyFill="1" applyBorder="1" applyAlignment="1">
      <alignment horizontal="center" vertical="center" textRotation="0" wrapText="false" shrinkToFit="false"/>
    </xf>
    <xf xfId="0" fontId="28" numFmtId="0" fillId="33" borderId="2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559a949a31236e8e0400faec874f342.png"/></Relationships>
</file>

<file path=xl/drawings/_rels/vmlDrawing11.vml.rels><?xml version="1.0" encoding="UTF-8" standalone="yes"?>
<Relationships xmlns="http://schemas.openxmlformats.org/package/2006/relationships"/>
</file>

<file path=xl/drawings/_rels/vmlDrawing12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36</xdr:row>
      <xdr:rowOff>38100</xdr:rowOff>
    </xdr:from>
    <xdr:to>
      <xdr:col>3</xdr:col>
      <xdr:colOff>666750</xdr:colOff>
      <xdr:row>45</xdr:row>
      <xdr:rowOff>142875</xdr:rowOff>
    </xdr:to>
    <xdr:pic>
      <xdr:nvPicPr>
        <xdr:cNvPr id="1" name="รูปภาพ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57500" cy="1809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</xdr:row>
      <xdr:rowOff>104775</xdr:rowOff>
    </xdr:from>
    <xdr:to>
      <xdr:col>12</xdr:col>
      <xdr:colOff>451485</xdr:colOff>
      <xdr:row>24</xdr:row>
      <xdr:rowOff>127635</xdr:rowOff>
    </xdr:to>
    <xdr:sp macro="" textlink="">
      <xdr:nvSpPr>
        <xdr:cNvPr id="2" name="AutoShape 16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7625" y="1209675"/>
          <a:ext cx="7719060" cy="3642360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138545</xdr:colOff>
      <xdr:row>6</xdr:row>
      <xdr:rowOff>121228</xdr:rowOff>
    </xdr:from>
    <xdr:to>
      <xdr:col>12</xdr:col>
      <xdr:colOff>623455</xdr:colOff>
      <xdr:row>24</xdr:row>
      <xdr:rowOff>34636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138545" y="1264228"/>
          <a:ext cx="9286010" cy="3342408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th-TH"/>
        </a:p>
      </xdr:txBody>
    </xdr:sp>
    <xdr:clientData/>
  </xdr:twoCellAnchor>
  <xdr:twoCellAnchor>
    <xdr:from>
      <xdr:col>2</xdr:col>
      <xdr:colOff>114300</xdr:colOff>
      <xdr:row>15</xdr:row>
      <xdr:rowOff>152401</xdr:rowOff>
    </xdr:from>
    <xdr:to>
      <xdr:col>10</xdr:col>
      <xdr:colOff>582399</xdr:colOff>
      <xdr:row>18</xdr:row>
      <xdr:rowOff>93414</xdr:rowOff>
    </xdr:to>
    <xdr:sp macro="" textlink="">
      <xdr:nvSpPr>
        <xdr:cNvPr id="6" name="Rectangle 26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466850" y="2952751"/>
          <a:ext cx="5935449" cy="426788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ตัวแทนฝ่ายบริหารระบบการจัดการด้านสิ่งแวดล้อม และผู้แทนโรงงาน</a:t>
          </a: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11</xdr:row>
      <xdr:rowOff>142876</xdr:rowOff>
    </xdr:from>
    <xdr:to>
      <xdr:col>8</xdr:col>
      <xdr:colOff>123832</xdr:colOff>
      <xdr:row>15</xdr:row>
      <xdr:rowOff>19050</xdr:rowOff>
    </xdr:to>
    <xdr:sp macro="" textlink="">
      <xdr:nvSpPr>
        <xdr:cNvPr id="7" name="Rectangle 27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348124" y="2295526"/>
          <a:ext cx="2185908" cy="523874"/>
        </a:xfrm>
        <a:prstGeom prst="rect">
          <a:avLst/>
        </a:prstGeom>
        <a:solidFill>
          <a:srgbClr val="0070C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ตัวแทนผู้จัดการ</a:t>
          </a: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7</xdr:row>
      <xdr:rowOff>133350</xdr:rowOff>
    </xdr:from>
    <xdr:to>
      <xdr:col>8</xdr:col>
      <xdr:colOff>123832</xdr:colOff>
      <xdr:row>10</xdr:row>
      <xdr:rowOff>66676</xdr:rowOff>
    </xdr:to>
    <xdr:sp macro="" textlink="">
      <xdr:nvSpPr>
        <xdr:cNvPr id="8" name="Rectangle 28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348124" y="1638300"/>
          <a:ext cx="2185908" cy="419101"/>
        </a:xfrm>
        <a:prstGeom prst="rect">
          <a:avLst/>
        </a:prstGeom>
        <a:solidFill>
          <a:srgbClr val="17365D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chemeClr val="bg1"/>
              </a:solidFill>
              <a:latin typeface="Cordia New (Thai)"/>
            </a:rPr>
            <a:t>ประธาน 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Times New Roman"/>
            </a:rPr>
            <a:t>//////////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</xdr:txBody>
    </xdr:sp>
    <xdr:clientData/>
  </xdr:twoCellAnchor>
  <xdr:twoCellAnchor>
    <xdr:from>
      <xdr:col>5</xdr:col>
      <xdr:colOff>124344</xdr:colOff>
      <xdr:row>20</xdr:row>
      <xdr:rowOff>1386</xdr:rowOff>
    </xdr:from>
    <xdr:to>
      <xdr:col>7</xdr:col>
      <xdr:colOff>485428</xdr:colOff>
      <xdr:row>22</xdr:row>
      <xdr:rowOff>94039</xdr:rowOff>
    </xdr:to>
    <xdr:sp macro="" textlink="">
      <xdr:nvSpPr>
        <xdr:cNvPr id="9" name="Rectangle 20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505719" y="3611361"/>
          <a:ext cx="1713634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B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2</xdr:col>
      <xdr:colOff>30999</xdr:colOff>
      <xdr:row>20</xdr:row>
      <xdr:rowOff>1386</xdr:rowOff>
    </xdr:from>
    <xdr:to>
      <xdr:col>4</xdr:col>
      <xdr:colOff>408222</xdr:colOff>
      <xdr:row>22</xdr:row>
      <xdr:rowOff>94039</xdr:rowOff>
    </xdr:to>
    <xdr:sp macro="" textlink="">
      <xdr:nvSpPr>
        <xdr:cNvPr id="10" name="Rectangle 21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383549" y="3611361"/>
          <a:ext cx="1729773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8</xdr:col>
      <xdr:colOff>173874</xdr:colOff>
      <xdr:row>20</xdr:row>
      <xdr:rowOff>1386</xdr:rowOff>
    </xdr:from>
    <xdr:to>
      <xdr:col>10</xdr:col>
      <xdr:colOff>489546</xdr:colOff>
      <xdr:row>22</xdr:row>
      <xdr:rowOff>94039</xdr:rowOff>
    </xdr:to>
    <xdr:sp macro="" textlink="">
      <xdr:nvSpPr>
        <xdr:cNvPr id="11" name="Rectangle 22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5584074" y="3611361"/>
          <a:ext cx="1725372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C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6</xdr:col>
      <xdr:colOff>302895</xdr:colOff>
      <xdr:row>9</xdr:row>
      <xdr:rowOff>152400</xdr:rowOff>
    </xdr:from>
    <xdr:to>
      <xdr:col>6</xdr:col>
      <xdr:colOff>302895</xdr:colOff>
      <xdr:row>11</xdr:row>
      <xdr:rowOff>152400</xdr:rowOff>
    </xdr:to>
    <xdr:cxnSp macro="">
      <xdr:nvCxnSpPr>
        <xdr:cNvPr id="12" name="AutoShape 23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CxnSpPr>
          <a:cxnSpLocks noChangeShapeType="1"/>
        </xdr:cNvCxnSpPr>
      </xdr:nvCxnSpPr>
      <xdr:spPr bwMode="auto">
        <a:xfrm>
          <a:off x="4360545" y="1981200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28575</xdr:colOff>
      <xdr:row>19</xdr:row>
      <xdr:rowOff>59055</xdr:rowOff>
    </xdr:from>
    <xdr:to>
      <xdr:col>10</xdr:col>
      <xdr:colOff>493395</xdr:colOff>
      <xdr:row>19</xdr:row>
      <xdr:rowOff>59055</xdr:rowOff>
    </xdr:to>
    <xdr:cxnSp macro="">
      <xdr:nvCxnSpPr>
        <xdr:cNvPr id="13" name="AutoShape 25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CxnSpPr>
          <a:cxnSpLocks noChangeShapeType="1"/>
        </xdr:cNvCxnSpPr>
      </xdr:nvCxnSpPr>
      <xdr:spPr bwMode="auto">
        <a:xfrm>
          <a:off x="1381125" y="3507105"/>
          <a:ext cx="5932170" cy="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302895</xdr:colOff>
      <xdr:row>14</xdr:row>
      <xdr:rowOff>121920</xdr:rowOff>
    </xdr:from>
    <xdr:to>
      <xdr:col>6</xdr:col>
      <xdr:colOff>302895</xdr:colOff>
      <xdr:row>16</xdr:row>
      <xdr:rowOff>121920</xdr:rowOff>
    </xdr:to>
    <xdr:cxnSp macro="">
      <xdr:nvCxnSpPr>
        <xdr:cNvPr id="14" name="AutoShape 29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CxnSpPr>
          <a:cxnSpLocks noChangeShapeType="1"/>
        </xdr:cNvCxnSpPr>
      </xdr:nvCxnSpPr>
      <xdr:spPr bwMode="auto">
        <a:xfrm>
          <a:off x="4360545" y="2760345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7.xml><?xml version="1.0" encoding="utf-8"?>
<xml/>
</file>

<file path=xl/tables/table1.xml><?xml version="1.0" encoding="utf-8"?>
<table xmlns="http://schemas.openxmlformats.org/spreadsheetml/2006/main" id="1" name="Table1" displayName="tblScope11Stationary" ref="A1:X201" headerRowCount="1" totalsRowCount="0">
  <autoFilter ref="A1:X201"/>
  <tableColumns count="24">
    <tableColumn id="1" name="RowId"/>
    <tableColumn id="2" name="ItemLabel"/>
    <tableColumn id="3" name="FuelType"/>
    <tableColumn id="4" name="Evidence"/>
    <tableColumn id="5" name="Unit"/>
    <tableColumn id="6" name="M1"/>
    <tableColumn id="7" name="M2"/>
    <tableColumn id="8" name="M3"/>
    <tableColumn id="9" name="M4"/>
    <tableColumn id="10" name="M5"/>
    <tableColumn id="11" name="M6"/>
    <tableColumn id="12" name="M7"/>
    <tableColumn id="13" name="M8"/>
    <tableColumn id="14" name="M9"/>
    <tableColumn id="15" name="M10"/>
    <tableColumn id="16" name="M11"/>
    <tableColumn id="17" name="M12"/>
    <tableColumn id="18" name="OtherDieselPct"/>
    <tableColumn id="19" name="OtherBiodieselPct"/>
    <tableColumn id="20" name="OtherGasolinePct"/>
    <tableColumn id="21" name="OtherEthanolPct"/>
    <tableColumn id="22" name="OtherBiodieselDensityKgPerL"/>
    <tableColumn id="23" name="OtherEthanolDensityKgPerL"/>
    <tableColumn id="24" name="IncludeFR041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blFR041Sel" ref="A1:B201" headerRowCount="1" totalsRowCount="0">
  <autoFilter ref="A1:B201"/>
  <tableColumns count="2">
    <tableColumn id="1" name="RowId"/>
    <tableColumn id="2" name="Includ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thaicarbonlabel.tgo.or.th/products_emission/products_emission.pnc" TargetMode="External"/><Relationship Id="rId2ps" Type="http://schemas.openxmlformats.org/officeDocument/2006/relationships/printerSettings" Target="../printerSettings/printerSettings3.bin"/></Relationships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1.vml"/><Relationship Id="rId_comments1" Type="http://schemas.openxmlformats.org/officeDocument/2006/relationships/comments" Target="../comments11.xml"/></Relationships>
</file>

<file path=xl/worksheets/_rels/sheet1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2.vml"/><Relationship Id="rId_comments1" Type="http://schemas.openxmlformats.org/officeDocument/2006/relationships/comments" Target="../comments12.xml"/></Relationships>
</file>

<file path=xl/worksheets/_rels/sheet13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_rels/sheet14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62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2" max="2" width="10.140625" customWidth="true" style="0"/>
    <col min="3" max="3" width="16.28515625" customWidth="true" style="0"/>
    <col min="4" max="4" width="16.28515625" customWidth="true" style="0"/>
    <col min="5" max="5" width="2.5703125" customWidth="true" style="0"/>
    <col min="6" max="6" width="6.85546875" customWidth="true" style="0"/>
    <col min="7" max="7" width="9.140625" customWidth="true" style="0"/>
    <col min="8" max="8" width="15.28515625" customWidth="true" style="0"/>
    <col min="9" max="9" width="23.42578125" customWidth="true" style="0"/>
    <col min="10" max="10" width="9.140625" customWidth="true" style="0"/>
  </cols>
  <sheetData>
    <row r="1" spans="1:11" customHeight="1" ht="18.75" s="262" customFormat="1">
      <c r="A1" s="309"/>
      <c r="B1" s="312" t="s">
        <v>0</v>
      </c>
      <c r="C1" s="313"/>
      <c r="D1" s="313"/>
      <c r="E1" s="313"/>
      <c r="F1" s="313"/>
      <c r="G1" s="313"/>
      <c r="H1" s="314"/>
      <c r="I1" s="325" t="s">
        <v>1</v>
      </c>
      <c r="J1" s="326"/>
      <c r="K1" s="121"/>
    </row>
    <row r="2" spans="1:11" customHeight="1" ht="18.75" s="262" customFormat="1">
      <c r="A2" s="310"/>
      <c r="B2" s="315"/>
      <c r="C2" s="316"/>
      <c r="D2" s="316"/>
      <c r="E2" s="316"/>
      <c r="F2" s="316"/>
      <c r="G2" s="316"/>
      <c r="H2" s="317"/>
      <c r="I2" s="327"/>
      <c r="J2" s="328"/>
      <c r="K2" s="120"/>
    </row>
    <row r="3" spans="1:11" customHeight="1" ht="18.75" s="262" customFormat="1">
      <c r="A3" s="310"/>
      <c r="B3" s="254" t="s">
        <v>2</v>
      </c>
      <c r="C3" s="318" t="s">
        <v>3</v>
      </c>
      <c r="D3" s="319"/>
      <c r="E3" s="320" t="s">
        <v>4</v>
      </c>
      <c r="F3" s="321"/>
      <c r="G3" s="318" t="str">
        <f>B6</f>
        <v>ชื่อองค์กรที่ขอขึ้นทะเบียน</v>
      </c>
      <c r="H3" s="319"/>
      <c r="I3" s="255" t="s">
        <v>5</v>
      </c>
      <c r="J3" s="256">
        <v>1</v>
      </c>
      <c r="K3" s="122"/>
    </row>
    <row r="4" spans="1:11" customHeight="1" ht="18.75" s="262" customFormat="1">
      <c r="A4" s="311"/>
      <c r="B4" s="254" t="s">
        <v>6</v>
      </c>
      <c r="C4" s="318" t="s">
        <v>7</v>
      </c>
      <c r="D4" s="319"/>
      <c r="E4" s="320" t="s">
        <v>8</v>
      </c>
      <c r="F4" s="321"/>
      <c r="G4" s="318"/>
      <c r="H4" s="319"/>
      <c r="I4" s="255" t="s">
        <v>9</v>
      </c>
      <c r="J4" s="256"/>
      <c r="K4" s="122"/>
    </row>
    <row r="5" spans="1:11" customHeight="1" ht="18.75">
      <c r="A5" s="123"/>
      <c r="B5" s="201"/>
      <c r="C5" s="201"/>
      <c r="D5" s="201"/>
      <c r="E5" s="201"/>
      <c r="F5" s="201"/>
      <c r="G5" s="201"/>
      <c r="H5" s="201"/>
      <c r="I5" s="201"/>
      <c r="J5" s="124"/>
      <c r="K5" s="121"/>
    </row>
    <row r="6" spans="1:11">
      <c r="A6" s="125"/>
      <c r="B6" s="329" t="s">
        <v>10</v>
      </c>
      <c r="C6" s="330"/>
      <c r="D6" s="330"/>
      <c r="E6" s="330"/>
      <c r="F6" s="330"/>
      <c r="G6" s="330"/>
      <c r="H6" s="330"/>
      <c r="I6" s="331"/>
      <c r="J6" s="126"/>
      <c r="K6" s="120"/>
    </row>
    <row r="7" spans="1:11">
      <c r="A7" s="123"/>
      <c r="B7" s="201"/>
      <c r="C7" s="201"/>
      <c r="D7" s="201"/>
      <c r="E7" s="201"/>
      <c r="F7" s="201"/>
      <c r="G7" s="201"/>
      <c r="H7" s="201"/>
      <c r="I7" s="201"/>
      <c r="J7" s="124"/>
      <c r="K7" s="122"/>
    </row>
    <row r="8" spans="1:11" customHeight="1" ht="12">
      <c r="A8" s="372" t="s">
        <v>11</v>
      </c>
      <c r="B8" s="373"/>
      <c r="C8" s="373"/>
      <c r="D8" s="374"/>
      <c r="E8" s="356"/>
      <c r="F8" s="307" t="s">
        <v>12</v>
      </c>
      <c r="G8" s="359"/>
      <c r="H8" s="359"/>
      <c r="I8" s="359"/>
      <c r="J8" s="308"/>
      <c r="K8" s="122"/>
    </row>
    <row r="9" spans="1:11" customHeight="1" ht="18">
      <c r="A9" s="375"/>
      <c r="B9" s="376"/>
      <c r="C9" s="376"/>
      <c r="D9" s="377"/>
      <c r="E9" s="357"/>
      <c r="F9" s="337" t="s">
        <v>13</v>
      </c>
      <c r="G9" s="338"/>
      <c r="H9" s="334"/>
      <c r="I9" s="335"/>
      <c r="J9" s="336"/>
      <c r="K9" s="122"/>
    </row>
    <row r="10" spans="1:11" customHeight="1" ht="18">
      <c r="A10" s="375"/>
      <c r="B10" s="376"/>
      <c r="C10" s="376"/>
      <c r="D10" s="377"/>
      <c r="E10" s="357"/>
      <c r="F10" s="339"/>
      <c r="G10" s="340"/>
      <c r="H10" s="207"/>
      <c r="I10" s="208"/>
      <c r="J10" s="209"/>
      <c r="K10" s="122"/>
    </row>
    <row r="11" spans="1:11" customHeight="1" ht="18">
      <c r="A11" s="375"/>
      <c r="B11" s="376"/>
      <c r="C11" s="376"/>
      <c r="D11" s="377"/>
      <c r="E11" s="357"/>
      <c r="F11" s="339"/>
      <c r="G11" s="340"/>
      <c r="H11" s="207"/>
      <c r="I11" s="208"/>
      <c r="J11" s="209"/>
      <c r="K11" s="122"/>
    </row>
    <row r="12" spans="1:11" customHeight="1" ht="18">
      <c r="A12" s="375"/>
      <c r="B12" s="376"/>
      <c r="C12" s="376"/>
      <c r="D12" s="377"/>
      <c r="E12" s="357"/>
      <c r="F12" s="339"/>
      <c r="G12" s="340"/>
      <c r="H12" s="207"/>
      <c r="I12" s="208"/>
      <c r="J12" s="209"/>
      <c r="K12" s="122"/>
    </row>
    <row r="13" spans="1:11" customHeight="1" ht="18">
      <c r="A13" s="375"/>
      <c r="B13" s="376"/>
      <c r="C13" s="376"/>
      <c r="D13" s="377"/>
      <c r="E13" s="357"/>
      <c r="F13" s="339"/>
      <c r="G13" s="340"/>
      <c r="H13" s="207"/>
      <c r="I13" s="208"/>
      <c r="J13" s="209"/>
      <c r="K13" s="122"/>
    </row>
    <row r="14" spans="1:11" customHeight="1" ht="18">
      <c r="A14" s="375"/>
      <c r="B14" s="376"/>
      <c r="C14" s="376"/>
      <c r="D14" s="377"/>
      <c r="E14" s="357"/>
      <c r="F14" s="339"/>
      <c r="G14" s="340"/>
      <c r="H14" s="207"/>
      <c r="I14" s="208"/>
      <c r="J14" s="209"/>
      <c r="K14" s="122"/>
    </row>
    <row r="15" spans="1:11" customHeight="1" ht="18">
      <c r="A15" s="375"/>
      <c r="B15" s="376"/>
      <c r="C15" s="376"/>
      <c r="D15" s="377"/>
      <c r="E15" s="357"/>
      <c r="F15" s="339"/>
      <c r="G15" s="340"/>
      <c r="H15" s="207"/>
      <c r="I15" s="208"/>
      <c r="J15" s="209"/>
      <c r="K15" s="122"/>
    </row>
    <row r="16" spans="1:11" customHeight="1" ht="18">
      <c r="A16" s="375"/>
      <c r="B16" s="376"/>
      <c r="C16" s="376"/>
      <c r="D16" s="377"/>
      <c r="E16" s="357"/>
      <c r="F16" s="339"/>
      <c r="G16" s="340"/>
      <c r="H16" s="207"/>
      <c r="I16" s="208"/>
      <c r="J16" s="209"/>
      <c r="K16" s="122"/>
    </row>
    <row r="17" spans="1:11" customHeight="1" ht="18">
      <c r="A17" s="375"/>
      <c r="B17" s="376"/>
      <c r="C17" s="376"/>
      <c r="D17" s="377"/>
      <c r="E17" s="357"/>
      <c r="F17" s="341"/>
      <c r="G17" s="342"/>
      <c r="H17" s="207"/>
      <c r="I17" s="208"/>
      <c r="J17" s="209"/>
      <c r="K17" s="122"/>
    </row>
    <row r="18" spans="1:11" customHeight="1" ht="17.25">
      <c r="A18" s="375"/>
      <c r="B18" s="376"/>
      <c r="C18" s="376"/>
      <c r="D18" s="377"/>
      <c r="E18" s="357"/>
      <c r="F18" s="337" t="s">
        <v>14</v>
      </c>
      <c r="G18" s="338"/>
      <c r="H18" s="334"/>
      <c r="I18" s="335"/>
      <c r="J18" s="336"/>
      <c r="K18" s="122"/>
    </row>
    <row r="19" spans="1:11" customHeight="1" ht="17.25">
      <c r="A19" s="375"/>
      <c r="B19" s="376"/>
      <c r="C19" s="376"/>
      <c r="D19" s="377"/>
      <c r="E19" s="357"/>
      <c r="F19" s="339"/>
      <c r="G19" s="340"/>
      <c r="H19" s="207"/>
      <c r="I19" s="208"/>
      <c r="J19" s="209"/>
      <c r="K19" s="122"/>
    </row>
    <row r="20" spans="1:11" customHeight="1" ht="17.25">
      <c r="A20" s="375"/>
      <c r="B20" s="376"/>
      <c r="C20" s="376"/>
      <c r="D20" s="377"/>
      <c r="E20" s="357"/>
      <c r="F20" s="341"/>
      <c r="G20" s="342"/>
      <c r="H20" s="207"/>
      <c r="I20" s="208"/>
      <c r="J20" s="209"/>
      <c r="K20" s="122"/>
    </row>
    <row r="21" spans="1:11">
      <c r="A21" s="375"/>
      <c r="B21" s="376"/>
      <c r="C21" s="376"/>
      <c r="D21" s="377"/>
      <c r="E21" s="357"/>
      <c r="F21" s="303" t="s">
        <v>15</v>
      </c>
      <c r="G21" s="303"/>
      <c r="H21" s="334"/>
      <c r="I21" s="335"/>
      <c r="J21" s="336"/>
      <c r="K21" s="119"/>
    </row>
    <row r="22" spans="1:11">
      <c r="A22" s="375"/>
      <c r="B22" s="376"/>
      <c r="C22" s="376"/>
      <c r="D22" s="377"/>
      <c r="E22" s="357"/>
      <c r="F22" s="303" t="s">
        <v>16</v>
      </c>
      <c r="G22" s="303"/>
      <c r="H22" s="304" t="s">
        <v>17</v>
      </c>
      <c r="I22" s="305"/>
      <c r="J22" s="306"/>
      <c r="K22" s="119"/>
    </row>
    <row r="23" spans="1:11">
      <c r="A23" s="375"/>
      <c r="B23" s="376"/>
      <c r="C23" s="376"/>
      <c r="D23" s="377"/>
      <c r="E23" s="357"/>
      <c r="F23" s="307" t="s">
        <v>18</v>
      </c>
      <c r="G23" s="308"/>
      <c r="H23" s="332">
        <v>0</v>
      </c>
      <c r="I23" s="333"/>
      <c r="J23" s="202" t="s">
        <v>19</v>
      </c>
      <c r="K23" s="182"/>
    </row>
    <row r="24" spans="1:11">
      <c r="A24" s="375"/>
      <c r="B24" s="376"/>
      <c r="C24" s="376"/>
      <c r="D24" s="377"/>
      <c r="E24" s="357"/>
      <c r="F24" s="303" t="s">
        <v>20</v>
      </c>
      <c r="G24" s="303"/>
      <c r="H24" s="304" t="s">
        <v>21</v>
      </c>
      <c r="I24" s="305"/>
      <c r="J24" s="306"/>
      <c r="K24" s="182"/>
    </row>
    <row r="25" spans="1:11">
      <c r="A25" s="375"/>
      <c r="B25" s="376"/>
      <c r="C25" s="376"/>
      <c r="D25" s="377"/>
      <c r="E25" s="357"/>
      <c r="F25" s="307" t="s">
        <v>22</v>
      </c>
      <c r="G25" s="308"/>
      <c r="H25" s="332">
        <v>0</v>
      </c>
      <c r="I25" s="333"/>
      <c r="J25" s="202" t="str">
        <f>J23</f>
        <v>ระบุหน่วย</v>
      </c>
      <c r="K25" s="182"/>
    </row>
    <row r="26" spans="1:11">
      <c r="A26" s="375"/>
      <c r="B26" s="376"/>
      <c r="C26" s="376"/>
      <c r="D26" s="377"/>
      <c r="E26" s="358"/>
      <c r="F26" s="343" t="s">
        <v>23</v>
      </c>
      <c r="G26" s="344"/>
      <c r="H26" s="344"/>
      <c r="I26" s="344"/>
      <c r="J26" s="345"/>
      <c r="K26" s="119"/>
    </row>
    <row r="27" spans="1:11">
      <c r="A27" s="375"/>
      <c r="B27" s="376"/>
      <c r="C27" s="376"/>
      <c r="D27" s="377"/>
      <c r="E27" s="358"/>
      <c r="F27" s="127">
        <v>1</v>
      </c>
      <c r="G27" s="346"/>
      <c r="H27" s="347"/>
      <c r="I27" s="347"/>
      <c r="J27" s="348"/>
      <c r="K27" s="119"/>
    </row>
    <row r="28" spans="1:11">
      <c r="A28" s="375"/>
      <c r="B28" s="376"/>
      <c r="C28" s="376"/>
      <c r="D28" s="377"/>
      <c r="E28" s="358"/>
      <c r="F28" s="127">
        <v>2</v>
      </c>
      <c r="G28" s="349"/>
      <c r="H28" s="349"/>
      <c r="I28" s="350"/>
      <c r="J28" s="350"/>
      <c r="K28" s="120"/>
    </row>
    <row r="29" spans="1:11">
      <c r="A29" s="375"/>
      <c r="B29" s="376"/>
      <c r="C29" s="376"/>
      <c r="D29" s="377"/>
      <c r="E29" s="358"/>
      <c r="F29" s="127">
        <v>3</v>
      </c>
      <c r="G29" s="349"/>
      <c r="H29" s="349"/>
      <c r="I29" s="350"/>
      <c r="J29" s="350"/>
      <c r="K29" s="120"/>
    </row>
    <row r="30" spans="1:11">
      <c r="A30" s="375"/>
      <c r="B30" s="376"/>
      <c r="C30" s="376"/>
      <c r="D30" s="377"/>
      <c r="E30" s="358"/>
      <c r="F30" s="127">
        <v>4</v>
      </c>
      <c r="G30" s="349"/>
      <c r="H30" s="349"/>
      <c r="I30" s="350"/>
      <c r="J30" s="350"/>
      <c r="K30" s="119"/>
    </row>
    <row r="31" spans="1:11">
      <c r="A31" s="375"/>
      <c r="B31" s="376"/>
      <c r="C31" s="376"/>
      <c r="D31" s="377"/>
      <c r="E31" s="358"/>
      <c r="F31" s="127">
        <v>5</v>
      </c>
      <c r="G31" s="349"/>
      <c r="H31" s="349"/>
      <c r="I31" s="350"/>
      <c r="J31" s="350"/>
      <c r="K31" s="119"/>
    </row>
    <row r="32" spans="1:11">
      <c r="A32" s="375"/>
      <c r="B32" s="376"/>
      <c r="C32" s="376"/>
      <c r="D32" s="377"/>
      <c r="E32" s="358"/>
      <c r="F32" s="307" t="s">
        <v>24</v>
      </c>
      <c r="G32" s="324"/>
      <c r="H32" s="181"/>
      <c r="I32" s="322"/>
      <c r="J32" s="323"/>
      <c r="K32" s="122"/>
    </row>
    <row r="33" spans="1:11">
      <c r="A33" s="378"/>
      <c r="B33" s="379"/>
      <c r="C33" s="379"/>
      <c r="D33" s="380"/>
      <c r="E33" s="358"/>
      <c r="F33" s="307" t="s">
        <v>25</v>
      </c>
      <c r="G33" s="324"/>
      <c r="H33" s="181"/>
      <c r="I33" s="322"/>
      <c r="J33" s="323"/>
      <c r="K33" s="119"/>
    </row>
    <row r="34" spans="1:11">
      <c r="A34" s="353"/>
      <c r="B34" s="354"/>
      <c r="C34" s="354"/>
      <c r="D34" s="354"/>
      <c r="E34" s="354"/>
      <c r="F34" s="354"/>
      <c r="G34" s="354"/>
      <c r="H34" s="354"/>
      <c r="I34" s="354"/>
      <c r="J34" s="355"/>
      <c r="K34" s="119"/>
    </row>
    <row r="35" spans="1:11">
      <c r="A35" s="381" t="s">
        <v>26</v>
      </c>
      <c r="B35" s="382"/>
      <c r="C35" s="382"/>
      <c r="D35" s="383"/>
      <c r="E35" s="351"/>
      <c r="F35" s="381" t="s">
        <v>27</v>
      </c>
      <c r="G35" s="382"/>
      <c r="H35" s="382"/>
      <c r="I35" s="382"/>
      <c r="J35" s="383"/>
      <c r="K35" s="119"/>
    </row>
    <row r="36" spans="1:11">
      <c r="A36" s="360"/>
      <c r="B36" s="367"/>
      <c r="C36" s="367"/>
      <c r="D36" s="368"/>
      <c r="E36" s="351"/>
      <c r="F36" s="360"/>
      <c r="G36" s="361"/>
      <c r="H36" s="361"/>
      <c r="I36" s="361"/>
      <c r="J36" s="362"/>
      <c r="K36" s="119"/>
    </row>
    <row r="37" spans="1:11">
      <c r="A37" s="360"/>
      <c r="B37" s="367"/>
      <c r="C37" s="367"/>
      <c r="D37" s="368"/>
      <c r="E37" s="351"/>
      <c r="F37" s="363"/>
      <c r="G37" s="361"/>
      <c r="H37" s="361"/>
      <c r="I37" s="361"/>
      <c r="J37" s="362"/>
      <c r="K37" s="119"/>
    </row>
    <row r="38" spans="1:11">
      <c r="A38" s="360"/>
      <c r="B38" s="367"/>
      <c r="C38" s="367"/>
      <c r="D38" s="368"/>
      <c r="E38" s="351"/>
      <c r="F38" s="363"/>
      <c r="G38" s="361"/>
      <c r="H38" s="361"/>
      <c r="I38" s="361"/>
      <c r="J38" s="362"/>
      <c r="K38" s="119"/>
    </row>
    <row r="39" spans="1:11">
      <c r="A39" s="360"/>
      <c r="B39" s="367"/>
      <c r="C39" s="367"/>
      <c r="D39" s="368"/>
      <c r="E39" s="351"/>
      <c r="F39" s="363"/>
      <c r="G39" s="361"/>
      <c r="H39" s="361"/>
      <c r="I39" s="361"/>
      <c r="J39" s="362"/>
      <c r="K39" s="119"/>
    </row>
    <row r="40" spans="1:11">
      <c r="A40" s="360"/>
      <c r="B40" s="367"/>
      <c r="C40" s="367"/>
      <c r="D40" s="368"/>
      <c r="E40" s="351"/>
      <c r="F40" s="363"/>
      <c r="G40" s="361"/>
      <c r="H40" s="361"/>
      <c r="I40" s="361"/>
      <c r="J40" s="362"/>
      <c r="K40" s="119"/>
    </row>
    <row r="41" spans="1:11">
      <c r="A41" s="360"/>
      <c r="B41" s="367"/>
      <c r="C41" s="367"/>
      <c r="D41" s="368"/>
      <c r="E41" s="351"/>
      <c r="F41" s="363"/>
      <c r="G41" s="361"/>
      <c r="H41" s="361"/>
      <c r="I41" s="361"/>
      <c r="J41" s="362"/>
      <c r="K41" s="119"/>
    </row>
    <row r="42" spans="1:11">
      <c r="A42" s="360"/>
      <c r="B42" s="367"/>
      <c r="C42" s="367"/>
      <c r="D42" s="368"/>
      <c r="E42" s="351"/>
      <c r="F42" s="363"/>
      <c r="G42" s="361"/>
      <c r="H42" s="361"/>
      <c r="I42" s="361"/>
      <c r="J42" s="362"/>
      <c r="K42" s="119"/>
    </row>
    <row r="43" spans="1:11">
      <c r="A43" s="360"/>
      <c r="B43" s="367"/>
      <c r="C43" s="367"/>
      <c r="D43" s="368"/>
      <c r="E43" s="351"/>
      <c r="F43" s="363"/>
      <c r="G43" s="361"/>
      <c r="H43" s="361"/>
      <c r="I43" s="361"/>
      <c r="J43" s="362"/>
      <c r="K43" s="119"/>
    </row>
    <row r="44" spans="1:11">
      <c r="A44" s="360"/>
      <c r="B44" s="367"/>
      <c r="C44" s="367"/>
      <c r="D44" s="368"/>
      <c r="E44" s="351"/>
      <c r="F44" s="363"/>
      <c r="G44" s="361"/>
      <c r="H44" s="361"/>
      <c r="I44" s="361"/>
      <c r="J44" s="362"/>
      <c r="K44" s="119"/>
    </row>
    <row r="45" spans="1:11">
      <c r="A45" s="360"/>
      <c r="B45" s="367"/>
      <c r="C45" s="367"/>
      <c r="D45" s="368"/>
      <c r="E45" s="351"/>
      <c r="F45" s="363"/>
      <c r="G45" s="361"/>
      <c r="H45" s="361"/>
      <c r="I45" s="361"/>
      <c r="J45" s="362"/>
      <c r="K45" s="119"/>
    </row>
    <row r="46" spans="1:11">
      <c r="A46" s="360"/>
      <c r="B46" s="367"/>
      <c r="C46" s="367"/>
      <c r="D46" s="368"/>
      <c r="E46" s="351"/>
      <c r="F46" s="363"/>
      <c r="G46" s="361"/>
      <c r="H46" s="361"/>
      <c r="I46" s="361"/>
      <c r="J46" s="362"/>
      <c r="K46" s="119"/>
    </row>
    <row r="47" spans="1:11">
      <c r="A47" s="360"/>
      <c r="B47" s="367"/>
      <c r="C47" s="367"/>
      <c r="D47" s="368"/>
      <c r="E47" s="351"/>
      <c r="F47" s="363"/>
      <c r="G47" s="361"/>
      <c r="H47" s="361"/>
      <c r="I47" s="361"/>
      <c r="J47" s="362"/>
      <c r="K47" s="119"/>
    </row>
    <row r="48" spans="1:11" customHeight="1" ht="9.75">
      <c r="A48" s="360"/>
      <c r="B48" s="367"/>
      <c r="C48" s="367"/>
      <c r="D48" s="368"/>
      <c r="E48" s="351"/>
      <c r="F48" s="363"/>
      <c r="G48" s="361"/>
      <c r="H48" s="361"/>
      <c r="I48" s="361"/>
      <c r="J48" s="362"/>
      <c r="K48" s="120"/>
    </row>
    <row r="49" spans="1:11">
      <c r="A49" s="360"/>
      <c r="B49" s="367"/>
      <c r="C49" s="367"/>
      <c r="D49" s="368"/>
      <c r="E49" s="351"/>
      <c r="F49" s="363"/>
      <c r="G49" s="361"/>
      <c r="H49" s="361"/>
      <c r="I49" s="361"/>
      <c r="J49" s="362"/>
      <c r="K49" s="119"/>
    </row>
    <row r="50" spans="1:11" customHeight="1" ht="8.25">
      <c r="A50" s="369"/>
      <c r="B50" s="370"/>
      <c r="C50" s="370"/>
      <c r="D50" s="371"/>
      <c r="E50" s="352"/>
      <c r="F50" s="364"/>
      <c r="G50" s="365"/>
      <c r="H50" s="365"/>
      <c r="I50" s="365"/>
      <c r="J50" s="366"/>
      <c r="K50" s="119"/>
    </row>
    <row r="51" spans="1:1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19"/>
    </row>
    <row r="52" spans="1:1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19"/>
    </row>
    <row r="53" spans="1:1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19"/>
    </row>
    <row r="54" spans="1:1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19"/>
    </row>
    <row r="55" spans="1:1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19"/>
    </row>
    <row r="56" spans="1:1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19"/>
    </row>
    <row r="57" spans="1:1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19"/>
    </row>
    <row r="58" spans="1:1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19"/>
    </row>
    <row r="59" spans="1:1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19"/>
    </row>
    <row r="60" spans="1:1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19"/>
    </row>
    <row r="61" spans="1:11">
      <c r="A61" s="120"/>
      <c r="B61" s="120"/>
      <c r="C61" s="120"/>
      <c r="D61" s="120"/>
      <c r="E61" s="120"/>
      <c r="F61" s="120"/>
      <c r="G61" s="120"/>
      <c r="H61" s="120"/>
      <c r="I61" s="120"/>
      <c r="J61" s="120"/>
    </row>
    <row r="62" spans="1:11">
      <c r="A62" s="120"/>
      <c r="B62" s="120"/>
      <c r="C62" s="120"/>
      <c r="D62" s="120"/>
      <c r="E62" s="120"/>
      <c r="F62" s="120"/>
      <c r="G62" s="120"/>
      <c r="H62" s="120"/>
      <c r="I62" s="120"/>
      <c r="J62" s="120"/>
    </row>
  </sheetData>
  <mergeCells>
    <mergeCell ref="F26:J26"/>
    <mergeCell ref="G27:J27"/>
    <mergeCell ref="G28:J28"/>
    <mergeCell ref="E35:E50"/>
    <mergeCell ref="A34:J34"/>
    <mergeCell ref="E8:E33"/>
    <mergeCell ref="F8:J8"/>
    <mergeCell ref="F36:J50"/>
    <mergeCell ref="A36:D50"/>
    <mergeCell ref="A8:D33"/>
    <mergeCell ref="G29:J29"/>
    <mergeCell ref="G30:J30"/>
    <mergeCell ref="G31:J31"/>
    <mergeCell ref="A35:D35"/>
    <mergeCell ref="H25:I25"/>
    <mergeCell ref="F35:J35"/>
    <mergeCell ref="I32:J32"/>
    <mergeCell ref="I33:J33"/>
    <mergeCell ref="F33:G33"/>
    <mergeCell ref="I1:J2"/>
    <mergeCell ref="F21:G21"/>
    <mergeCell ref="F22:G22"/>
    <mergeCell ref="B6:I6"/>
    <mergeCell ref="F32:G32"/>
    <mergeCell ref="F23:G23"/>
    <mergeCell ref="H23:I23"/>
    <mergeCell ref="H9:J9"/>
    <mergeCell ref="H18:J18"/>
    <mergeCell ref="H21:J21"/>
    <mergeCell ref="H22:J22"/>
    <mergeCell ref="F18:G20"/>
    <mergeCell ref="F9:G17"/>
    <mergeCell ref="F24:G24"/>
    <mergeCell ref="H24:J24"/>
    <mergeCell ref="F25:G25"/>
    <mergeCell ref="A1:A4"/>
    <mergeCell ref="B1:H2"/>
    <mergeCell ref="C3:D3"/>
    <mergeCell ref="G3:H3"/>
    <mergeCell ref="C4:D4"/>
    <mergeCell ref="G4:H4"/>
    <mergeCell ref="E3:F3"/>
    <mergeCell ref="E4:F4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6"/>
  <sheetViews>
    <sheetView tabSelected="0" workbookViewId="0" showGridLines="true" showRowColHeaders="1">
      <selection activeCell="L1" sqref="L1:M2"/>
    </sheetView>
  </sheetViews>
  <sheetFormatPr defaultRowHeight="14.4" outlineLevelRow="0" outlineLevelCol="0"/>
  <sheetData>
    <row r="1" spans="1:15" customHeight="1" ht="18.75" s="104" customFormat="1">
      <c r="A1" s="384"/>
      <c r="B1" s="396" t="s">
        <v>28</v>
      </c>
      <c r="C1" s="397"/>
      <c r="D1" s="397"/>
      <c r="E1" s="397"/>
      <c r="F1" s="397"/>
      <c r="G1" s="397"/>
      <c r="H1" s="397"/>
      <c r="I1" s="397"/>
      <c r="J1" s="397"/>
      <c r="K1" s="398"/>
      <c r="L1" s="325" t="s">
        <v>1</v>
      </c>
      <c r="M1" s="326"/>
    </row>
    <row r="2" spans="1:15" customHeight="1" ht="18.75" s="103" customFormat="1">
      <c r="A2" s="385"/>
      <c r="B2" s="399"/>
      <c r="C2" s="400"/>
      <c r="D2" s="400"/>
      <c r="E2" s="400"/>
      <c r="F2" s="400"/>
      <c r="G2" s="400"/>
      <c r="H2" s="400"/>
      <c r="I2" s="400"/>
      <c r="J2" s="400"/>
      <c r="K2" s="401"/>
      <c r="L2" s="327"/>
      <c r="M2" s="328"/>
      <c r="N2" s="104"/>
      <c r="O2" s="104"/>
    </row>
    <row r="3" spans="1:15" customHeight="1" ht="18.75" s="103" customFormat="1">
      <c r="A3" s="385"/>
      <c r="B3" s="280" t="s">
        <v>2</v>
      </c>
      <c r="C3" s="318" t="s">
        <v>3</v>
      </c>
      <c r="D3" s="319"/>
      <c r="E3" s="402"/>
      <c r="F3" s="281" t="s">
        <v>4</v>
      </c>
      <c r="G3" s="318" t="str">
        <f>'Fr-01'!$B$6</f>
        <v>ชื่อองค์กรที่ขอขึ้นทะเบียน</v>
      </c>
      <c r="H3" s="319"/>
      <c r="I3" s="402"/>
      <c r="J3" s="403"/>
      <c r="K3" s="404"/>
      <c r="L3" s="282" t="s">
        <v>5</v>
      </c>
      <c r="M3" s="283">
        <v>2</v>
      </c>
      <c r="N3" s="104"/>
      <c r="O3" s="104"/>
    </row>
    <row r="4" spans="1:15" customHeight="1" ht="18.75" s="248" customFormat="1">
      <c r="A4" s="386"/>
      <c r="B4" s="280" t="s">
        <v>6</v>
      </c>
      <c r="C4" s="318" t="s">
        <v>29</v>
      </c>
      <c r="D4" s="319"/>
      <c r="E4" s="402"/>
      <c r="F4" s="281" t="s">
        <v>8</v>
      </c>
      <c r="G4" s="318">
        <f>'Fr-01'!$G$4</f>
        <v>0</v>
      </c>
      <c r="H4" s="319"/>
      <c r="I4" s="402"/>
      <c r="J4" s="403"/>
      <c r="K4" s="404"/>
      <c r="L4" s="282" t="s">
        <v>30</v>
      </c>
      <c r="M4" s="283"/>
    </row>
    <row r="5" spans="1:15" customHeight="1" ht="18.75" s="89" customFormat="1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30"/>
    </row>
    <row r="6" spans="1:15">
      <c r="A6" s="387"/>
      <c r="B6" s="388"/>
      <c r="C6" s="388"/>
      <c r="D6" s="388"/>
      <c r="E6" s="388"/>
      <c r="F6" s="388"/>
      <c r="G6" s="388"/>
      <c r="H6" s="388"/>
      <c r="I6" s="388"/>
      <c r="J6" s="388"/>
      <c r="K6" s="388"/>
      <c r="L6" s="388"/>
      <c r="M6" s="389"/>
    </row>
    <row r="7" spans="1:15">
      <c r="A7" s="390"/>
      <c r="B7" s="391"/>
      <c r="C7" s="391"/>
      <c r="D7" s="391"/>
      <c r="E7" s="391"/>
      <c r="F7" s="391"/>
      <c r="G7" s="391"/>
      <c r="H7" s="391"/>
      <c r="I7" s="391"/>
      <c r="J7" s="391"/>
      <c r="K7" s="391"/>
      <c r="L7" s="391"/>
      <c r="M7" s="392"/>
    </row>
    <row r="8" spans="1:15">
      <c r="A8" s="390"/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2"/>
    </row>
    <row r="9" spans="1:15">
      <c r="A9" s="390"/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  <c r="M9" s="392"/>
    </row>
    <row r="10" spans="1:15">
      <c r="A10" s="390"/>
      <c r="B10" s="391"/>
      <c r="C10" s="391"/>
      <c r="D10" s="391"/>
      <c r="E10" s="391"/>
      <c r="F10" s="391"/>
      <c r="G10" s="391"/>
      <c r="H10" s="391"/>
      <c r="I10" s="391"/>
      <c r="J10" s="391"/>
      <c r="K10" s="391"/>
      <c r="L10" s="391"/>
      <c r="M10" s="392"/>
    </row>
    <row r="11" spans="1:15">
      <c r="A11" s="390"/>
      <c r="B11" s="391"/>
      <c r="C11" s="391"/>
      <c r="D11" s="391"/>
      <c r="E11" s="391"/>
      <c r="F11" s="391"/>
      <c r="G11" s="391"/>
      <c r="H11" s="391"/>
      <c r="I11" s="391"/>
      <c r="J11" s="391"/>
      <c r="K11" s="391"/>
      <c r="L11" s="391"/>
      <c r="M11" s="392"/>
    </row>
    <row r="12" spans="1:15">
      <c r="A12" s="390"/>
      <c r="B12" s="391"/>
      <c r="C12" s="391"/>
      <c r="D12" s="391"/>
      <c r="E12" s="391"/>
      <c r="F12" s="391"/>
      <c r="G12" s="391"/>
      <c r="H12" s="391"/>
      <c r="I12" s="391"/>
      <c r="J12" s="391"/>
      <c r="K12" s="391"/>
      <c r="L12" s="391"/>
      <c r="M12" s="392"/>
    </row>
    <row r="13" spans="1:15">
      <c r="A13" s="390"/>
      <c r="B13" s="391"/>
      <c r="C13" s="391"/>
      <c r="D13" s="391"/>
      <c r="E13" s="391"/>
      <c r="F13" s="391"/>
      <c r="G13" s="391"/>
      <c r="H13" s="391"/>
      <c r="I13" s="391"/>
      <c r="J13" s="391"/>
      <c r="K13" s="391"/>
      <c r="L13" s="391"/>
      <c r="M13" s="392"/>
    </row>
    <row r="14" spans="1:15">
      <c r="A14" s="390"/>
      <c r="B14" s="391"/>
      <c r="C14" s="391"/>
      <c r="D14" s="391"/>
      <c r="E14" s="391"/>
      <c r="F14" s="391"/>
      <c r="G14" s="391"/>
      <c r="H14" s="391"/>
      <c r="I14" s="391"/>
      <c r="J14" s="391"/>
      <c r="K14" s="391"/>
      <c r="L14" s="391"/>
      <c r="M14" s="392"/>
    </row>
    <row r="15" spans="1:15">
      <c r="A15" s="390"/>
      <c r="B15" s="391"/>
      <c r="C15" s="391"/>
      <c r="D15" s="391"/>
      <c r="E15" s="391"/>
      <c r="F15" s="391"/>
      <c r="G15" s="391"/>
      <c r="H15" s="391"/>
      <c r="I15" s="391"/>
      <c r="J15" s="391"/>
      <c r="K15" s="391"/>
      <c r="L15" s="391"/>
      <c r="M15" s="392"/>
    </row>
    <row r="16" spans="1:15">
      <c r="A16" s="390"/>
      <c r="B16" s="391"/>
      <c r="C16" s="391"/>
      <c r="D16" s="391"/>
      <c r="E16" s="391"/>
      <c r="F16" s="391"/>
      <c r="G16" s="391"/>
      <c r="H16" s="391"/>
      <c r="I16" s="391"/>
      <c r="J16" s="391"/>
      <c r="K16" s="391"/>
      <c r="L16" s="391"/>
      <c r="M16" s="392"/>
    </row>
    <row r="17" spans="1:15">
      <c r="A17" s="390"/>
      <c r="B17" s="391"/>
      <c r="C17" s="391"/>
      <c r="D17" s="391"/>
      <c r="E17" s="391"/>
      <c r="F17" s="391"/>
      <c r="G17" s="391"/>
      <c r="H17" s="391"/>
      <c r="I17" s="391"/>
      <c r="J17" s="391"/>
      <c r="K17" s="391"/>
      <c r="L17" s="391"/>
      <c r="M17" s="392"/>
    </row>
    <row r="18" spans="1:15">
      <c r="A18" s="390"/>
      <c r="B18" s="391"/>
      <c r="C18" s="391"/>
      <c r="D18" s="391"/>
      <c r="E18" s="391"/>
      <c r="F18" s="391"/>
      <c r="G18" s="391"/>
      <c r="H18" s="391"/>
      <c r="I18" s="391"/>
      <c r="J18" s="391"/>
      <c r="K18" s="391"/>
      <c r="L18" s="391"/>
      <c r="M18" s="392"/>
    </row>
    <row r="19" spans="1:15">
      <c r="A19" s="390"/>
      <c r="B19" s="391"/>
      <c r="C19" s="391"/>
      <c r="D19" s="391"/>
      <c r="E19" s="391"/>
      <c r="F19" s="391"/>
      <c r="G19" s="391"/>
      <c r="H19" s="391"/>
      <c r="I19" s="391"/>
      <c r="J19" s="391"/>
      <c r="K19" s="391"/>
      <c r="L19" s="391"/>
      <c r="M19" s="392"/>
    </row>
    <row r="20" spans="1:15">
      <c r="A20" s="390"/>
      <c r="B20" s="391"/>
      <c r="C20" s="391"/>
      <c r="D20" s="391"/>
      <c r="E20" s="391"/>
      <c r="F20" s="391"/>
      <c r="G20" s="391"/>
      <c r="H20" s="391"/>
      <c r="I20" s="391"/>
      <c r="J20" s="391"/>
      <c r="K20" s="391"/>
      <c r="L20" s="391"/>
      <c r="M20" s="392"/>
    </row>
    <row r="21" spans="1:15">
      <c r="A21" s="390"/>
      <c r="B21" s="391"/>
      <c r="C21" s="391"/>
      <c r="D21" s="391"/>
      <c r="E21" s="391"/>
      <c r="F21" s="391"/>
      <c r="G21" s="391"/>
      <c r="H21" s="391"/>
      <c r="I21" s="391"/>
      <c r="J21" s="391"/>
      <c r="K21" s="391"/>
      <c r="L21" s="391"/>
      <c r="M21" s="392"/>
    </row>
    <row r="22" spans="1:15">
      <c r="A22" s="390"/>
      <c r="B22" s="391"/>
      <c r="C22" s="391"/>
      <c r="D22" s="391"/>
      <c r="E22" s="391"/>
      <c r="F22" s="391"/>
      <c r="G22" s="391"/>
      <c r="H22" s="391"/>
      <c r="I22" s="391"/>
      <c r="J22" s="391"/>
      <c r="K22" s="391"/>
      <c r="L22" s="391"/>
      <c r="M22" s="392"/>
    </row>
    <row r="23" spans="1:15">
      <c r="A23" s="390"/>
      <c r="B23" s="391"/>
      <c r="C23" s="391"/>
      <c r="D23" s="391"/>
      <c r="E23" s="391"/>
      <c r="F23" s="391"/>
      <c r="G23" s="391"/>
      <c r="H23" s="391"/>
      <c r="I23" s="391"/>
      <c r="J23" s="391"/>
      <c r="K23" s="391"/>
      <c r="L23" s="391"/>
      <c r="M23" s="392"/>
    </row>
    <row r="24" spans="1:15">
      <c r="A24" s="390"/>
      <c r="B24" s="391"/>
      <c r="C24" s="391"/>
      <c r="D24" s="391"/>
      <c r="E24" s="391"/>
      <c r="F24" s="391"/>
      <c r="G24" s="391"/>
      <c r="H24" s="391"/>
      <c r="I24" s="391"/>
      <c r="J24" s="391"/>
      <c r="K24" s="391"/>
      <c r="L24" s="391"/>
      <c r="M24" s="392"/>
    </row>
    <row r="25" spans="1:15">
      <c r="A25" s="390"/>
      <c r="B25" s="391"/>
      <c r="C25" s="391"/>
      <c r="D25" s="391"/>
      <c r="E25" s="391"/>
      <c r="F25" s="391"/>
      <c r="G25" s="391"/>
      <c r="H25" s="391"/>
      <c r="I25" s="391"/>
      <c r="J25" s="391"/>
      <c r="K25" s="391"/>
      <c r="L25" s="391"/>
      <c r="M25" s="392"/>
    </row>
    <row r="26" spans="1:15">
      <c r="A26" s="393"/>
      <c r="B26" s="394"/>
      <c r="C26" s="394"/>
      <c r="D26" s="394"/>
      <c r="E26" s="394"/>
      <c r="F26" s="394"/>
      <c r="G26" s="394"/>
      <c r="H26" s="394"/>
      <c r="I26" s="394"/>
      <c r="J26" s="394"/>
      <c r="K26" s="394"/>
      <c r="L26" s="394"/>
      <c r="M26" s="395"/>
    </row>
  </sheetData>
  <mergeCells>
    <mergeCell ref="A1:A4"/>
    <mergeCell ref="A6:M26"/>
    <mergeCell ref="B1:K2"/>
    <mergeCell ref="L1:M2"/>
    <mergeCell ref="C3:E3"/>
    <mergeCell ref="C4:E4"/>
    <mergeCell ref="G3:I3"/>
    <mergeCell ref="J3:K3"/>
    <mergeCell ref="G4:I4"/>
    <mergeCell ref="J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VR30"/>
  <sheetViews>
    <sheetView tabSelected="0" workbookViewId="0" showGridLines="true" showRowColHeaders="1">
      <selection activeCell="P13" sqref="P13"/>
    </sheetView>
  </sheetViews>
  <sheetFormatPr defaultRowHeight="14.4" defaultColWidth="11" outlineLevelRow="0" outlineLevelCol="0"/>
  <cols>
    <col min="1" max="1" width="10.140625" customWidth="true" style="89"/>
    <col min="2" max="2" width="10.140625" customWidth="true" style="89"/>
    <col min="3" max="3" width="10.140625" customWidth="true" style="89"/>
    <col min="4" max="4" width="10.140625" customWidth="true" style="89"/>
    <col min="5" max="5" width="10.140625" customWidth="true" style="89"/>
    <col min="6" max="6" width="10.140625" customWidth="true" style="89"/>
    <col min="7" max="7" width="10.140625" customWidth="true" style="89"/>
    <col min="8" max="8" width="10.140625" customWidth="true" style="89"/>
    <col min="9" max="9" width="10.140625" customWidth="true" style="89"/>
    <col min="10" max="10" width="11" style="89"/>
    <col min="11" max="11" width="11" style="89"/>
    <col min="12" max="12" width="11" style="89"/>
    <col min="13" max="13" width="11" style="89"/>
    <col min="14" max="14" width="11" style="89"/>
    <col min="15" max="15" width="11" style="89"/>
    <col min="16" max="16" width="11" style="89"/>
    <col min="17" max="17" width="11" style="89"/>
    <col min="18" max="18" width="11" style="89"/>
    <col min="19" max="19" width="11" style="89"/>
    <col min="20" max="20" width="11" style="89"/>
    <col min="21" max="21" width="11" style="89"/>
    <col min="22" max="22" width="11" style="89"/>
    <col min="23" max="23" width="11" style="89"/>
    <col min="24" max="24" width="11" style="89"/>
    <col min="25" max="25" width="11" style="89"/>
    <col min="26" max="26" width="11" style="89"/>
    <col min="27" max="27" width="11" style="89"/>
    <col min="28" max="28" width="11" style="89"/>
    <col min="29" max="29" width="11" style="89"/>
    <col min="30" max="30" width="11" style="89"/>
    <col min="31" max="31" width="11" style="89"/>
    <col min="32" max="32" width="11" style="89"/>
    <col min="33" max="33" width="11" style="89"/>
    <col min="34" max="34" width="11" style="89"/>
    <col min="35" max="35" width="11" style="89"/>
    <col min="36" max="36" width="11" style="89"/>
    <col min="37" max="37" width="11" style="89"/>
    <col min="38" max="38" width="11" style="89"/>
    <col min="39" max="39" width="11" style="89"/>
    <col min="40" max="40" width="11" style="89"/>
    <col min="41" max="41" width="11" style="89"/>
    <col min="42" max="42" width="11" style="89"/>
    <col min="43" max="43" width="11" style="89"/>
    <col min="44" max="44" width="11" style="89"/>
    <col min="45" max="45" width="11" style="89"/>
    <col min="46" max="46" width="11" style="89"/>
    <col min="47" max="47" width="11" style="89"/>
    <col min="48" max="48" width="11" style="89"/>
    <col min="49" max="49" width="11" style="89"/>
    <col min="50" max="50" width="11" style="89"/>
    <col min="51" max="51" width="11" style="89"/>
    <col min="52" max="52" width="11" style="89"/>
    <col min="53" max="53" width="11" style="89"/>
    <col min="54" max="54" width="11" style="89"/>
    <col min="55" max="55" width="11" style="89"/>
    <col min="56" max="56" width="11" style="89"/>
    <col min="57" max="57" width="11" style="89"/>
    <col min="58" max="58" width="11" style="89"/>
    <col min="59" max="59" width="11" style="89"/>
    <col min="60" max="60" width="11" style="89"/>
    <col min="61" max="61" width="11" style="89"/>
    <col min="62" max="62" width="11" style="89"/>
    <col min="63" max="63" width="11" style="89"/>
    <col min="64" max="64" width="11" style="89"/>
    <col min="65" max="65" width="11" style="89"/>
    <col min="66" max="66" width="11" style="89"/>
    <col min="67" max="67" width="11" style="89"/>
    <col min="68" max="68" width="11" style="89"/>
    <col min="69" max="69" width="11" style="89"/>
    <col min="70" max="70" width="11" style="89"/>
    <col min="71" max="71" width="11" style="89"/>
    <col min="72" max="72" width="11" style="89"/>
    <col min="73" max="73" width="11" style="89"/>
    <col min="74" max="74" width="11" style="89"/>
    <col min="75" max="75" width="11" style="89"/>
    <col min="76" max="76" width="11" style="89"/>
    <col min="77" max="77" width="11" style="89"/>
    <col min="78" max="78" width="11" style="89"/>
    <col min="79" max="79" width="11" style="89"/>
    <col min="80" max="80" width="11" style="89"/>
    <col min="81" max="81" width="11" style="89"/>
    <col min="82" max="82" width="11" style="89"/>
    <col min="83" max="83" width="11" style="89"/>
    <col min="84" max="84" width="11" style="89"/>
    <col min="85" max="85" width="11" style="89"/>
    <col min="86" max="86" width="11" style="89"/>
    <col min="87" max="87" width="11" style="89"/>
    <col min="88" max="88" width="11" style="89"/>
    <col min="89" max="89" width="11" style="89"/>
    <col min="90" max="90" width="11" style="89"/>
    <col min="91" max="91" width="11" style="89"/>
    <col min="92" max="92" width="11" style="89"/>
    <col min="93" max="93" width="11" style="89"/>
    <col min="94" max="94" width="11" style="89"/>
    <col min="95" max="95" width="11" style="89"/>
    <col min="96" max="96" width="11" style="89"/>
    <col min="97" max="97" width="11" style="89"/>
    <col min="98" max="98" width="11" style="89"/>
    <col min="99" max="99" width="11" style="89"/>
    <col min="100" max="100" width="11" style="89"/>
    <col min="101" max="101" width="11" style="89"/>
    <col min="102" max="102" width="11" style="89"/>
    <col min="103" max="103" width="11" style="89"/>
    <col min="104" max="104" width="11" style="89"/>
    <col min="105" max="105" width="11" style="89"/>
    <col min="106" max="106" width="11" style="89"/>
    <col min="107" max="107" width="11" style="89"/>
    <col min="108" max="108" width="11" style="89"/>
    <col min="109" max="109" width="11" style="89"/>
    <col min="110" max="110" width="11" style="89"/>
    <col min="111" max="111" width="11" style="89"/>
    <col min="112" max="112" width="11" style="89"/>
    <col min="113" max="113" width="11" style="89"/>
    <col min="114" max="114" width="11" style="89"/>
    <col min="115" max="115" width="11" style="89"/>
    <col min="116" max="116" width="11" style="89"/>
    <col min="117" max="117" width="11" style="89"/>
    <col min="118" max="118" width="11" style="89"/>
    <col min="119" max="119" width="11" style="89"/>
    <col min="120" max="120" width="11" style="89"/>
    <col min="121" max="121" width="11" style="89"/>
    <col min="122" max="122" width="11" style="89"/>
    <col min="123" max="123" width="11" style="89"/>
    <col min="124" max="124" width="11" style="89"/>
    <col min="125" max="125" width="11" style="89"/>
    <col min="126" max="126" width="11" style="89"/>
    <col min="127" max="127" width="11" style="89"/>
    <col min="128" max="128" width="11" style="89"/>
    <col min="129" max="129" width="11" style="89"/>
    <col min="130" max="130" width="11" style="89"/>
    <col min="131" max="131" width="11" style="89"/>
    <col min="132" max="132" width="11" style="89"/>
    <col min="133" max="133" width="11" style="89"/>
    <col min="134" max="134" width="11" style="89"/>
    <col min="135" max="135" width="11" style="89"/>
    <col min="136" max="136" width="11" style="89"/>
    <col min="137" max="137" width="11" style="89"/>
    <col min="138" max="138" width="11" style="89"/>
    <col min="139" max="139" width="11" style="89"/>
    <col min="140" max="140" width="11" style="89"/>
    <col min="141" max="141" width="11" style="89"/>
    <col min="142" max="142" width="11" style="89"/>
    <col min="143" max="143" width="11" style="89"/>
    <col min="144" max="144" width="11" style="89"/>
    <col min="145" max="145" width="11" style="89"/>
    <col min="146" max="146" width="11" style="89"/>
    <col min="147" max="147" width="11" style="89"/>
    <col min="148" max="148" width="11" style="89"/>
    <col min="149" max="149" width="11" style="89"/>
    <col min="150" max="150" width="11" style="89"/>
    <col min="151" max="151" width="11" style="89"/>
    <col min="152" max="152" width="11" style="89"/>
    <col min="153" max="153" width="11" style="89"/>
    <col min="154" max="154" width="11" style="89"/>
    <col min="155" max="155" width="11" style="89"/>
    <col min="156" max="156" width="11" style="89"/>
    <col min="157" max="157" width="11" style="89"/>
    <col min="158" max="158" width="11" style="89"/>
    <col min="159" max="159" width="11" style="89"/>
    <col min="160" max="160" width="11" style="89"/>
    <col min="161" max="161" width="11" style="89"/>
    <col min="162" max="162" width="11" style="89"/>
    <col min="163" max="163" width="11" style="89"/>
    <col min="164" max="164" width="11" style="89"/>
    <col min="165" max="165" width="11" style="89"/>
    <col min="166" max="166" width="11" style="89"/>
    <col min="167" max="167" width="11" style="89"/>
    <col min="168" max="168" width="11" style="89"/>
    <col min="169" max="169" width="11" style="89"/>
    <col min="170" max="170" width="11" style="89"/>
    <col min="171" max="171" width="11" style="89"/>
    <col min="172" max="172" width="11" style="89"/>
    <col min="173" max="173" width="11" style="89"/>
    <col min="174" max="174" width="11" style="89"/>
    <col min="175" max="175" width="11" style="89"/>
    <col min="176" max="176" width="11" style="89"/>
    <col min="177" max="177" width="11" style="89"/>
    <col min="178" max="178" width="11" style="89"/>
    <col min="179" max="179" width="11" style="89"/>
    <col min="180" max="180" width="11" style="89"/>
    <col min="181" max="181" width="11" style="89"/>
    <col min="182" max="182" width="11" style="89"/>
    <col min="183" max="183" width="11" style="89"/>
    <col min="184" max="184" width="11" style="89"/>
    <col min="185" max="185" width="11" style="89"/>
    <col min="186" max="186" width="11" style="89"/>
    <col min="187" max="187" width="11" style="89"/>
    <col min="188" max="188" width="11" style="89"/>
    <col min="189" max="189" width="11" style="89"/>
    <col min="190" max="190" width="11" style="89"/>
    <col min="191" max="191" width="11" style="89"/>
    <col min="192" max="192" width="11" style="89"/>
    <col min="193" max="193" width="11" style="89"/>
    <col min="194" max="194" width="11" style="89"/>
    <col min="195" max="195" width="11" style="89"/>
    <col min="196" max="196" width="11" style="89"/>
    <col min="197" max="197" width="11" style="89"/>
    <col min="198" max="198" width="11" style="89"/>
    <col min="199" max="199" width="11" style="89"/>
    <col min="200" max="200" width="11" style="89"/>
    <col min="201" max="201" width="11" style="89"/>
    <col min="202" max="202" width="11" style="89"/>
    <col min="203" max="203" width="11" style="89"/>
    <col min="204" max="204" width="11" style="89"/>
    <col min="205" max="205" width="11" style="89"/>
    <col min="206" max="206" width="11" style="89"/>
    <col min="207" max="207" width="11" style="89"/>
    <col min="208" max="208" width="11" style="89"/>
    <col min="209" max="209" width="11" style="89"/>
    <col min="210" max="210" width="11" style="89"/>
    <col min="211" max="211" width="11" style="89"/>
    <col min="212" max="212" width="11" style="89"/>
    <col min="213" max="213" width="11" style="89"/>
    <col min="214" max="214" width="11" style="89"/>
    <col min="215" max="215" width="11" style="89"/>
    <col min="216" max="216" width="11" style="89"/>
    <col min="217" max="217" width="11" style="89"/>
    <col min="218" max="218" width="11" style="89"/>
    <col min="219" max="219" width="11" style="89"/>
    <col min="220" max="220" width="11" style="89"/>
    <col min="221" max="221" width="11" style="89"/>
    <col min="222" max="222" width="11" style="89"/>
    <col min="223" max="223" width="11" style="89"/>
    <col min="224" max="224" width="11" style="89"/>
    <col min="225" max="225" width="11" style="89"/>
    <col min="226" max="226" width="11" style="89"/>
    <col min="227" max="227" width="11" style="89"/>
    <col min="228" max="228" width="11" style="89"/>
    <col min="229" max="229" width="11" style="89"/>
    <col min="230" max="230" width="11" style="89"/>
    <col min="231" max="231" width="11" style="89"/>
    <col min="232" max="232" width="11" style="89"/>
    <col min="233" max="233" width="11" style="89"/>
    <col min="234" max="234" width="11" style="89"/>
    <col min="235" max="235" width="11" style="89"/>
    <col min="236" max="236" width="11" style="89"/>
    <col min="237" max="237" width="11" style="89"/>
    <col min="238" max="238" width="11" style="89"/>
    <col min="239" max="239" width="11" style="89"/>
    <col min="240" max="240" width="11" style="89"/>
    <col min="241" max="241" width="11" style="89"/>
    <col min="242" max="242" width="11" style="89"/>
    <col min="243" max="243" width="11" style="89"/>
    <col min="244" max="244" width="11" style="89"/>
    <col min="245" max="245" width="11" style="89"/>
    <col min="246" max="246" width="11" style="89"/>
    <col min="247" max="247" width="11" style="89"/>
    <col min="248" max="248" width="11" style="89"/>
    <col min="249" max="249" width="11" style="89"/>
    <col min="250" max="250" width="11" style="89"/>
    <col min="251" max="251" width="11" style="89"/>
    <col min="252" max="252" width="11" style="89"/>
    <col min="253" max="253" width="11" style="89"/>
    <col min="254" max="254" width="11" style="89"/>
    <col min="255" max="255" width="11" style="89"/>
    <col min="256" max="256" width="11" style="89"/>
    <col min="257" max="257" width="10.140625" customWidth="true" style="89"/>
    <col min="258" max="258" width="10.140625" customWidth="true" style="89"/>
    <col min="259" max="259" width="10.140625" customWidth="true" style="89"/>
    <col min="260" max="260" width="10.140625" customWidth="true" style="89"/>
    <col min="261" max="261" width="10.140625" customWidth="true" style="89"/>
    <col min="262" max="262" width="10.140625" customWidth="true" style="89"/>
    <col min="263" max="263" width="10.140625" customWidth="true" style="89"/>
    <col min="264" max="264" width="10.140625" customWidth="true" style="89"/>
    <col min="265" max="265" width="10.140625" customWidth="true" style="89"/>
    <col min="266" max="266" width="11" style="89"/>
    <col min="267" max="267" width="11" style="89"/>
    <col min="268" max="268" width="11" style="89"/>
    <col min="269" max="269" width="11" style="89"/>
    <col min="270" max="270" width="11" style="89"/>
    <col min="271" max="271" width="11" style="89"/>
    <col min="272" max="272" width="11" style="89"/>
    <col min="273" max="273" width="11" style="89"/>
    <col min="274" max="274" width="11" style="89"/>
    <col min="275" max="275" width="11" style="89"/>
    <col min="276" max="276" width="11" style="89"/>
    <col min="277" max="277" width="11" style="89"/>
    <col min="278" max="278" width="11" style="89"/>
    <col min="279" max="279" width="11" style="89"/>
    <col min="280" max="280" width="11" style="89"/>
    <col min="281" max="281" width="11" style="89"/>
    <col min="282" max="282" width="11" style="89"/>
    <col min="283" max="283" width="11" style="89"/>
    <col min="284" max="284" width="11" style="89"/>
    <col min="285" max="285" width="11" style="89"/>
    <col min="286" max="286" width="11" style="89"/>
    <col min="287" max="287" width="11" style="89"/>
    <col min="288" max="288" width="11" style="89"/>
    <col min="289" max="289" width="11" style="89"/>
    <col min="290" max="290" width="11" style="89"/>
    <col min="291" max="291" width="11" style="89"/>
    <col min="292" max="292" width="11" style="89"/>
    <col min="293" max="293" width="11" style="89"/>
    <col min="294" max="294" width="11" style="89"/>
    <col min="295" max="295" width="11" style="89"/>
    <col min="296" max="296" width="11" style="89"/>
    <col min="297" max="297" width="11" style="89"/>
    <col min="298" max="298" width="11" style="89"/>
    <col min="299" max="299" width="11" style="89"/>
    <col min="300" max="300" width="11" style="89"/>
    <col min="301" max="301" width="11" style="89"/>
    <col min="302" max="302" width="11" style="89"/>
    <col min="303" max="303" width="11" style="89"/>
    <col min="304" max="304" width="11" style="89"/>
    <col min="305" max="305" width="11" style="89"/>
    <col min="306" max="306" width="11" style="89"/>
    <col min="307" max="307" width="11" style="89"/>
    <col min="308" max="308" width="11" style="89"/>
    <col min="309" max="309" width="11" style="89"/>
    <col min="310" max="310" width="11" style="89"/>
    <col min="311" max="311" width="11" style="89"/>
    <col min="312" max="312" width="11" style="89"/>
    <col min="313" max="313" width="11" style="89"/>
    <col min="314" max="314" width="11" style="89"/>
    <col min="315" max="315" width="11" style="89"/>
    <col min="316" max="316" width="11" style="89"/>
    <col min="317" max="317" width="11" style="89"/>
    <col min="318" max="318" width="11" style="89"/>
    <col min="319" max="319" width="11" style="89"/>
    <col min="320" max="320" width="11" style="89"/>
    <col min="321" max="321" width="11" style="89"/>
    <col min="322" max="322" width="11" style="89"/>
    <col min="323" max="323" width="11" style="89"/>
    <col min="324" max="324" width="11" style="89"/>
    <col min="325" max="325" width="11" style="89"/>
    <col min="326" max="326" width="11" style="89"/>
    <col min="327" max="327" width="11" style="89"/>
    <col min="328" max="328" width="11" style="89"/>
    <col min="329" max="329" width="11" style="89"/>
    <col min="330" max="330" width="11" style="89"/>
    <col min="331" max="331" width="11" style="89"/>
    <col min="332" max="332" width="11" style="89"/>
    <col min="333" max="333" width="11" style="89"/>
    <col min="334" max="334" width="11" style="89"/>
    <col min="335" max="335" width="11" style="89"/>
    <col min="336" max="336" width="11" style="89"/>
    <col min="337" max="337" width="11" style="89"/>
    <col min="338" max="338" width="11" style="89"/>
    <col min="339" max="339" width="11" style="89"/>
    <col min="340" max="340" width="11" style="89"/>
    <col min="341" max="341" width="11" style="89"/>
    <col min="342" max="342" width="11" style="89"/>
    <col min="343" max="343" width="11" style="89"/>
    <col min="344" max="344" width="11" style="89"/>
    <col min="345" max="345" width="11" style="89"/>
    <col min="346" max="346" width="11" style="89"/>
    <col min="347" max="347" width="11" style="89"/>
    <col min="348" max="348" width="11" style="89"/>
    <col min="349" max="349" width="11" style="89"/>
    <col min="350" max="350" width="11" style="89"/>
    <col min="351" max="351" width="11" style="89"/>
    <col min="352" max="352" width="11" style="89"/>
    <col min="353" max="353" width="11" style="89"/>
    <col min="354" max="354" width="11" style="89"/>
    <col min="355" max="355" width="11" style="89"/>
    <col min="356" max="356" width="11" style="89"/>
    <col min="357" max="357" width="11" style="89"/>
    <col min="358" max="358" width="11" style="89"/>
    <col min="359" max="359" width="11" style="89"/>
    <col min="360" max="360" width="11" style="89"/>
    <col min="361" max="361" width="11" style="89"/>
    <col min="362" max="362" width="11" style="89"/>
    <col min="363" max="363" width="11" style="89"/>
    <col min="364" max="364" width="11" style="89"/>
    <col min="365" max="365" width="11" style="89"/>
    <col min="366" max="366" width="11" style="89"/>
    <col min="367" max="367" width="11" style="89"/>
    <col min="368" max="368" width="11" style="89"/>
    <col min="369" max="369" width="11" style="89"/>
    <col min="370" max="370" width="11" style="89"/>
    <col min="371" max="371" width="11" style="89"/>
    <col min="372" max="372" width="11" style="89"/>
    <col min="373" max="373" width="11" style="89"/>
    <col min="374" max="374" width="11" style="89"/>
    <col min="375" max="375" width="11" style="89"/>
    <col min="376" max="376" width="11" style="89"/>
    <col min="377" max="377" width="11" style="89"/>
    <col min="378" max="378" width="11" style="89"/>
    <col min="379" max="379" width="11" style="89"/>
    <col min="380" max="380" width="11" style="89"/>
    <col min="381" max="381" width="11" style="89"/>
    <col min="382" max="382" width="11" style="89"/>
    <col min="383" max="383" width="11" style="89"/>
    <col min="384" max="384" width="11" style="89"/>
    <col min="385" max="385" width="11" style="89"/>
    <col min="386" max="386" width="11" style="89"/>
    <col min="387" max="387" width="11" style="89"/>
    <col min="388" max="388" width="11" style="89"/>
    <col min="389" max="389" width="11" style="89"/>
    <col min="390" max="390" width="11" style="89"/>
    <col min="391" max="391" width="11" style="89"/>
    <col min="392" max="392" width="11" style="89"/>
    <col min="393" max="393" width="11" style="89"/>
    <col min="394" max="394" width="11" style="89"/>
    <col min="395" max="395" width="11" style="89"/>
    <col min="396" max="396" width="11" style="89"/>
    <col min="397" max="397" width="11" style="89"/>
    <col min="398" max="398" width="11" style="89"/>
    <col min="399" max="399" width="11" style="89"/>
    <col min="400" max="400" width="11" style="89"/>
    <col min="401" max="401" width="11" style="89"/>
    <col min="402" max="402" width="11" style="89"/>
    <col min="403" max="403" width="11" style="89"/>
    <col min="404" max="404" width="11" style="89"/>
    <col min="405" max="405" width="11" style="89"/>
    <col min="406" max="406" width="11" style="89"/>
    <col min="407" max="407" width="11" style="89"/>
    <col min="408" max="408" width="11" style="89"/>
    <col min="409" max="409" width="11" style="89"/>
    <col min="410" max="410" width="11" style="89"/>
    <col min="411" max="411" width="11" style="89"/>
    <col min="412" max="412" width="11" style="89"/>
    <col min="413" max="413" width="11" style="89"/>
    <col min="414" max="414" width="11" style="89"/>
    <col min="415" max="415" width="11" style="89"/>
    <col min="416" max="416" width="11" style="89"/>
    <col min="417" max="417" width="11" style="89"/>
    <col min="418" max="418" width="11" style="89"/>
    <col min="419" max="419" width="11" style="89"/>
    <col min="420" max="420" width="11" style="89"/>
    <col min="421" max="421" width="11" style="89"/>
    <col min="422" max="422" width="11" style="89"/>
    <col min="423" max="423" width="11" style="89"/>
    <col min="424" max="424" width="11" style="89"/>
    <col min="425" max="425" width="11" style="89"/>
    <col min="426" max="426" width="11" style="89"/>
    <col min="427" max="427" width="11" style="89"/>
    <col min="428" max="428" width="11" style="89"/>
    <col min="429" max="429" width="11" style="89"/>
    <col min="430" max="430" width="11" style="89"/>
    <col min="431" max="431" width="11" style="89"/>
    <col min="432" max="432" width="11" style="89"/>
    <col min="433" max="433" width="11" style="89"/>
    <col min="434" max="434" width="11" style="89"/>
    <col min="435" max="435" width="11" style="89"/>
    <col min="436" max="436" width="11" style="89"/>
    <col min="437" max="437" width="11" style="89"/>
    <col min="438" max="438" width="11" style="89"/>
    <col min="439" max="439" width="11" style="89"/>
    <col min="440" max="440" width="11" style="89"/>
    <col min="441" max="441" width="11" style="89"/>
    <col min="442" max="442" width="11" style="89"/>
    <col min="443" max="443" width="11" style="89"/>
    <col min="444" max="444" width="11" style="89"/>
    <col min="445" max="445" width="11" style="89"/>
    <col min="446" max="446" width="11" style="89"/>
    <col min="447" max="447" width="11" style="89"/>
    <col min="448" max="448" width="11" style="89"/>
    <col min="449" max="449" width="11" style="89"/>
    <col min="450" max="450" width="11" style="89"/>
    <col min="451" max="451" width="11" style="89"/>
    <col min="452" max="452" width="11" style="89"/>
    <col min="453" max="453" width="11" style="89"/>
    <col min="454" max="454" width="11" style="89"/>
    <col min="455" max="455" width="11" style="89"/>
    <col min="456" max="456" width="11" style="89"/>
    <col min="457" max="457" width="11" style="89"/>
    <col min="458" max="458" width="11" style="89"/>
    <col min="459" max="459" width="11" style="89"/>
    <col min="460" max="460" width="11" style="89"/>
    <col min="461" max="461" width="11" style="89"/>
    <col min="462" max="462" width="11" style="89"/>
    <col min="463" max="463" width="11" style="89"/>
    <col min="464" max="464" width="11" style="89"/>
    <col min="465" max="465" width="11" style="89"/>
    <col min="466" max="466" width="11" style="89"/>
    <col min="467" max="467" width="11" style="89"/>
    <col min="468" max="468" width="11" style="89"/>
    <col min="469" max="469" width="11" style="89"/>
    <col min="470" max="470" width="11" style="89"/>
    <col min="471" max="471" width="11" style="89"/>
    <col min="472" max="472" width="11" style="89"/>
    <col min="473" max="473" width="11" style="89"/>
    <col min="474" max="474" width="11" style="89"/>
    <col min="475" max="475" width="11" style="89"/>
    <col min="476" max="476" width="11" style="89"/>
    <col min="477" max="477" width="11" style="89"/>
    <col min="478" max="478" width="11" style="89"/>
    <col min="479" max="479" width="11" style="89"/>
    <col min="480" max="480" width="11" style="89"/>
    <col min="481" max="481" width="11" style="89"/>
    <col min="482" max="482" width="11" style="89"/>
    <col min="483" max="483" width="11" style="89"/>
    <col min="484" max="484" width="11" style="89"/>
    <col min="485" max="485" width="11" style="89"/>
    <col min="486" max="486" width="11" style="89"/>
    <col min="487" max="487" width="11" style="89"/>
    <col min="488" max="488" width="11" style="89"/>
    <col min="489" max="489" width="11" style="89"/>
    <col min="490" max="490" width="11" style="89"/>
    <col min="491" max="491" width="11" style="89"/>
    <col min="492" max="492" width="11" style="89"/>
    <col min="493" max="493" width="11" style="89"/>
    <col min="494" max="494" width="11" style="89"/>
    <col min="495" max="495" width="11" style="89"/>
    <col min="496" max="496" width="11" style="89"/>
    <col min="497" max="497" width="11" style="89"/>
    <col min="498" max="498" width="11" style="89"/>
    <col min="499" max="499" width="11" style="89"/>
    <col min="500" max="500" width="11" style="89"/>
    <col min="501" max="501" width="11" style="89"/>
    <col min="502" max="502" width="11" style="89"/>
    <col min="503" max="503" width="11" style="89"/>
    <col min="504" max="504" width="11" style="89"/>
    <col min="505" max="505" width="11" style="89"/>
    <col min="506" max="506" width="11" style="89"/>
    <col min="507" max="507" width="11" style="89"/>
    <col min="508" max="508" width="11" style="89"/>
    <col min="509" max="509" width="11" style="89"/>
    <col min="510" max="510" width="11" style="89"/>
    <col min="511" max="511" width="11" style="89"/>
    <col min="512" max="512" width="11" style="89"/>
    <col min="513" max="513" width="10.140625" customWidth="true" style="89"/>
    <col min="514" max="514" width="10.140625" customWidth="true" style="89"/>
    <col min="515" max="515" width="10.140625" customWidth="true" style="89"/>
    <col min="516" max="516" width="10.140625" customWidth="true" style="89"/>
    <col min="517" max="517" width="10.140625" customWidth="true" style="89"/>
    <col min="518" max="518" width="10.140625" customWidth="true" style="89"/>
    <col min="519" max="519" width="10.140625" customWidth="true" style="89"/>
    <col min="520" max="520" width="10.140625" customWidth="true" style="89"/>
    <col min="521" max="521" width="10.140625" customWidth="true" style="89"/>
    <col min="522" max="522" width="11" style="89"/>
    <col min="523" max="523" width="11" style="89"/>
    <col min="524" max="524" width="11" style="89"/>
    <col min="525" max="525" width="11" style="89"/>
    <col min="526" max="526" width="11" style="89"/>
    <col min="527" max="527" width="11" style="89"/>
    <col min="528" max="528" width="11" style="89"/>
    <col min="529" max="529" width="11" style="89"/>
    <col min="530" max="530" width="11" style="89"/>
    <col min="531" max="531" width="11" style="89"/>
    <col min="532" max="532" width="11" style="89"/>
    <col min="533" max="533" width="11" style="89"/>
    <col min="534" max="534" width="11" style="89"/>
    <col min="535" max="535" width="11" style="89"/>
    <col min="536" max="536" width="11" style="89"/>
    <col min="537" max="537" width="11" style="89"/>
    <col min="538" max="538" width="11" style="89"/>
    <col min="539" max="539" width="11" style="89"/>
    <col min="540" max="540" width="11" style="89"/>
    <col min="541" max="541" width="11" style="89"/>
    <col min="542" max="542" width="11" style="89"/>
    <col min="543" max="543" width="11" style="89"/>
    <col min="544" max="544" width="11" style="89"/>
    <col min="545" max="545" width="11" style="89"/>
    <col min="546" max="546" width="11" style="89"/>
    <col min="547" max="547" width="11" style="89"/>
    <col min="548" max="548" width="11" style="89"/>
    <col min="549" max="549" width="11" style="89"/>
    <col min="550" max="550" width="11" style="89"/>
    <col min="551" max="551" width="11" style="89"/>
    <col min="552" max="552" width="11" style="89"/>
    <col min="553" max="553" width="11" style="89"/>
    <col min="554" max="554" width="11" style="89"/>
    <col min="555" max="555" width="11" style="89"/>
    <col min="556" max="556" width="11" style="89"/>
    <col min="557" max="557" width="11" style="89"/>
    <col min="558" max="558" width="11" style="89"/>
    <col min="559" max="559" width="11" style="89"/>
    <col min="560" max="560" width="11" style="89"/>
    <col min="561" max="561" width="11" style="89"/>
    <col min="562" max="562" width="11" style="89"/>
    <col min="563" max="563" width="11" style="89"/>
    <col min="564" max="564" width="11" style="89"/>
    <col min="565" max="565" width="11" style="89"/>
    <col min="566" max="566" width="11" style="89"/>
    <col min="567" max="567" width="11" style="89"/>
    <col min="568" max="568" width="11" style="89"/>
    <col min="569" max="569" width="11" style="89"/>
    <col min="570" max="570" width="11" style="89"/>
    <col min="571" max="571" width="11" style="89"/>
    <col min="572" max="572" width="11" style="89"/>
    <col min="573" max="573" width="11" style="89"/>
    <col min="574" max="574" width="11" style="89"/>
    <col min="575" max="575" width="11" style="89"/>
    <col min="576" max="576" width="11" style="89"/>
    <col min="577" max="577" width="11" style="89"/>
    <col min="578" max="578" width="11" style="89"/>
    <col min="579" max="579" width="11" style="89"/>
    <col min="580" max="580" width="11" style="89"/>
    <col min="581" max="581" width="11" style="89"/>
    <col min="582" max="582" width="11" style="89"/>
    <col min="583" max="583" width="11" style="89"/>
    <col min="584" max="584" width="11" style="89"/>
    <col min="585" max="585" width="11" style="89"/>
    <col min="586" max="586" width="11" style="89"/>
    <col min="587" max="587" width="11" style="89"/>
    <col min="588" max="588" width="11" style="89"/>
    <col min="589" max="589" width="11" style="89"/>
    <col min="590" max="590" width="11" style="89"/>
    <col min="591" max="591" width="11" style="89"/>
    <col min="592" max="592" width="11" style="89"/>
    <col min="593" max="593" width="11" style="89"/>
    <col min="594" max="594" width="11" style="89"/>
    <col min="595" max="595" width="11" style="89"/>
    <col min="596" max="596" width="11" style="89"/>
    <col min="597" max="597" width="11" style="89"/>
    <col min="598" max="598" width="11" style="89"/>
    <col min="599" max="599" width="11" style="89"/>
    <col min="600" max="600" width="11" style="89"/>
    <col min="601" max="601" width="11" style="89"/>
    <col min="602" max="602" width="11" style="89"/>
    <col min="603" max="603" width="11" style="89"/>
    <col min="604" max="604" width="11" style="89"/>
    <col min="605" max="605" width="11" style="89"/>
    <col min="606" max="606" width="11" style="89"/>
    <col min="607" max="607" width="11" style="89"/>
    <col min="608" max="608" width="11" style="89"/>
    <col min="609" max="609" width="11" style="89"/>
    <col min="610" max="610" width="11" style="89"/>
    <col min="611" max="611" width="11" style="89"/>
    <col min="612" max="612" width="11" style="89"/>
    <col min="613" max="613" width="11" style="89"/>
    <col min="614" max="614" width="11" style="89"/>
    <col min="615" max="615" width="11" style="89"/>
    <col min="616" max="616" width="11" style="89"/>
    <col min="617" max="617" width="11" style="89"/>
    <col min="618" max="618" width="11" style="89"/>
    <col min="619" max="619" width="11" style="89"/>
    <col min="620" max="620" width="11" style="89"/>
    <col min="621" max="621" width="11" style="89"/>
    <col min="622" max="622" width="11" style="89"/>
    <col min="623" max="623" width="11" style="89"/>
    <col min="624" max="624" width="11" style="89"/>
    <col min="625" max="625" width="11" style="89"/>
    <col min="626" max="626" width="11" style="89"/>
    <col min="627" max="627" width="11" style="89"/>
    <col min="628" max="628" width="11" style="89"/>
    <col min="629" max="629" width="11" style="89"/>
    <col min="630" max="630" width="11" style="89"/>
    <col min="631" max="631" width="11" style="89"/>
    <col min="632" max="632" width="11" style="89"/>
    <col min="633" max="633" width="11" style="89"/>
    <col min="634" max="634" width="11" style="89"/>
    <col min="635" max="635" width="11" style="89"/>
    <col min="636" max="636" width="11" style="89"/>
    <col min="637" max="637" width="11" style="89"/>
    <col min="638" max="638" width="11" style="89"/>
    <col min="639" max="639" width="11" style="89"/>
    <col min="640" max="640" width="11" style="89"/>
    <col min="641" max="641" width="11" style="89"/>
    <col min="642" max="642" width="11" style="89"/>
    <col min="643" max="643" width="11" style="89"/>
    <col min="644" max="644" width="11" style="89"/>
    <col min="645" max="645" width="11" style="89"/>
    <col min="646" max="646" width="11" style="89"/>
    <col min="647" max="647" width="11" style="89"/>
    <col min="648" max="648" width="11" style="89"/>
    <col min="649" max="649" width="11" style="89"/>
    <col min="650" max="650" width="11" style="89"/>
    <col min="651" max="651" width="11" style="89"/>
    <col min="652" max="652" width="11" style="89"/>
    <col min="653" max="653" width="11" style="89"/>
    <col min="654" max="654" width="11" style="89"/>
    <col min="655" max="655" width="11" style="89"/>
    <col min="656" max="656" width="11" style="89"/>
    <col min="657" max="657" width="11" style="89"/>
    <col min="658" max="658" width="11" style="89"/>
    <col min="659" max="659" width="11" style="89"/>
    <col min="660" max="660" width="11" style="89"/>
    <col min="661" max="661" width="11" style="89"/>
    <col min="662" max="662" width="11" style="89"/>
    <col min="663" max="663" width="11" style="89"/>
    <col min="664" max="664" width="11" style="89"/>
    <col min="665" max="665" width="11" style="89"/>
    <col min="666" max="666" width="11" style="89"/>
    <col min="667" max="667" width="11" style="89"/>
    <col min="668" max="668" width="11" style="89"/>
    <col min="669" max="669" width="11" style="89"/>
    <col min="670" max="670" width="11" style="89"/>
    <col min="671" max="671" width="11" style="89"/>
    <col min="672" max="672" width="11" style="89"/>
    <col min="673" max="673" width="11" style="89"/>
    <col min="674" max="674" width="11" style="89"/>
    <col min="675" max="675" width="11" style="89"/>
    <col min="676" max="676" width="11" style="89"/>
    <col min="677" max="677" width="11" style="89"/>
    <col min="678" max="678" width="11" style="89"/>
    <col min="679" max="679" width="11" style="89"/>
    <col min="680" max="680" width="11" style="89"/>
    <col min="681" max="681" width="11" style="89"/>
    <col min="682" max="682" width="11" style="89"/>
    <col min="683" max="683" width="11" style="89"/>
    <col min="684" max="684" width="11" style="89"/>
    <col min="685" max="685" width="11" style="89"/>
    <col min="686" max="686" width="11" style="89"/>
    <col min="687" max="687" width="11" style="89"/>
    <col min="688" max="688" width="11" style="89"/>
    <col min="689" max="689" width="11" style="89"/>
    <col min="690" max="690" width="11" style="89"/>
    <col min="691" max="691" width="11" style="89"/>
    <col min="692" max="692" width="11" style="89"/>
    <col min="693" max="693" width="11" style="89"/>
    <col min="694" max="694" width="11" style="89"/>
    <col min="695" max="695" width="11" style="89"/>
    <col min="696" max="696" width="11" style="89"/>
    <col min="697" max="697" width="11" style="89"/>
    <col min="698" max="698" width="11" style="89"/>
    <col min="699" max="699" width="11" style="89"/>
    <col min="700" max="700" width="11" style="89"/>
    <col min="701" max="701" width="11" style="89"/>
    <col min="702" max="702" width="11" style="89"/>
    <col min="703" max="703" width="11" style="89"/>
    <col min="704" max="704" width="11" style="89"/>
    <col min="705" max="705" width="11" style="89"/>
    <col min="706" max="706" width="11" style="89"/>
    <col min="707" max="707" width="11" style="89"/>
    <col min="708" max="708" width="11" style="89"/>
    <col min="709" max="709" width="11" style="89"/>
    <col min="710" max="710" width="11" style="89"/>
    <col min="711" max="711" width="11" style="89"/>
    <col min="712" max="712" width="11" style="89"/>
    <col min="713" max="713" width="11" style="89"/>
    <col min="714" max="714" width="11" style="89"/>
    <col min="715" max="715" width="11" style="89"/>
    <col min="716" max="716" width="11" style="89"/>
    <col min="717" max="717" width="11" style="89"/>
    <col min="718" max="718" width="11" style="89"/>
    <col min="719" max="719" width="11" style="89"/>
    <col min="720" max="720" width="11" style="89"/>
    <col min="721" max="721" width="11" style="89"/>
    <col min="722" max="722" width="11" style="89"/>
    <col min="723" max="723" width="11" style="89"/>
    <col min="724" max="724" width="11" style="89"/>
    <col min="725" max="725" width="11" style="89"/>
    <col min="726" max="726" width="11" style="89"/>
    <col min="727" max="727" width="11" style="89"/>
    <col min="728" max="728" width="11" style="89"/>
    <col min="729" max="729" width="11" style="89"/>
    <col min="730" max="730" width="11" style="89"/>
    <col min="731" max="731" width="11" style="89"/>
    <col min="732" max="732" width="11" style="89"/>
    <col min="733" max="733" width="11" style="89"/>
    <col min="734" max="734" width="11" style="89"/>
    <col min="735" max="735" width="11" style="89"/>
    <col min="736" max="736" width="11" style="89"/>
    <col min="737" max="737" width="11" style="89"/>
    <col min="738" max="738" width="11" style="89"/>
    <col min="739" max="739" width="11" style="89"/>
    <col min="740" max="740" width="11" style="89"/>
    <col min="741" max="741" width="11" style="89"/>
    <col min="742" max="742" width="11" style="89"/>
    <col min="743" max="743" width="11" style="89"/>
    <col min="744" max="744" width="11" style="89"/>
    <col min="745" max="745" width="11" style="89"/>
    <col min="746" max="746" width="11" style="89"/>
    <col min="747" max="747" width="11" style="89"/>
    <col min="748" max="748" width="11" style="89"/>
    <col min="749" max="749" width="11" style="89"/>
    <col min="750" max="750" width="11" style="89"/>
    <col min="751" max="751" width="11" style="89"/>
    <col min="752" max="752" width="11" style="89"/>
    <col min="753" max="753" width="11" style="89"/>
    <col min="754" max="754" width="11" style="89"/>
    <col min="755" max="755" width="11" style="89"/>
    <col min="756" max="756" width="11" style="89"/>
    <col min="757" max="757" width="11" style="89"/>
    <col min="758" max="758" width="11" style="89"/>
    <col min="759" max="759" width="11" style="89"/>
    <col min="760" max="760" width="11" style="89"/>
    <col min="761" max="761" width="11" style="89"/>
    <col min="762" max="762" width="11" style="89"/>
    <col min="763" max="763" width="11" style="89"/>
    <col min="764" max="764" width="11" style="89"/>
    <col min="765" max="765" width="11" style="89"/>
    <col min="766" max="766" width="11" style="89"/>
    <col min="767" max="767" width="11" style="89"/>
    <col min="768" max="768" width="11" style="89"/>
    <col min="769" max="769" width="10.140625" customWidth="true" style="89"/>
    <col min="770" max="770" width="10.140625" customWidth="true" style="89"/>
    <col min="771" max="771" width="10.140625" customWidth="true" style="89"/>
    <col min="772" max="772" width="10.140625" customWidth="true" style="89"/>
    <col min="773" max="773" width="10.140625" customWidth="true" style="89"/>
    <col min="774" max="774" width="10.140625" customWidth="true" style="89"/>
    <col min="775" max="775" width="10.140625" customWidth="true" style="89"/>
    <col min="776" max="776" width="10.140625" customWidth="true" style="89"/>
    <col min="777" max="777" width="10.140625" customWidth="true" style="89"/>
    <col min="778" max="778" width="11" style="89"/>
    <col min="779" max="779" width="11" style="89"/>
    <col min="780" max="780" width="11" style="89"/>
    <col min="781" max="781" width="11" style="89"/>
    <col min="782" max="782" width="11" style="89"/>
    <col min="783" max="783" width="11" style="89"/>
    <col min="784" max="784" width="11" style="89"/>
    <col min="785" max="785" width="11" style="89"/>
    <col min="786" max="786" width="11" style="89"/>
    <col min="787" max="787" width="11" style="89"/>
    <col min="788" max="788" width="11" style="89"/>
    <col min="789" max="789" width="11" style="89"/>
    <col min="790" max="790" width="11" style="89"/>
    <col min="791" max="791" width="11" style="89"/>
    <col min="792" max="792" width="11" style="89"/>
    <col min="793" max="793" width="11" style="89"/>
    <col min="794" max="794" width="11" style="89"/>
    <col min="795" max="795" width="11" style="89"/>
    <col min="796" max="796" width="11" style="89"/>
    <col min="797" max="797" width="11" style="89"/>
    <col min="798" max="798" width="11" style="89"/>
    <col min="799" max="799" width="11" style="89"/>
    <col min="800" max="800" width="11" style="89"/>
    <col min="801" max="801" width="11" style="89"/>
    <col min="802" max="802" width="11" style="89"/>
    <col min="803" max="803" width="11" style="89"/>
    <col min="804" max="804" width="11" style="89"/>
    <col min="805" max="805" width="11" style="89"/>
    <col min="806" max="806" width="11" style="89"/>
    <col min="807" max="807" width="11" style="89"/>
    <col min="808" max="808" width="11" style="89"/>
    <col min="809" max="809" width="11" style="89"/>
    <col min="810" max="810" width="11" style="89"/>
    <col min="811" max="811" width="11" style="89"/>
    <col min="812" max="812" width="11" style="89"/>
    <col min="813" max="813" width="11" style="89"/>
    <col min="814" max="814" width="11" style="89"/>
    <col min="815" max="815" width="11" style="89"/>
    <col min="816" max="816" width="11" style="89"/>
    <col min="817" max="817" width="11" style="89"/>
    <col min="818" max="818" width="11" style="89"/>
    <col min="819" max="819" width="11" style="89"/>
    <col min="820" max="820" width="11" style="89"/>
    <col min="821" max="821" width="11" style="89"/>
    <col min="822" max="822" width="11" style="89"/>
    <col min="823" max="823" width="11" style="89"/>
    <col min="824" max="824" width="11" style="89"/>
    <col min="825" max="825" width="11" style="89"/>
    <col min="826" max="826" width="11" style="89"/>
    <col min="827" max="827" width="11" style="89"/>
    <col min="828" max="828" width="11" style="89"/>
    <col min="829" max="829" width="11" style="89"/>
    <col min="830" max="830" width="11" style="89"/>
    <col min="831" max="831" width="11" style="89"/>
    <col min="832" max="832" width="11" style="89"/>
    <col min="833" max="833" width="11" style="89"/>
    <col min="834" max="834" width="11" style="89"/>
    <col min="835" max="835" width="11" style="89"/>
    <col min="836" max="836" width="11" style="89"/>
    <col min="837" max="837" width="11" style="89"/>
    <col min="838" max="838" width="11" style="89"/>
    <col min="839" max="839" width="11" style="89"/>
    <col min="840" max="840" width="11" style="89"/>
    <col min="841" max="841" width="11" style="89"/>
    <col min="842" max="842" width="11" style="89"/>
    <col min="843" max="843" width="11" style="89"/>
    <col min="844" max="844" width="11" style="89"/>
    <col min="845" max="845" width="11" style="89"/>
    <col min="846" max="846" width="11" style="89"/>
    <col min="847" max="847" width="11" style="89"/>
    <col min="848" max="848" width="11" style="89"/>
    <col min="849" max="849" width="11" style="89"/>
    <col min="850" max="850" width="11" style="89"/>
    <col min="851" max="851" width="11" style="89"/>
    <col min="852" max="852" width="11" style="89"/>
    <col min="853" max="853" width="11" style="89"/>
    <col min="854" max="854" width="11" style="89"/>
    <col min="855" max="855" width="11" style="89"/>
    <col min="856" max="856" width="11" style="89"/>
    <col min="857" max="857" width="11" style="89"/>
    <col min="858" max="858" width="11" style="89"/>
    <col min="859" max="859" width="11" style="89"/>
    <col min="860" max="860" width="11" style="89"/>
    <col min="861" max="861" width="11" style="89"/>
    <col min="862" max="862" width="11" style="89"/>
    <col min="863" max="863" width="11" style="89"/>
    <col min="864" max="864" width="11" style="89"/>
    <col min="865" max="865" width="11" style="89"/>
    <col min="866" max="866" width="11" style="89"/>
    <col min="867" max="867" width="11" style="89"/>
    <col min="868" max="868" width="11" style="89"/>
    <col min="869" max="869" width="11" style="89"/>
    <col min="870" max="870" width="11" style="89"/>
    <col min="871" max="871" width="11" style="89"/>
    <col min="872" max="872" width="11" style="89"/>
    <col min="873" max="873" width="11" style="89"/>
    <col min="874" max="874" width="11" style="89"/>
    <col min="875" max="875" width="11" style="89"/>
    <col min="876" max="876" width="11" style="89"/>
    <col min="877" max="877" width="11" style="89"/>
    <col min="878" max="878" width="11" style="89"/>
    <col min="879" max="879" width="11" style="89"/>
    <col min="880" max="880" width="11" style="89"/>
    <col min="881" max="881" width="11" style="89"/>
    <col min="882" max="882" width="11" style="89"/>
    <col min="883" max="883" width="11" style="89"/>
    <col min="884" max="884" width="11" style="89"/>
    <col min="885" max="885" width="11" style="89"/>
    <col min="886" max="886" width="11" style="89"/>
    <col min="887" max="887" width="11" style="89"/>
    <col min="888" max="888" width="11" style="89"/>
    <col min="889" max="889" width="11" style="89"/>
    <col min="890" max="890" width="11" style="89"/>
    <col min="891" max="891" width="11" style="89"/>
    <col min="892" max="892" width="11" style="89"/>
    <col min="893" max="893" width="11" style="89"/>
    <col min="894" max="894" width="11" style="89"/>
    <col min="895" max="895" width="11" style="89"/>
    <col min="896" max="896" width="11" style="89"/>
    <col min="897" max="897" width="11" style="89"/>
    <col min="898" max="898" width="11" style="89"/>
    <col min="899" max="899" width="11" style="89"/>
    <col min="900" max="900" width="11" style="89"/>
    <col min="901" max="901" width="11" style="89"/>
    <col min="902" max="902" width="11" style="89"/>
    <col min="903" max="903" width="11" style="89"/>
    <col min="904" max="904" width="11" style="89"/>
    <col min="905" max="905" width="11" style="89"/>
    <col min="906" max="906" width="11" style="89"/>
    <col min="907" max="907" width="11" style="89"/>
    <col min="908" max="908" width="11" style="89"/>
    <col min="909" max="909" width="11" style="89"/>
    <col min="910" max="910" width="11" style="89"/>
    <col min="911" max="911" width="11" style="89"/>
    <col min="912" max="912" width="11" style="89"/>
    <col min="913" max="913" width="11" style="89"/>
    <col min="914" max="914" width="11" style="89"/>
    <col min="915" max="915" width="11" style="89"/>
    <col min="916" max="916" width="11" style="89"/>
    <col min="917" max="917" width="11" style="89"/>
    <col min="918" max="918" width="11" style="89"/>
    <col min="919" max="919" width="11" style="89"/>
    <col min="920" max="920" width="11" style="89"/>
    <col min="921" max="921" width="11" style="89"/>
    <col min="922" max="922" width="11" style="89"/>
    <col min="923" max="923" width="11" style="89"/>
    <col min="924" max="924" width="11" style="89"/>
    <col min="925" max="925" width="11" style="89"/>
    <col min="926" max="926" width="11" style="89"/>
    <col min="927" max="927" width="11" style="89"/>
    <col min="928" max="928" width="11" style="89"/>
    <col min="929" max="929" width="11" style="89"/>
    <col min="930" max="930" width="11" style="89"/>
    <col min="931" max="931" width="11" style="89"/>
    <col min="932" max="932" width="11" style="89"/>
    <col min="933" max="933" width="11" style="89"/>
    <col min="934" max="934" width="11" style="89"/>
    <col min="935" max="935" width="11" style="89"/>
    <col min="936" max="936" width="11" style="89"/>
    <col min="937" max="937" width="11" style="89"/>
    <col min="938" max="938" width="11" style="89"/>
    <col min="939" max="939" width="11" style="89"/>
    <col min="940" max="940" width="11" style="89"/>
    <col min="941" max="941" width="11" style="89"/>
    <col min="942" max="942" width="11" style="89"/>
    <col min="943" max="943" width="11" style="89"/>
    <col min="944" max="944" width="11" style="89"/>
    <col min="945" max="945" width="11" style="89"/>
    <col min="946" max="946" width="11" style="89"/>
    <col min="947" max="947" width="11" style="89"/>
    <col min="948" max="948" width="11" style="89"/>
    <col min="949" max="949" width="11" style="89"/>
    <col min="950" max="950" width="11" style="89"/>
    <col min="951" max="951" width="11" style="89"/>
    <col min="952" max="952" width="11" style="89"/>
    <col min="953" max="953" width="11" style="89"/>
    <col min="954" max="954" width="11" style="89"/>
    <col min="955" max="955" width="11" style="89"/>
    <col min="956" max="956" width="11" style="89"/>
    <col min="957" max="957" width="11" style="89"/>
    <col min="958" max="958" width="11" style="89"/>
    <col min="959" max="959" width="11" style="89"/>
    <col min="960" max="960" width="11" style="89"/>
    <col min="961" max="961" width="11" style="89"/>
    <col min="962" max="962" width="11" style="89"/>
    <col min="963" max="963" width="11" style="89"/>
    <col min="964" max="964" width="11" style="89"/>
    <col min="965" max="965" width="11" style="89"/>
    <col min="966" max="966" width="11" style="89"/>
    <col min="967" max="967" width="11" style="89"/>
    <col min="968" max="968" width="11" style="89"/>
    <col min="969" max="969" width="11" style="89"/>
    <col min="970" max="970" width="11" style="89"/>
    <col min="971" max="971" width="11" style="89"/>
    <col min="972" max="972" width="11" style="89"/>
    <col min="973" max="973" width="11" style="89"/>
    <col min="974" max="974" width="11" style="89"/>
    <col min="975" max="975" width="11" style="89"/>
    <col min="976" max="976" width="11" style="89"/>
    <col min="977" max="977" width="11" style="89"/>
    <col min="978" max="978" width="11" style="89"/>
    <col min="979" max="979" width="11" style="89"/>
    <col min="980" max="980" width="11" style="89"/>
    <col min="981" max="981" width="11" style="89"/>
    <col min="982" max="982" width="11" style="89"/>
    <col min="983" max="983" width="11" style="89"/>
    <col min="984" max="984" width="11" style="89"/>
    <col min="985" max="985" width="11" style="89"/>
    <col min="986" max="986" width="11" style="89"/>
    <col min="987" max="987" width="11" style="89"/>
    <col min="988" max="988" width="11" style="89"/>
    <col min="989" max="989" width="11" style="89"/>
    <col min="990" max="990" width="11" style="89"/>
    <col min="991" max="991" width="11" style="89"/>
    <col min="992" max="992" width="11" style="89"/>
    <col min="993" max="993" width="11" style="89"/>
    <col min="994" max="994" width="11" style="89"/>
    <col min="995" max="995" width="11" style="89"/>
    <col min="996" max="996" width="11" style="89"/>
    <col min="997" max="997" width="11" style="89"/>
    <col min="998" max="998" width="11" style="89"/>
    <col min="999" max="999" width="11" style="89"/>
    <col min="1000" max="1000" width="11" style="89"/>
    <col min="1001" max="1001" width="11" style="89"/>
    <col min="1002" max="1002" width="11" style="89"/>
    <col min="1003" max="1003" width="11" style="89"/>
    <col min="1004" max="1004" width="11" style="89"/>
    <col min="1005" max="1005" width="11" style="89"/>
    <col min="1006" max="1006" width="11" style="89"/>
    <col min="1007" max="1007" width="11" style="89"/>
    <col min="1008" max="1008" width="11" style="89"/>
    <col min="1009" max="1009" width="11" style="89"/>
    <col min="1010" max="1010" width="11" style="89"/>
    <col min="1011" max="1011" width="11" style="89"/>
    <col min="1012" max="1012" width="11" style="89"/>
    <col min="1013" max="1013" width="11" style="89"/>
    <col min="1014" max="1014" width="11" style="89"/>
    <col min="1015" max="1015" width="11" style="89"/>
    <col min="1016" max="1016" width="11" style="89"/>
    <col min="1017" max="1017" width="11" style="89"/>
    <col min="1018" max="1018" width="11" style="89"/>
    <col min="1019" max="1019" width="11" style="89"/>
    <col min="1020" max="1020" width="11" style="89"/>
    <col min="1021" max="1021" width="11" style="89"/>
    <col min="1022" max="1022" width="11" style="89"/>
    <col min="1023" max="1023" width="11" style="89"/>
    <col min="1024" max="1024" width="11" style="89"/>
    <col min="1025" max="1025" width="10.140625" customWidth="true" style="89"/>
    <col min="1026" max="1026" width="10.140625" customWidth="true" style="89"/>
    <col min="1027" max="1027" width="10.140625" customWidth="true" style="89"/>
    <col min="1028" max="1028" width="10.140625" customWidth="true" style="89"/>
    <col min="1029" max="1029" width="10.140625" customWidth="true" style="89"/>
    <col min="1030" max="1030" width="10.140625" customWidth="true" style="89"/>
    <col min="1031" max="1031" width="10.140625" customWidth="true" style="89"/>
    <col min="1032" max="1032" width="10.140625" customWidth="true" style="89"/>
    <col min="1033" max="1033" width="10.140625" customWidth="true" style="89"/>
    <col min="1034" max="1034" width="11" style="89"/>
    <col min="1035" max="1035" width="11" style="89"/>
    <col min="1036" max="1036" width="11" style="89"/>
    <col min="1037" max="1037" width="11" style="89"/>
    <col min="1038" max="1038" width="11" style="89"/>
    <col min="1039" max="1039" width="11" style="89"/>
    <col min="1040" max="1040" width="11" style="89"/>
    <col min="1041" max="1041" width="11" style="89"/>
    <col min="1042" max="1042" width="11" style="89"/>
    <col min="1043" max="1043" width="11" style="89"/>
    <col min="1044" max="1044" width="11" style="89"/>
    <col min="1045" max="1045" width="11" style="89"/>
    <col min="1046" max="1046" width="11" style="89"/>
    <col min="1047" max="1047" width="11" style="89"/>
    <col min="1048" max="1048" width="11" style="89"/>
    <col min="1049" max="1049" width="11" style="89"/>
    <col min="1050" max="1050" width="11" style="89"/>
    <col min="1051" max="1051" width="11" style="89"/>
    <col min="1052" max="1052" width="11" style="89"/>
    <col min="1053" max="1053" width="11" style="89"/>
    <col min="1054" max="1054" width="11" style="89"/>
    <col min="1055" max="1055" width="11" style="89"/>
    <col min="1056" max="1056" width="11" style="89"/>
    <col min="1057" max="1057" width="11" style="89"/>
    <col min="1058" max="1058" width="11" style="89"/>
    <col min="1059" max="1059" width="11" style="89"/>
    <col min="1060" max="1060" width="11" style="89"/>
    <col min="1061" max="1061" width="11" style="89"/>
    <col min="1062" max="1062" width="11" style="89"/>
    <col min="1063" max="1063" width="11" style="89"/>
    <col min="1064" max="1064" width="11" style="89"/>
    <col min="1065" max="1065" width="11" style="89"/>
    <col min="1066" max="1066" width="11" style="89"/>
    <col min="1067" max="1067" width="11" style="89"/>
    <col min="1068" max="1068" width="11" style="89"/>
    <col min="1069" max="1069" width="11" style="89"/>
    <col min="1070" max="1070" width="11" style="89"/>
    <col min="1071" max="1071" width="11" style="89"/>
    <col min="1072" max="1072" width="11" style="89"/>
    <col min="1073" max="1073" width="11" style="89"/>
    <col min="1074" max="1074" width="11" style="89"/>
    <col min="1075" max="1075" width="11" style="89"/>
    <col min="1076" max="1076" width="11" style="89"/>
    <col min="1077" max="1077" width="11" style="89"/>
    <col min="1078" max="1078" width="11" style="89"/>
    <col min="1079" max="1079" width="11" style="89"/>
    <col min="1080" max="1080" width="11" style="89"/>
    <col min="1081" max="1081" width="11" style="89"/>
    <col min="1082" max="1082" width="11" style="89"/>
    <col min="1083" max="1083" width="11" style="89"/>
    <col min="1084" max="1084" width="11" style="89"/>
    <col min="1085" max="1085" width="11" style="89"/>
    <col min="1086" max="1086" width="11" style="89"/>
    <col min="1087" max="1087" width="11" style="89"/>
    <col min="1088" max="1088" width="11" style="89"/>
    <col min="1089" max="1089" width="11" style="89"/>
    <col min="1090" max="1090" width="11" style="89"/>
    <col min="1091" max="1091" width="11" style="89"/>
    <col min="1092" max="1092" width="11" style="89"/>
    <col min="1093" max="1093" width="11" style="89"/>
    <col min="1094" max="1094" width="11" style="89"/>
    <col min="1095" max="1095" width="11" style="89"/>
    <col min="1096" max="1096" width="11" style="89"/>
    <col min="1097" max="1097" width="11" style="89"/>
    <col min="1098" max="1098" width="11" style="89"/>
    <col min="1099" max="1099" width="11" style="89"/>
    <col min="1100" max="1100" width="11" style="89"/>
    <col min="1101" max="1101" width="11" style="89"/>
    <col min="1102" max="1102" width="11" style="89"/>
    <col min="1103" max="1103" width="11" style="89"/>
    <col min="1104" max="1104" width="11" style="89"/>
    <col min="1105" max="1105" width="11" style="89"/>
    <col min="1106" max="1106" width="11" style="89"/>
    <col min="1107" max="1107" width="11" style="89"/>
    <col min="1108" max="1108" width="11" style="89"/>
    <col min="1109" max="1109" width="11" style="89"/>
    <col min="1110" max="1110" width="11" style="89"/>
    <col min="1111" max="1111" width="11" style="89"/>
    <col min="1112" max="1112" width="11" style="89"/>
    <col min="1113" max="1113" width="11" style="89"/>
    <col min="1114" max="1114" width="11" style="89"/>
    <col min="1115" max="1115" width="11" style="89"/>
    <col min="1116" max="1116" width="11" style="89"/>
    <col min="1117" max="1117" width="11" style="89"/>
    <col min="1118" max="1118" width="11" style="89"/>
    <col min="1119" max="1119" width="11" style="89"/>
    <col min="1120" max="1120" width="11" style="89"/>
    <col min="1121" max="1121" width="11" style="89"/>
    <col min="1122" max="1122" width="11" style="89"/>
    <col min="1123" max="1123" width="11" style="89"/>
    <col min="1124" max="1124" width="11" style="89"/>
    <col min="1125" max="1125" width="11" style="89"/>
    <col min="1126" max="1126" width="11" style="89"/>
    <col min="1127" max="1127" width="11" style="89"/>
    <col min="1128" max="1128" width="11" style="89"/>
    <col min="1129" max="1129" width="11" style="89"/>
    <col min="1130" max="1130" width="11" style="89"/>
    <col min="1131" max="1131" width="11" style="89"/>
    <col min="1132" max="1132" width="11" style="89"/>
    <col min="1133" max="1133" width="11" style="89"/>
    <col min="1134" max="1134" width="11" style="89"/>
    <col min="1135" max="1135" width="11" style="89"/>
    <col min="1136" max="1136" width="11" style="89"/>
    <col min="1137" max="1137" width="11" style="89"/>
    <col min="1138" max="1138" width="11" style="89"/>
    <col min="1139" max="1139" width="11" style="89"/>
    <col min="1140" max="1140" width="11" style="89"/>
    <col min="1141" max="1141" width="11" style="89"/>
    <col min="1142" max="1142" width="11" style="89"/>
    <col min="1143" max="1143" width="11" style="89"/>
    <col min="1144" max="1144" width="11" style="89"/>
    <col min="1145" max="1145" width="11" style="89"/>
    <col min="1146" max="1146" width="11" style="89"/>
    <col min="1147" max="1147" width="11" style="89"/>
    <col min="1148" max="1148" width="11" style="89"/>
    <col min="1149" max="1149" width="11" style="89"/>
    <col min="1150" max="1150" width="11" style="89"/>
    <col min="1151" max="1151" width="11" style="89"/>
    <col min="1152" max="1152" width="11" style="89"/>
    <col min="1153" max="1153" width="11" style="89"/>
    <col min="1154" max="1154" width="11" style="89"/>
    <col min="1155" max="1155" width="11" style="89"/>
    <col min="1156" max="1156" width="11" style="89"/>
    <col min="1157" max="1157" width="11" style="89"/>
    <col min="1158" max="1158" width="11" style="89"/>
    <col min="1159" max="1159" width="11" style="89"/>
    <col min="1160" max="1160" width="11" style="89"/>
    <col min="1161" max="1161" width="11" style="89"/>
    <col min="1162" max="1162" width="11" style="89"/>
    <col min="1163" max="1163" width="11" style="89"/>
    <col min="1164" max="1164" width="11" style="89"/>
    <col min="1165" max="1165" width="11" style="89"/>
    <col min="1166" max="1166" width="11" style="89"/>
    <col min="1167" max="1167" width="11" style="89"/>
    <col min="1168" max="1168" width="11" style="89"/>
    <col min="1169" max="1169" width="11" style="89"/>
    <col min="1170" max="1170" width="11" style="89"/>
    <col min="1171" max="1171" width="11" style="89"/>
    <col min="1172" max="1172" width="11" style="89"/>
    <col min="1173" max="1173" width="11" style="89"/>
    <col min="1174" max="1174" width="11" style="89"/>
    <col min="1175" max="1175" width="11" style="89"/>
    <col min="1176" max="1176" width="11" style="89"/>
    <col min="1177" max="1177" width="11" style="89"/>
    <col min="1178" max="1178" width="11" style="89"/>
    <col min="1179" max="1179" width="11" style="89"/>
    <col min="1180" max="1180" width="11" style="89"/>
    <col min="1181" max="1181" width="11" style="89"/>
    <col min="1182" max="1182" width="11" style="89"/>
    <col min="1183" max="1183" width="11" style="89"/>
    <col min="1184" max="1184" width="11" style="89"/>
    <col min="1185" max="1185" width="11" style="89"/>
    <col min="1186" max="1186" width="11" style="89"/>
    <col min="1187" max="1187" width="11" style="89"/>
    <col min="1188" max="1188" width="11" style="89"/>
    <col min="1189" max="1189" width="11" style="89"/>
    <col min="1190" max="1190" width="11" style="89"/>
    <col min="1191" max="1191" width="11" style="89"/>
    <col min="1192" max="1192" width="11" style="89"/>
    <col min="1193" max="1193" width="11" style="89"/>
    <col min="1194" max="1194" width="11" style="89"/>
    <col min="1195" max="1195" width="11" style="89"/>
    <col min="1196" max="1196" width="11" style="89"/>
    <col min="1197" max="1197" width="11" style="89"/>
    <col min="1198" max="1198" width="11" style="89"/>
    <col min="1199" max="1199" width="11" style="89"/>
    <col min="1200" max="1200" width="11" style="89"/>
    <col min="1201" max="1201" width="11" style="89"/>
    <col min="1202" max="1202" width="11" style="89"/>
    <col min="1203" max="1203" width="11" style="89"/>
    <col min="1204" max="1204" width="11" style="89"/>
    <col min="1205" max="1205" width="11" style="89"/>
    <col min="1206" max="1206" width="11" style="89"/>
    <col min="1207" max="1207" width="11" style="89"/>
    <col min="1208" max="1208" width="11" style="89"/>
    <col min="1209" max="1209" width="11" style="89"/>
    <col min="1210" max="1210" width="11" style="89"/>
    <col min="1211" max="1211" width="11" style="89"/>
    <col min="1212" max="1212" width="11" style="89"/>
    <col min="1213" max="1213" width="11" style="89"/>
    <col min="1214" max="1214" width="11" style="89"/>
    <col min="1215" max="1215" width="11" style="89"/>
    <col min="1216" max="1216" width="11" style="89"/>
    <col min="1217" max="1217" width="11" style="89"/>
    <col min="1218" max="1218" width="11" style="89"/>
    <col min="1219" max="1219" width="11" style="89"/>
    <col min="1220" max="1220" width="11" style="89"/>
    <col min="1221" max="1221" width="11" style="89"/>
    <col min="1222" max="1222" width="11" style="89"/>
    <col min="1223" max="1223" width="11" style="89"/>
    <col min="1224" max="1224" width="11" style="89"/>
    <col min="1225" max="1225" width="11" style="89"/>
    <col min="1226" max="1226" width="11" style="89"/>
    <col min="1227" max="1227" width="11" style="89"/>
    <col min="1228" max="1228" width="11" style="89"/>
    <col min="1229" max="1229" width="11" style="89"/>
    <col min="1230" max="1230" width="11" style="89"/>
    <col min="1231" max="1231" width="11" style="89"/>
    <col min="1232" max="1232" width="11" style="89"/>
    <col min="1233" max="1233" width="11" style="89"/>
    <col min="1234" max="1234" width="11" style="89"/>
    <col min="1235" max="1235" width="11" style="89"/>
    <col min="1236" max="1236" width="11" style="89"/>
    <col min="1237" max="1237" width="11" style="89"/>
    <col min="1238" max="1238" width="11" style="89"/>
    <col min="1239" max="1239" width="11" style="89"/>
    <col min="1240" max="1240" width="11" style="89"/>
    <col min="1241" max="1241" width="11" style="89"/>
    <col min="1242" max="1242" width="11" style="89"/>
    <col min="1243" max="1243" width="11" style="89"/>
    <col min="1244" max="1244" width="11" style="89"/>
    <col min="1245" max="1245" width="11" style="89"/>
    <col min="1246" max="1246" width="11" style="89"/>
    <col min="1247" max="1247" width="11" style="89"/>
    <col min="1248" max="1248" width="11" style="89"/>
    <col min="1249" max="1249" width="11" style="89"/>
    <col min="1250" max="1250" width="11" style="89"/>
    <col min="1251" max="1251" width="11" style="89"/>
    <col min="1252" max="1252" width="11" style="89"/>
    <col min="1253" max="1253" width="11" style="89"/>
    <col min="1254" max="1254" width="11" style="89"/>
    <col min="1255" max="1255" width="11" style="89"/>
    <col min="1256" max="1256" width="11" style="89"/>
    <col min="1257" max="1257" width="11" style="89"/>
    <col min="1258" max="1258" width="11" style="89"/>
    <col min="1259" max="1259" width="11" style="89"/>
    <col min="1260" max="1260" width="11" style="89"/>
    <col min="1261" max="1261" width="11" style="89"/>
    <col min="1262" max="1262" width="11" style="89"/>
    <col min="1263" max="1263" width="11" style="89"/>
    <col min="1264" max="1264" width="11" style="89"/>
    <col min="1265" max="1265" width="11" style="89"/>
    <col min="1266" max="1266" width="11" style="89"/>
    <col min="1267" max="1267" width="11" style="89"/>
    <col min="1268" max="1268" width="11" style="89"/>
    <col min="1269" max="1269" width="11" style="89"/>
    <col min="1270" max="1270" width="11" style="89"/>
    <col min="1271" max="1271" width="11" style="89"/>
    <col min="1272" max="1272" width="11" style="89"/>
    <col min="1273" max="1273" width="11" style="89"/>
    <col min="1274" max="1274" width="11" style="89"/>
    <col min="1275" max="1275" width="11" style="89"/>
    <col min="1276" max="1276" width="11" style="89"/>
    <col min="1277" max="1277" width="11" style="89"/>
    <col min="1278" max="1278" width="11" style="89"/>
    <col min="1279" max="1279" width="11" style="89"/>
    <col min="1280" max="1280" width="11" style="89"/>
    <col min="1281" max="1281" width="10.140625" customWidth="true" style="89"/>
    <col min="1282" max="1282" width="10.140625" customWidth="true" style="89"/>
    <col min="1283" max="1283" width="10.140625" customWidth="true" style="89"/>
    <col min="1284" max="1284" width="10.140625" customWidth="true" style="89"/>
    <col min="1285" max="1285" width="10.140625" customWidth="true" style="89"/>
    <col min="1286" max="1286" width="10.140625" customWidth="true" style="89"/>
    <col min="1287" max="1287" width="10.140625" customWidth="true" style="89"/>
    <col min="1288" max="1288" width="10.140625" customWidth="true" style="89"/>
    <col min="1289" max="1289" width="10.140625" customWidth="true" style="89"/>
    <col min="1290" max="1290" width="11" style="89"/>
    <col min="1291" max="1291" width="11" style="89"/>
    <col min="1292" max="1292" width="11" style="89"/>
    <col min="1293" max="1293" width="11" style="89"/>
    <col min="1294" max="1294" width="11" style="89"/>
    <col min="1295" max="1295" width="11" style="89"/>
    <col min="1296" max="1296" width="11" style="89"/>
    <col min="1297" max="1297" width="11" style="89"/>
    <col min="1298" max="1298" width="11" style="89"/>
    <col min="1299" max="1299" width="11" style="89"/>
    <col min="1300" max="1300" width="11" style="89"/>
    <col min="1301" max="1301" width="11" style="89"/>
    <col min="1302" max="1302" width="11" style="89"/>
    <col min="1303" max="1303" width="11" style="89"/>
    <col min="1304" max="1304" width="11" style="89"/>
    <col min="1305" max="1305" width="11" style="89"/>
    <col min="1306" max="1306" width="11" style="89"/>
    <col min="1307" max="1307" width="11" style="89"/>
    <col min="1308" max="1308" width="11" style="89"/>
    <col min="1309" max="1309" width="11" style="89"/>
    <col min="1310" max="1310" width="11" style="89"/>
    <col min="1311" max="1311" width="11" style="89"/>
    <col min="1312" max="1312" width="11" style="89"/>
    <col min="1313" max="1313" width="11" style="89"/>
    <col min="1314" max="1314" width="11" style="89"/>
    <col min="1315" max="1315" width="11" style="89"/>
    <col min="1316" max="1316" width="11" style="89"/>
    <col min="1317" max="1317" width="11" style="89"/>
    <col min="1318" max="1318" width="11" style="89"/>
    <col min="1319" max="1319" width="11" style="89"/>
    <col min="1320" max="1320" width="11" style="89"/>
    <col min="1321" max="1321" width="11" style="89"/>
    <col min="1322" max="1322" width="11" style="89"/>
    <col min="1323" max="1323" width="11" style="89"/>
    <col min="1324" max="1324" width="11" style="89"/>
    <col min="1325" max="1325" width="11" style="89"/>
    <col min="1326" max="1326" width="11" style="89"/>
    <col min="1327" max="1327" width="11" style="89"/>
    <col min="1328" max="1328" width="11" style="89"/>
    <col min="1329" max="1329" width="11" style="89"/>
    <col min="1330" max="1330" width="11" style="89"/>
    <col min="1331" max="1331" width="11" style="89"/>
    <col min="1332" max="1332" width="11" style="89"/>
    <col min="1333" max="1333" width="11" style="89"/>
    <col min="1334" max="1334" width="11" style="89"/>
    <col min="1335" max="1335" width="11" style="89"/>
    <col min="1336" max="1336" width="11" style="89"/>
    <col min="1337" max="1337" width="11" style="89"/>
    <col min="1338" max="1338" width="11" style="89"/>
    <col min="1339" max="1339" width="11" style="89"/>
    <col min="1340" max="1340" width="11" style="89"/>
    <col min="1341" max="1341" width="11" style="89"/>
    <col min="1342" max="1342" width="11" style="89"/>
    <col min="1343" max="1343" width="11" style="89"/>
    <col min="1344" max="1344" width="11" style="89"/>
    <col min="1345" max="1345" width="11" style="89"/>
    <col min="1346" max="1346" width="11" style="89"/>
    <col min="1347" max="1347" width="11" style="89"/>
    <col min="1348" max="1348" width="11" style="89"/>
    <col min="1349" max="1349" width="11" style="89"/>
    <col min="1350" max="1350" width="11" style="89"/>
    <col min="1351" max="1351" width="11" style="89"/>
    <col min="1352" max="1352" width="11" style="89"/>
    <col min="1353" max="1353" width="11" style="89"/>
    <col min="1354" max="1354" width="11" style="89"/>
    <col min="1355" max="1355" width="11" style="89"/>
    <col min="1356" max="1356" width="11" style="89"/>
    <col min="1357" max="1357" width="11" style="89"/>
    <col min="1358" max="1358" width="11" style="89"/>
    <col min="1359" max="1359" width="11" style="89"/>
    <col min="1360" max="1360" width="11" style="89"/>
    <col min="1361" max="1361" width="11" style="89"/>
    <col min="1362" max="1362" width="11" style="89"/>
    <col min="1363" max="1363" width="11" style="89"/>
    <col min="1364" max="1364" width="11" style="89"/>
    <col min="1365" max="1365" width="11" style="89"/>
    <col min="1366" max="1366" width="11" style="89"/>
    <col min="1367" max="1367" width="11" style="89"/>
    <col min="1368" max="1368" width="11" style="89"/>
    <col min="1369" max="1369" width="11" style="89"/>
    <col min="1370" max="1370" width="11" style="89"/>
    <col min="1371" max="1371" width="11" style="89"/>
    <col min="1372" max="1372" width="11" style="89"/>
    <col min="1373" max="1373" width="11" style="89"/>
    <col min="1374" max="1374" width="11" style="89"/>
    <col min="1375" max="1375" width="11" style="89"/>
    <col min="1376" max="1376" width="11" style="89"/>
    <col min="1377" max="1377" width="11" style="89"/>
    <col min="1378" max="1378" width="11" style="89"/>
    <col min="1379" max="1379" width="11" style="89"/>
    <col min="1380" max="1380" width="11" style="89"/>
    <col min="1381" max="1381" width="11" style="89"/>
    <col min="1382" max="1382" width="11" style="89"/>
    <col min="1383" max="1383" width="11" style="89"/>
    <col min="1384" max="1384" width="11" style="89"/>
    <col min="1385" max="1385" width="11" style="89"/>
    <col min="1386" max="1386" width="11" style="89"/>
    <col min="1387" max="1387" width="11" style="89"/>
    <col min="1388" max="1388" width="11" style="89"/>
    <col min="1389" max="1389" width="11" style="89"/>
    <col min="1390" max="1390" width="11" style="89"/>
    <col min="1391" max="1391" width="11" style="89"/>
    <col min="1392" max="1392" width="11" style="89"/>
    <col min="1393" max="1393" width="11" style="89"/>
    <col min="1394" max="1394" width="11" style="89"/>
    <col min="1395" max="1395" width="11" style="89"/>
    <col min="1396" max="1396" width="11" style="89"/>
    <col min="1397" max="1397" width="11" style="89"/>
    <col min="1398" max="1398" width="11" style="89"/>
    <col min="1399" max="1399" width="11" style="89"/>
    <col min="1400" max="1400" width="11" style="89"/>
    <col min="1401" max="1401" width="11" style="89"/>
    <col min="1402" max="1402" width="11" style="89"/>
    <col min="1403" max="1403" width="11" style="89"/>
    <col min="1404" max="1404" width="11" style="89"/>
    <col min="1405" max="1405" width="11" style="89"/>
    <col min="1406" max="1406" width="11" style="89"/>
    <col min="1407" max="1407" width="11" style="89"/>
    <col min="1408" max="1408" width="11" style="89"/>
    <col min="1409" max="1409" width="11" style="89"/>
    <col min="1410" max="1410" width="11" style="89"/>
    <col min="1411" max="1411" width="11" style="89"/>
    <col min="1412" max="1412" width="11" style="89"/>
    <col min="1413" max="1413" width="11" style="89"/>
    <col min="1414" max="1414" width="11" style="89"/>
    <col min="1415" max="1415" width="11" style="89"/>
    <col min="1416" max="1416" width="11" style="89"/>
    <col min="1417" max="1417" width="11" style="89"/>
    <col min="1418" max="1418" width="11" style="89"/>
    <col min="1419" max="1419" width="11" style="89"/>
    <col min="1420" max="1420" width="11" style="89"/>
    <col min="1421" max="1421" width="11" style="89"/>
    <col min="1422" max="1422" width="11" style="89"/>
    <col min="1423" max="1423" width="11" style="89"/>
    <col min="1424" max="1424" width="11" style="89"/>
    <col min="1425" max="1425" width="11" style="89"/>
    <col min="1426" max="1426" width="11" style="89"/>
    <col min="1427" max="1427" width="11" style="89"/>
    <col min="1428" max="1428" width="11" style="89"/>
    <col min="1429" max="1429" width="11" style="89"/>
    <col min="1430" max="1430" width="11" style="89"/>
    <col min="1431" max="1431" width="11" style="89"/>
    <col min="1432" max="1432" width="11" style="89"/>
    <col min="1433" max="1433" width="11" style="89"/>
    <col min="1434" max="1434" width="11" style="89"/>
    <col min="1435" max="1435" width="11" style="89"/>
    <col min="1436" max="1436" width="11" style="89"/>
    <col min="1437" max="1437" width="11" style="89"/>
    <col min="1438" max="1438" width="11" style="89"/>
    <col min="1439" max="1439" width="11" style="89"/>
    <col min="1440" max="1440" width="11" style="89"/>
    <col min="1441" max="1441" width="11" style="89"/>
    <col min="1442" max="1442" width="11" style="89"/>
    <col min="1443" max="1443" width="11" style="89"/>
    <col min="1444" max="1444" width="11" style="89"/>
    <col min="1445" max="1445" width="11" style="89"/>
    <col min="1446" max="1446" width="11" style="89"/>
    <col min="1447" max="1447" width="11" style="89"/>
    <col min="1448" max="1448" width="11" style="89"/>
    <col min="1449" max="1449" width="11" style="89"/>
    <col min="1450" max="1450" width="11" style="89"/>
    <col min="1451" max="1451" width="11" style="89"/>
    <col min="1452" max="1452" width="11" style="89"/>
    <col min="1453" max="1453" width="11" style="89"/>
    <col min="1454" max="1454" width="11" style="89"/>
    <col min="1455" max="1455" width="11" style="89"/>
    <col min="1456" max="1456" width="11" style="89"/>
    <col min="1457" max="1457" width="11" style="89"/>
    <col min="1458" max="1458" width="11" style="89"/>
    <col min="1459" max="1459" width="11" style="89"/>
    <col min="1460" max="1460" width="11" style="89"/>
    <col min="1461" max="1461" width="11" style="89"/>
    <col min="1462" max="1462" width="11" style="89"/>
    <col min="1463" max="1463" width="11" style="89"/>
    <col min="1464" max="1464" width="11" style="89"/>
    <col min="1465" max="1465" width="11" style="89"/>
    <col min="1466" max="1466" width="11" style="89"/>
    <col min="1467" max="1467" width="11" style="89"/>
    <col min="1468" max="1468" width="11" style="89"/>
    <col min="1469" max="1469" width="11" style="89"/>
    <col min="1470" max="1470" width="11" style="89"/>
    <col min="1471" max="1471" width="11" style="89"/>
    <col min="1472" max="1472" width="11" style="89"/>
    <col min="1473" max="1473" width="11" style="89"/>
    <col min="1474" max="1474" width="11" style="89"/>
    <col min="1475" max="1475" width="11" style="89"/>
    <col min="1476" max="1476" width="11" style="89"/>
    <col min="1477" max="1477" width="11" style="89"/>
    <col min="1478" max="1478" width="11" style="89"/>
    <col min="1479" max="1479" width="11" style="89"/>
    <col min="1480" max="1480" width="11" style="89"/>
    <col min="1481" max="1481" width="11" style="89"/>
    <col min="1482" max="1482" width="11" style="89"/>
    <col min="1483" max="1483" width="11" style="89"/>
    <col min="1484" max="1484" width="11" style="89"/>
    <col min="1485" max="1485" width="11" style="89"/>
    <col min="1486" max="1486" width="11" style="89"/>
    <col min="1487" max="1487" width="11" style="89"/>
    <col min="1488" max="1488" width="11" style="89"/>
    <col min="1489" max="1489" width="11" style="89"/>
    <col min="1490" max="1490" width="11" style="89"/>
    <col min="1491" max="1491" width="11" style="89"/>
    <col min="1492" max="1492" width="11" style="89"/>
    <col min="1493" max="1493" width="11" style="89"/>
    <col min="1494" max="1494" width="11" style="89"/>
    <col min="1495" max="1495" width="11" style="89"/>
    <col min="1496" max="1496" width="11" style="89"/>
    <col min="1497" max="1497" width="11" style="89"/>
    <col min="1498" max="1498" width="11" style="89"/>
    <col min="1499" max="1499" width="11" style="89"/>
    <col min="1500" max="1500" width="11" style="89"/>
    <col min="1501" max="1501" width="11" style="89"/>
    <col min="1502" max="1502" width="11" style="89"/>
    <col min="1503" max="1503" width="11" style="89"/>
    <col min="1504" max="1504" width="11" style="89"/>
    <col min="1505" max="1505" width="11" style="89"/>
    <col min="1506" max="1506" width="11" style="89"/>
    <col min="1507" max="1507" width="11" style="89"/>
    <col min="1508" max="1508" width="11" style="89"/>
    <col min="1509" max="1509" width="11" style="89"/>
    <col min="1510" max="1510" width="11" style="89"/>
    <col min="1511" max="1511" width="11" style="89"/>
    <col min="1512" max="1512" width="11" style="89"/>
    <col min="1513" max="1513" width="11" style="89"/>
    <col min="1514" max="1514" width="11" style="89"/>
    <col min="1515" max="1515" width="11" style="89"/>
    <col min="1516" max="1516" width="11" style="89"/>
    <col min="1517" max="1517" width="11" style="89"/>
    <col min="1518" max="1518" width="11" style="89"/>
    <col min="1519" max="1519" width="11" style="89"/>
    <col min="1520" max="1520" width="11" style="89"/>
    <col min="1521" max="1521" width="11" style="89"/>
    <col min="1522" max="1522" width="11" style="89"/>
    <col min="1523" max="1523" width="11" style="89"/>
    <col min="1524" max="1524" width="11" style="89"/>
    <col min="1525" max="1525" width="11" style="89"/>
    <col min="1526" max="1526" width="11" style="89"/>
    <col min="1527" max="1527" width="11" style="89"/>
    <col min="1528" max="1528" width="11" style="89"/>
    <col min="1529" max="1529" width="11" style="89"/>
    <col min="1530" max="1530" width="11" style="89"/>
    <col min="1531" max="1531" width="11" style="89"/>
    <col min="1532" max="1532" width="11" style="89"/>
    <col min="1533" max="1533" width="11" style="89"/>
    <col min="1534" max="1534" width="11" style="89"/>
    <col min="1535" max="1535" width="11" style="89"/>
    <col min="1536" max="1536" width="11" style="89"/>
    <col min="1537" max="1537" width="10.140625" customWidth="true" style="89"/>
    <col min="1538" max="1538" width="10.140625" customWidth="true" style="89"/>
    <col min="1539" max="1539" width="10.140625" customWidth="true" style="89"/>
    <col min="1540" max="1540" width="10.140625" customWidth="true" style="89"/>
    <col min="1541" max="1541" width="10.140625" customWidth="true" style="89"/>
    <col min="1542" max="1542" width="10.140625" customWidth="true" style="89"/>
    <col min="1543" max="1543" width="10.140625" customWidth="true" style="89"/>
    <col min="1544" max="1544" width="10.140625" customWidth="true" style="89"/>
    <col min="1545" max="1545" width="10.140625" customWidth="true" style="89"/>
    <col min="1546" max="1546" width="11" style="89"/>
    <col min="1547" max="1547" width="11" style="89"/>
    <col min="1548" max="1548" width="11" style="89"/>
    <col min="1549" max="1549" width="11" style="89"/>
    <col min="1550" max="1550" width="11" style="89"/>
    <col min="1551" max="1551" width="11" style="89"/>
    <col min="1552" max="1552" width="11" style="89"/>
    <col min="1553" max="1553" width="11" style="89"/>
    <col min="1554" max="1554" width="11" style="89"/>
    <col min="1555" max="1555" width="11" style="89"/>
    <col min="1556" max="1556" width="11" style="89"/>
    <col min="1557" max="1557" width="11" style="89"/>
    <col min="1558" max="1558" width="11" style="89"/>
    <col min="1559" max="1559" width="11" style="89"/>
    <col min="1560" max="1560" width="11" style="89"/>
    <col min="1561" max="1561" width="11" style="89"/>
    <col min="1562" max="1562" width="11" style="89"/>
    <col min="1563" max="1563" width="11" style="89"/>
    <col min="1564" max="1564" width="11" style="89"/>
    <col min="1565" max="1565" width="11" style="89"/>
    <col min="1566" max="1566" width="11" style="89"/>
    <col min="1567" max="1567" width="11" style="89"/>
    <col min="1568" max="1568" width="11" style="89"/>
    <col min="1569" max="1569" width="11" style="89"/>
    <col min="1570" max="1570" width="11" style="89"/>
    <col min="1571" max="1571" width="11" style="89"/>
    <col min="1572" max="1572" width="11" style="89"/>
    <col min="1573" max="1573" width="11" style="89"/>
    <col min="1574" max="1574" width="11" style="89"/>
    <col min="1575" max="1575" width="11" style="89"/>
    <col min="1576" max="1576" width="11" style="89"/>
    <col min="1577" max="1577" width="11" style="89"/>
    <col min="1578" max="1578" width="11" style="89"/>
    <col min="1579" max="1579" width="11" style="89"/>
    <col min="1580" max="1580" width="11" style="89"/>
    <col min="1581" max="1581" width="11" style="89"/>
    <col min="1582" max="1582" width="11" style="89"/>
    <col min="1583" max="1583" width="11" style="89"/>
    <col min="1584" max="1584" width="11" style="89"/>
    <col min="1585" max="1585" width="11" style="89"/>
    <col min="1586" max="1586" width="11" style="89"/>
    <col min="1587" max="1587" width="11" style="89"/>
    <col min="1588" max="1588" width="11" style="89"/>
    <col min="1589" max="1589" width="11" style="89"/>
    <col min="1590" max="1590" width="11" style="89"/>
    <col min="1591" max="1591" width="11" style="89"/>
    <col min="1592" max="1592" width="11" style="89"/>
    <col min="1593" max="1593" width="11" style="89"/>
    <col min="1594" max="1594" width="11" style="89"/>
    <col min="1595" max="1595" width="11" style="89"/>
    <col min="1596" max="1596" width="11" style="89"/>
    <col min="1597" max="1597" width="11" style="89"/>
    <col min="1598" max="1598" width="11" style="89"/>
    <col min="1599" max="1599" width="11" style="89"/>
    <col min="1600" max="1600" width="11" style="89"/>
    <col min="1601" max="1601" width="11" style="89"/>
    <col min="1602" max="1602" width="11" style="89"/>
    <col min="1603" max="1603" width="11" style="89"/>
    <col min="1604" max="1604" width="11" style="89"/>
    <col min="1605" max="1605" width="11" style="89"/>
    <col min="1606" max="1606" width="11" style="89"/>
    <col min="1607" max="1607" width="11" style="89"/>
    <col min="1608" max="1608" width="11" style="89"/>
    <col min="1609" max="1609" width="11" style="89"/>
    <col min="1610" max="1610" width="11" style="89"/>
    <col min="1611" max="1611" width="11" style="89"/>
    <col min="1612" max="1612" width="11" style="89"/>
    <col min="1613" max="1613" width="11" style="89"/>
    <col min="1614" max="1614" width="11" style="89"/>
    <col min="1615" max="1615" width="11" style="89"/>
    <col min="1616" max="1616" width="11" style="89"/>
    <col min="1617" max="1617" width="11" style="89"/>
    <col min="1618" max="1618" width="11" style="89"/>
    <col min="1619" max="1619" width="11" style="89"/>
    <col min="1620" max="1620" width="11" style="89"/>
    <col min="1621" max="1621" width="11" style="89"/>
    <col min="1622" max="1622" width="11" style="89"/>
    <col min="1623" max="1623" width="11" style="89"/>
    <col min="1624" max="1624" width="11" style="89"/>
    <col min="1625" max="1625" width="11" style="89"/>
    <col min="1626" max="1626" width="11" style="89"/>
    <col min="1627" max="1627" width="11" style="89"/>
    <col min="1628" max="1628" width="11" style="89"/>
    <col min="1629" max="1629" width="11" style="89"/>
    <col min="1630" max="1630" width="11" style="89"/>
    <col min="1631" max="1631" width="11" style="89"/>
    <col min="1632" max="1632" width="11" style="89"/>
    <col min="1633" max="1633" width="11" style="89"/>
    <col min="1634" max="1634" width="11" style="89"/>
    <col min="1635" max="1635" width="11" style="89"/>
    <col min="1636" max="1636" width="11" style="89"/>
    <col min="1637" max="1637" width="11" style="89"/>
    <col min="1638" max="1638" width="11" style="89"/>
    <col min="1639" max="1639" width="11" style="89"/>
    <col min="1640" max="1640" width="11" style="89"/>
    <col min="1641" max="1641" width="11" style="89"/>
    <col min="1642" max="1642" width="11" style="89"/>
    <col min="1643" max="1643" width="11" style="89"/>
    <col min="1644" max="1644" width="11" style="89"/>
    <col min="1645" max="1645" width="11" style="89"/>
    <col min="1646" max="1646" width="11" style="89"/>
    <col min="1647" max="1647" width="11" style="89"/>
    <col min="1648" max="1648" width="11" style="89"/>
    <col min="1649" max="1649" width="11" style="89"/>
    <col min="1650" max="1650" width="11" style="89"/>
    <col min="1651" max="1651" width="11" style="89"/>
    <col min="1652" max="1652" width="11" style="89"/>
    <col min="1653" max="1653" width="11" style="89"/>
    <col min="1654" max="1654" width="11" style="89"/>
    <col min="1655" max="1655" width="11" style="89"/>
    <col min="1656" max="1656" width="11" style="89"/>
    <col min="1657" max="1657" width="11" style="89"/>
    <col min="1658" max="1658" width="11" style="89"/>
    <col min="1659" max="1659" width="11" style="89"/>
    <col min="1660" max="1660" width="11" style="89"/>
    <col min="1661" max="1661" width="11" style="89"/>
    <col min="1662" max="1662" width="11" style="89"/>
    <col min="1663" max="1663" width="11" style="89"/>
    <col min="1664" max="1664" width="11" style="89"/>
    <col min="1665" max="1665" width="11" style="89"/>
    <col min="1666" max="1666" width="11" style="89"/>
    <col min="1667" max="1667" width="11" style="89"/>
    <col min="1668" max="1668" width="11" style="89"/>
    <col min="1669" max="1669" width="11" style="89"/>
    <col min="1670" max="1670" width="11" style="89"/>
    <col min="1671" max="1671" width="11" style="89"/>
    <col min="1672" max="1672" width="11" style="89"/>
    <col min="1673" max="1673" width="11" style="89"/>
    <col min="1674" max="1674" width="11" style="89"/>
    <col min="1675" max="1675" width="11" style="89"/>
    <col min="1676" max="1676" width="11" style="89"/>
    <col min="1677" max="1677" width="11" style="89"/>
    <col min="1678" max="1678" width="11" style="89"/>
    <col min="1679" max="1679" width="11" style="89"/>
    <col min="1680" max="1680" width="11" style="89"/>
    <col min="1681" max="1681" width="11" style="89"/>
    <col min="1682" max="1682" width="11" style="89"/>
    <col min="1683" max="1683" width="11" style="89"/>
    <col min="1684" max="1684" width="11" style="89"/>
    <col min="1685" max="1685" width="11" style="89"/>
    <col min="1686" max="1686" width="11" style="89"/>
    <col min="1687" max="1687" width="11" style="89"/>
    <col min="1688" max="1688" width="11" style="89"/>
    <col min="1689" max="1689" width="11" style="89"/>
    <col min="1690" max="1690" width="11" style="89"/>
    <col min="1691" max="1691" width="11" style="89"/>
    <col min="1692" max="1692" width="11" style="89"/>
    <col min="1693" max="1693" width="11" style="89"/>
    <col min="1694" max="1694" width="11" style="89"/>
    <col min="1695" max="1695" width="11" style="89"/>
    <col min="1696" max="1696" width="11" style="89"/>
    <col min="1697" max="1697" width="11" style="89"/>
    <col min="1698" max="1698" width="11" style="89"/>
    <col min="1699" max="1699" width="11" style="89"/>
    <col min="1700" max="1700" width="11" style="89"/>
    <col min="1701" max="1701" width="11" style="89"/>
    <col min="1702" max="1702" width="11" style="89"/>
    <col min="1703" max="1703" width="11" style="89"/>
    <col min="1704" max="1704" width="11" style="89"/>
    <col min="1705" max="1705" width="11" style="89"/>
    <col min="1706" max="1706" width="11" style="89"/>
    <col min="1707" max="1707" width="11" style="89"/>
    <col min="1708" max="1708" width="11" style="89"/>
    <col min="1709" max="1709" width="11" style="89"/>
    <col min="1710" max="1710" width="11" style="89"/>
    <col min="1711" max="1711" width="11" style="89"/>
    <col min="1712" max="1712" width="11" style="89"/>
    <col min="1713" max="1713" width="11" style="89"/>
    <col min="1714" max="1714" width="11" style="89"/>
    <col min="1715" max="1715" width="11" style="89"/>
    <col min="1716" max="1716" width="11" style="89"/>
    <col min="1717" max="1717" width="11" style="89"/>
    <col min="1718" max="1718" width="11" style="89"/>
    <col min="1719" max="1719" width="11" style="89"/>
    <col min="1720" max="1720" width="11" style="89"/>
    <col min="1721" max="1721" width="11" style="89"/>
    <col min="1722" max="1722" width="11" style="89"/>
    <col min="1723" max="1723" width="11" style="89"/>
    <col min="1724" max="1724" width="11" style="89"/>
    <col min="1725" max="1725" width="11" style="89"/>
    <col min="1726" max="1726" width="11" style="89"/>
    <col min="1727" max="1727" width="11" style="89"/>
    <col min="1728" max="1728" width="11" style="89"/>
    <col min="1729" max="1729" width="11" style="89"/>
    <col min="1730" max="1730" width="11" style="89"/>
    <col min="1731" max="1731" width="11" style="89"/>
    <col min="1732" max="1732" width="11" style="89"/>
    <col min="1733" max="1733" width="11" style="89"/>
    <col min="1734" max="1734" width="11" style="89"/>
    <col min="1735" max="1735" width="11" style="89"/>
    <col min="1736" max="1736" width="11" style="89"/>
    <col min="1737" max="1737" width="11" style="89"/>
    <col min="1738" max="1738" width="11" style="89"/>
    <col min="1739" max="1739" width="11" style="89"/>
    <col min="1740" max="1740" width="11" style="89"/>
    <col min="1741" max="1741" width="11" style="89"/>
    <col min="1742" max="1742" width="11" style="89"/>
    <col min="1743" max="1743" width="11" style="89"/>
    <col min="1744" max="1744" width="11" style="89"/>
    <col min="1745" max="1745" width="11" style="89"/>
    <col min="1746" max="1746" width="11" style="89"/>
    <col min="1747" max="1747" width="11" style="89"/>
    <col min="1748" max="1748" width="11" style="89"/>
    <col min="1749" max="1749" width="11" style="89"/>
    <col min="1750" max="1750" width="11" style="89"/>
    <col min="1751" max="1751" width="11" style="89"/>
    <col min="1752" max="1752" width="11" style="89"/>
    <col min="1753" max="1753" width="11" style="89"/>
    <col min="1754" max="1754" width="11" style="89"/>
    <col min="1755" max="1755" width="11" style="89"/>
    <col min="1756" max="1756" width="11" style="89"/>
    <col min="1757" max="1757" width="11" style="89"/>
    <col min="1758" max="1758" width="11" style="89"/>
    <col min="1759" max="1759" width="11" style="89"/>
    <col min="1760" max="1760" width="11" style="89"/>
    <col min="1761" max="1761" width="11" style="89"/>
    <col min="1762" max="1762" width="11" style="89"/>
    <col min="1763" max="1763" width="11" style="89"/>
    <col min="1764" max="1764" width="11" style="89"/>
    <col min="1765" max="1765" width="11" style="89"/>
    <col min="1766" max="1766" width="11" style="89"/>
    <col min="1767" max="1767" width="11" style="89"/>
    <col min="1768" max="1768" width="11" style="89"/>
    <col min="1769" max="1769" width="11" style="89"/>
    <col min="1770" max="1770" width="11" style="89"/>
    <col min="1771" max="1771" width="11" style="89"/>
    <col min="1772" max="1772" width="11" style="89"/>
    <col min="1773" max="1773" width="11" style="89"/>
    <col min="1774" max="1774" width="11" style="89"/>
    <col min="1775" max="1775" width="11" style="89"/>
    <col min="1776" max="1776" width="11" style="89"/>
    <col min="1777" max="1777" width="11" style="89"/>
    <col min="1778" max="1778" width="11" style="89"/>
    <col min="1779" max="1779" width="11" style="89"/>
    <col min="1780" max="1780" width="11" style="89"/>
    <col min="1781" max="1781" width="11" style="89"/>
    <col min="1782" max="1782" width="11" style="89"/>
    <col min="1783" max="1783" width="11" style="89"/>
    <col min="1784" max="1784" width="11" style="89"/>
    <col min="1785" max="1785" width="11" style="89"/>
    <col min="1786" max="1786" width="11" style="89"/>
    <col min="1787" max="1787" width="11" style="89"/>
    <col min="1788" max="1788" width="11" style="89"/>
    <col min="1789" max="1789" width="11" style="89"/>
    <col min="1790" max="1790" width="11" style="89"/>
    <col min="1791" max="1791" width="11" style="89"/>
    <col min="1792" max="1792" width="11" style="89"/>
    <col min="1793" max="1793" width="10.140625" customWidth="true" style="89"/>
    <col min="1794" max="1794" width="10.140625" customWidth="true" style="89"/>
    <col min="1795" max="1795" width="10.140625" customWidth="true" style="89"/>
    <col min="1796" max="1796" width="10.140625" customWidth="true" style="89"/>
    <col min="1797" max="1797" width="10.140625" customWidth="true" style="89"/>
    <col min="1798" max="1798" width="10.140625" customWidth="true" style="89"/>
    <col min="1799" max="1799" width="10.140625" customWidth="true" style="89"/>
    <col min="1800" max="1800" width="10.140625" customWidth="true" style="89"/>
    <col min="1801" max="1801" width="10.140625" customWidth="true" style="89"/>
    <col min="1802" max="1802" width="11" style="89"/>
    <col min="1803" max="1803" width="11" style="89"/>
    <col min="1804" max="1804" width="11" style="89"/>
    <col min="1805" max="1805" width="11" style="89"/>
    <col min="1806" max="1806" width="11" style="89"/>
    <col min="1807" max="1807" width="11" style="89"/>
    <col min="1808" max="1808" width="11" style="89"/>
    <col min="1809" max="1809" width="11" style="89"/>
    <col min="1810" max="1810" width="11" style="89"/>
    <col min="1811" max="1811" width="11" style="89"/>
    <col min="1812" max="1812" width="11" style="89"/>
    <col min="1813" max="1813" width="11" style="89"/>
    <col min="1814" max="1814" width="11" style="89"/>
    <col min="1815" max="1815" width="11" style="89"/>
    <col min="1816" max="1816" width="11" style="89"/>
    <col min="1817" max="1817" width="11" style="89"/>
    <col min="1818" max="1818" width="11" style="89"/>
    <col min="1819" max="1819" width="11" style="89"/>
    <col min="1820" max="1820" width="11" style="89"/>
    <col min="1821" max="1821" width="11" style="89"/>
    <col min="1822" max="1822" width="11" style="89"/>
    <col min="1823" max="1823" width="11" style="89"/>
    <col min="1824" max="1824" width="11" style="89"/>
    <col min="1825" max="1825" width="11" style="89"/>
    <col min="1826" max="1826" width="11" style="89"/>
    <col min="1827" max="1827" width="11" style="89"/>
    <col min="1828" max="1828" width="11" style="89"/>
    <col min="1829" max="1829" width="11" style="89"/>
    <col min="1830" max="1830" width="11" style="89"/>
    <col min="1831" max="1831" width="11" style="89"/>
    <col min="1832" max="1832" width="11" style="89"/>
    <col min="1833" max="1833" width="11" style="89"/>
    <col min="1834" max="1834" width="11" style="89"/>
    <col min="1835" max="1835" width="11" style="89"/>
    <col min="1836" max="1836" width="11" style="89"/>
    <col min="1837" max="1837" width="11" style="89"/>
    <col min="1838" max="1838" width="11" style="89"/>
    <col min="1839" max="1839" width="11" style="89"/>
    <col min="1840" max="1840" width="11" style="89"/>
    <col min="1841" max="1841" width="11" style="89"/>
    <col min="1842" max="1842" width="11" style="89"/>
    <col min="1843" max="1843" width="11" style="89"/>
    <col min="1844" max="1844" width="11" style="89"/>
    <col min="1845" max="1845" width="11" style="89"/>
    <col min="1846" max="1846" width="11" style="89"/>
    <col min="1847" max="1847" width="11" style="89"/>
    <col min="1848" max="1848" width="11" style="89"/>
    <col min="1849" max="1849" width="11" style="89"/>
    <col min="1850" max="1850" width="11" style="89"/>
    <col min="1851" max="1851" width="11" style="89"/>
    <col min="1852" max="1852" width="11" style="89"/>
    <col min="1853" max="1853" width="11" style="89"/>
    <col min="1854" max="1854" width="11" style="89"/>
    <col min="1855" max="1855" width="11" style="89"/>
    <col min="1856" max="1856" width="11" style="89"/>
    <col min="1857" max="1857" width="11" style="89"/>
    <col min="1858" max="1858" width="11" style="89"/>
    <col min="1859" max="1859" width="11" style="89"/>
    <col min="1860" max="1860" width="11" style="89"/>
    <col min="1861" max="1861" width="11" style="89"/>
    <col min="1862" max="1862" width="11" style="89"/>
    <col min="1863" max="1863" width="11" style="89"/>
    <col min="1864" max="1864" width="11" style="89"/>
    <col min="1865" max="1865" width="11" style="89"/>
    <col min="1866" max="1866" width="11" style="89"/>
    <col min="1867" max="1867" width="11" style="89"/>
    <col min="1868" max="1868" width="11" style="89"/>
    <col min="1869" max="1869" width="11" style="89"/>
    <col min="1870" max="1870" width="11" style="89"/>
    <col min="1871" max="1871" width="11" style="89"/>
    <col min="1872" max="1872" width="11" style="89"/>
    <col min="1873" max="1873" width="11" style="89"/>
    <col min="1874" max="1874" width="11" style="89"/>
    <col min="1875" max="1875" width="11" style="89"/>
    <col min="1876" max="1876" width="11" style="89"/>
    <col min="1877" max="1877" width="11" style="89"/>
    <col min="1878" max="1878" width="11" style="89"/>
    <col min="1879" max="1879" width="11" style="89"/>
    <col min="1880" max="1880" width="11" style="89"/>
    <col min="1881" max="1881" width="11" style="89"/>
    <col min="1882" max="1882" width="11" style="89"/>
    <col min="1883" max="1883" width="11" style="89"/>
    <col min="1884" max="1884" width="11" style="89"/>
    <col min="1885" max="1885" width="11" style="89"/>
    <col min="1886" max="1886" width="11" style="89"/>
    <col min="1887" max="1887" width="11" style="89"/>
    <col min="1888" max="1888" width="11" style="89"/>
    <col min="1889" max="1889" width="11" style="89"/>
    <col min="1890" max="1890" width="11" style="89"/>
    <col min="1891" max="1891" width="11" style="89"/>
    <col min="1892" max="1892" width="11" style="89"/>
    <col min="1893" max="1893" width="11" style="89"/>
    <col min="1894" max="1894" width="11" style="89"/>
    <col min="1895" max="1895" width="11" style="89"/>
    <col min="1896" max="1896" width="11" style="89"/>
    <col min="1897" max="1897" width="11" style="89"/>
    <col min="1898" max="1898" width="11" style="89"/>
    <col min="1899" max="1899" width="11" style="89"/>
    <col min="1900" max="1900" width="11" style="89"/>
    <col min="1901" max="1901" width="11" style="89"/>
    <col min="1902" max="1902" width="11" style="89"/>
    <col min="1903" max="1903" width="11" style="89"/>
    <col min="1904" max="1904" width="11" style="89"/>
    <col min="1905" max="1905" width="11" style="89"/>
    <col min="1906" max="1906" width="11" style="89"/>
    <col min="1907" max="1907" width="11" style="89"/>
    <col min="1908" max="1908" width="11" style="89"/>
    <col min="1909" max="1909" width="11" style="89"/>
    <col min="1910" max="1910" width="11" style="89"/>
    <col min="1911" max="1911" width="11" style="89"/>
    <col min="1912" max="1912" width="11" style="89"/>
    <col min="1913" max="1913" width="11" style="89"/>
    <col min="1914" max="1914" width="11" style="89"/>
    <col min="1915" max="1915" width="11" style="89"/>
    <col min="1916" max="1916" width="11" style="89"/>
    <col min="1917" max="1917" width="11" style="89"/>
    <col min="1918" max="1918" width="11" style="89"/>
    <col min="1919" max="1919" width="11" style="89"/>
    <col min="1920" max="1920" width="11" style="89"/>
    <col min="1921" max="1921" width="11" style="89"/>
    <col min="1922" max="1922" width="11" style="89"/>
    <col min="1923" max="1923" width="11" style="89"/>
    <col min="1924" max="1924" width="11" style="89"/>
    <col min="1925" max="1925" width="11" style="89"/>
    <col min="1926" max="1926" width="11" style="89"/>
    <col min="1927" max="1927" width="11" style="89"/>
    <col min="1928" max="1928" width="11" style="89"/>
    <col min="1929" max="1929" width="11" style="89"/>
    <col min="1930" max="1930" width="11" style="89"/>
    <col min="1931" max="1931" width="11" style="89"/>
    <col min="1932" max="1932" width="11" style="89"/>
    <col min="1933" max="1933" width="11" style="89"/>
    <col min="1934" max="1934" width="11" style="89"/>
    <col min="1935" max="1935" width="11" style="89"/>
    <col min="1936" max="1936" width="11" style="89"/>
    <col min="1937" max="1937" width="11" style="89"/>
    <col min="1938" max="1938" width="11" style="89"/>
    <col min="1939" max="1939" width="11" style="89"/>
    <col min="1940" max="1940" width="11" style="89"/>
    <col min="1941" max="1941" width="11" style="89"/>
    <col min="1942" max="1942" width="11" style="89"/>
    <col min="1943" max="1943" width="11" style="89"/>
    <col min="1944" max="1944" width="11" style="89"/>
    <col min="1945" max="1945" width="11" style="89"/>
    <col min="1946" max="1946" width="11" style="89"/>
    <col min="1947" max="1947" width="11" style="89"/>
    <col min="1948" max="1948" width="11" style="89"/>
    <col min="1949" max="1949" width="11" style="89"/>
    <col min="1950" max="1950" width="11" style="89"/>
    <col min="1951" max="1951" width="11" style="89"/>
    <col min="1952" max="1952" width="11" style="89"/>
    <col min="1953" max="1953" width="11" style="89"/>
    <col min="1954" max="1954" width="11" style="89"/>
    <col min="1955" max="1955" width="11" style="89"/>
    <col min="1956" max="1956" width="11" style="89"/>
    <col min="1957" max="1957" width="11" style="89"/>
    <col min="1958" max="1958" width="11" style="89"/>
    <col min="1959" max="1959" width="11" style="89"/>
    <col min="1960" max="1960" width="11" style="89"/>
    <col min="1961" max="1961" width="11" style="89"/>
    <col min="1962" max="1962" width="11" style="89"/>
    <col min="1963" max="1963" width="11" style="89"/>
    <col min="1964" max="1964" width="11" style="89"/>
    <col min="1965" max="1965" width="11" style="89"/>
    <col min="1966" max="1966" width="11" style="89"/>
    <col min="1967" max="1967" width="11" style="89"/>
    <col min="1968" max="1968" width="11" style="89"/>
    <col min="1969" max="1969" width="11" style="89"/>
    <col min="1970" max="1970" width="11" style="89"/>
    <col min="1971" max="1971" width="11" style="89"/>
    <col min="1972" max="1972" width="11" style="89"/>
    <col min="1973" max="1973" width="11" style="89"/>
    <col min="1974" max="1974" width="11" style="89"/>
    <col min="1975" max="1975" width="11" style="89"/>
    <col min="1976" max="1976" width="11" style="89"/>
    <col min="1977" max="1977" width="11" style="89"/>
    <col min="1978" max="1978" width="11" style="89"/>
    <col min="1979" max="1979" width="11" style="89"/>
    <col min="1980" max="1980" width="11" style="89"/>
    <col min="1981" max="1981" width="11" style="89"/>
    <col min="1982" max="1982" width="11" style="89"/>
    <col min="1983" max="1983" width="11" style="89"/>
    <col min="1984" max="1984" width="11" style="89"/>
    <col min="1985" max="1985" width="11" style="89"/>
    <col min="1986" max="1986" width="11" style="89"/>
    <col min="1987" max="1987" width="11" style="89"/>
    <col min="1988" max="1988" width="11" style="89"/>
    <col min="1989" max="1989" width="11" style="89"/>
    <col min="1990" max="1990" width="11" style="89"/>
    <col min="1991" max="1991" width="11" style="89"/>
    <col min="1992" max="1992" width="11" style="89"/>
    <col min="1993" max="1993" width="11" style="89"/>
    <col min="1994" max="1994" width="11" style="89"/>
    <col min="1995" max="1995" width="11" style="89"/>
    <col min="1996" max="1996" width="11" style="89"/>
    <col min="1997" max="1997" width="11" style="89"/>
    <col min="1998" max="1998" width="11" style="89"/>
    <col min="1999" max="1999" width="11" style="89"/>
    <col min="2000" max="2000" width="11" style="89"/>
    <col min="2001" max="2001" width="11" style="89"/>
    <col min="2002" max="2002" width="11" style="89"/>
    <col min="2003" max="2003" width="11" style="89"/>
    <col min="2004" max="2004" width="11" style="89"/>
    <col min="2005" max="2005" width="11" style="89"/>
    <col min="2006" max="2006" width="11" style="89"/>
    <col min="2007" max="2007" width="11" style="89"/>
    <col min="2008" max="2008" width="11" style="89"/>
    <col min="2009" max="2009" width="11" style="89"/>
    <col min="2010" max="2010" width="11" style="89"/>
    <col min="2011" max="2011" width="11" style="89"/>
    <col min="2012" max="2012" width="11" style="89"/>
    <col min="2013" max="2013" width="11" style="89"/>
    <col min="2014" max="2014" width="11" style="89"/>
    <col min="2015" max="2015" width="11" style="89"/>
    <col min="2016" max="2016" width="11" style="89"/>
    <col min="2017" max="2017" width="11" style="89"/>
    <col min="2018" max="2018" width="11" style="89"/>
    <col min="2019" max="2019" width="11" style="89"/>
    <col min="2020" max="2020" width="11" style="89"/>
    <col min="2021" max="2021" width="11" style="89"/>
    <col min="2022" max="2022" width="11" style="89"/>
    <col min="2023" max="2023" width="11" style="89"/>
    <col min="2024" max="2024" width="11" style="89"/>
    <col min="2025" max="2025" width="11" style="89"/>
    <col min="2026" max="2026" width="11" style="89"/>
    <col min="2027" max="2027" width="11" style="89"/>
    <col min="2028" max="2028" width="11" style="89"/>
    <col min="2029" max="2029" width="11" style="89"/>
    <col min="2030" max="2030" width="11" style="89"/>
    <col min="2031" max="2031" width="11" style="89"/>
    <col min="2032" max="2032" width="11" style="89"/>
    <col min="2033" max="2033" width="11" style="89"/>
    <col min="2034" max="2034" width="11" style="89"/>
    <col min="2035" max="2035" width="11" style="89"/>
    <col min="2036" max="2036" width="11" style="89"/>
    <col min="2037" max="2037" width="11" style="89"/>
    <col min="2038" max="2038" width="11" style="89"/>
    <col min="2039" max="2039" width="11" style="89"/>
    <col min="2040" max="2040" width="11" style="89"/>
    <col min="2041" max="2041" width="11" style="89"/>
    <col min="2042" max="2042" width="11" style="89"/>
    <col min="2043" max="2043" width="11" style="89"/>
    <col min="2044" max="2044" width="11" style="89"/>
    <col min="2045" max="2045" width="11" style="89"/>
    <col min="2046" max="2046" width="11" style="89"/>
    <col min="2047" max="2047" width="11" style="89"/>
    <col min="2048" max="2048" width="11" style="89"/>
    <col min="2049" max="2049" width="10.140625" customWidth="true" style="89"/>
    <col min="2050" max="2050" width="10.140625" customWidth="true" style="89"/>
    <col min="2051" max="2051" width="10.140625" customWidth="true" style="89"/>
    <col min="2052" max="2052" width="10.140625" customWidth="true" style="89"/>
    <col min="2053" max="2053" width="10.140625" customWidth="true" style="89"/>
    <col min="2054" max="2054" width="10.140625" customWidth="true" style="89"/>
    <col min="2055" max="2055" width="10.140625" customWidth="true" style="89"/>
    <col min="2056" max="2056" width="10.140625" customWidth="true" style="89"/>
    <col min="2057" max="2057" width="10.140625" customWidth="true" style="89"/>
    <col min="2058" max="2058" width="11" style="89"/>
    <col min="2059" max="2059" width="11" style="89"/>
    <col min="2060" max="2060" width="11" style="89"/>
    <col min="2061" max="2061" width="11" style="89"/>
    <col min="2062" max="2062" width="11" style="89"/>
    <col min="2063" max="2063" width="11" style="89"/>
    <col min="2064" max="2064" width="11" style="89"/>
    <col min="2065" max="2065" width="11" style="89"/>
    <col min="2066" max="2066" width="11" style="89"/>
    <col min="2067" max="2067" width="11" style="89"/>
    <col min="2068" max="2068" width="11" style="89"/>
    <col min="2069" max="2069" width="11" style="89"/>
    <col min="2070" max="2070" width="11" style="89"/>
    <col min="2071" max="2071" width="11" style="89"/>
    <col min="2072" max="2072" width="11" style="89"/>
    <col min="2073" max="2073" width="11" style="89"/>
    <col min="2074" max="2074" width="11" style="89"/>
    <col min="2075" max="2075" width="11" style="89"/>
    <col min="2076" max="2076" width="11" style="89"/>
    <col min="2077" max="2077" width="11" style="89"/>
    <col min="2078" max="2078" width="11" style="89"/>
    <col min="2079" max="2079" width="11" style="89"/>
    <col min="2080" max="2080" width="11" style="89"/>
    <col min="2081" max="2081" width="11" style="89"/>
    <col min="2082" max="2082" width="11" style="89"/>
    <col min="2083" max="2083" width="11" style="89"/>
    <col min="2084" max="2084" width="11" style="89"/>
    <col min="2085" max="2085" width="11" style="89"/>
    <col min="2086" max="2086" width="11" style="89"/>
    <col min="2087" max="2087" width="11" style="89"/>
    <col min="2088" max="2088" width="11" style="89"/>
    <col min="2089" max="2089" width="11" style="89"/>
    <col min="2090" max="2090" width="11" style="89"/>
    <col min="2091" max="2091" width="11" style="89"/>
    <col min="2092" max="2092" width="11" style="89"/>
    <col min="2093" max="2093" width="11" style="89"/>
    <col min="2094" max="2094" width="11" style="89"/>
    <col min="2095" max="2095" width="11" style="89"/>
    <col min="2096" max="2096" width="11" style="89"/>
    <col min="2097" max="2097" width="11" style="89"/>
    <col min="2098" max="2098" width="11" style="89"/>
    <col min="2099" max="2099" width="11" style="89"/>
    <col min="2100" max="2100" width="11" style="89"/>
    <col min="2101" max="2101" width="11" style="89"/>
    <col min="2102" max="2102" width="11" style="89"/>
    <col min="2103" max="2103" width="11" style="89"/>
    <col min="2104" max="2104" width="11" style="89"/>
    <col min="2105" max="2105" width="11" style="89"/>
    <col min="2106" max="2106" width="11" style="89"/>
    <col min="2107" max="2107" width="11" style="89"/>
    <col min="2108" max="2108" width="11" style="89"/>
    <col min="2109" max="2109" width="11" style="89"/>
    <col min="2110" max="2110" width="11" style="89"/>
    <col min="2111" max="2111" width="11" style="89"/>
    <col min="2112" max="2112" width="11" style="89"/>
    <col min="2113" max="2113" width="11" style="89"/>
    <col min="2114" max="2114" width="11" style="89"/>
    <col min="2115" max="2115" width="11" style="89"/>
    <col min="2116" max="2116" width="11" style="89"/>
    <col min="2117" max="2117" width="11" style="89"/>
    <col min="2118" max="2118" width="11" style="89"/>
    <col min="2119" max="2119" width="11" style="89"/>
    <col min="2120" max="2120" width="11" style="89"/>
    <col min="2121" max="2121" width="11" style="89"/>
    <col min="2122" max="2122" width="11" style="89"/>
    <col min="2123" max="2123" width="11" style="89"/>
    <col min="2124" max="2124" width="11" style="89"/>
    <col min="2125" max="2125" width="11" style="89"/>
    <col min="2126" max="2126" width="11" style="89"/>
    <col min="2127" max="2127" width="11" style="89"/>
    <col min="2128" max="2128" width="11" style="89"/>
    <col min="2129" max="2129" width="11" style="89"/>
    <col min="2130" max="2130" width="11" style="89"/>
    <col min="2131" max="2131" width="11" style="89"/>
    <col min="2132" max="2132" width="11" style="89"/>
    <col min="2133" max="2133" width="11" style="89"/>
    <col min="2134" max="2134" width="11" style="89"/>
    <col min="2135" max="2135" width="11" style="89"/>
    <col min="2136" max="2136" width="11" style="89"/>
    <col min="2137" max="2137" width="11" style="89"/>
    <col min="2138" max="2138" width="11" style="89"/>
    <col min="2139" max="2139" width="11" style="89"/>
    <col min="2140" max="2140" width="11" style="89"/>
    <col min="2141" max="2141" width="11" style="89"/>
    <col min="2142" max="2142" width="11" style="89"/>
    <col min="2143" max="2143" width="11" style="89"/>
    <col min="2144" max="2144" width="11" style="89"/>
    <col min="2145" max="2145" width="11" style="89"/>
    <col min="2146" max="2146" width="11" style="89"/>
    <col min="2147" max="2147" width="11" style="89"/>
    <col min="2148" max="2148" width="11" style="89"/>
    <col min="2149" max="2149" width="11" style="89"/>
    <col min="2150" max="2150" width="11" style="89"/>
    <col min="2151" max="2151" width="11" style="89"/>
    <col min="2152" max="2152" width="11" style="89"/>
    <col min="2153" max="2153" width="11" style="89"/>
    <col min="2154" max="2154" width="11" style="89"/>
    <col min="2155" max="2155" width="11" style="89"/>
    <col min="2156" max="2156" width="11" style="89"/>
    <col min="2157" max="2157" width="11" style="89"/>
    <col min="2158" max="2158" width="11" style="89"/>
    <col min="2159" max="2159" width="11" style="89"/>
    <col min="2160" max="2160" width="11" style="89"/>
    <col min="2161" max="2161" width="11" style="89"/>
    <col min="2162" max="2162" width="11" style="89"/>
    <col min="2163" max="2163" width="11" style="89"/>
    <col min="2164" max="2164" width="11" style="89"/>
    <col min="2165" max="2165" width="11" style="89"/>
    <col min="2166" max="2166" width="11" style="89"/>
    <col min="2167" max="2167" width="11" style="89"/>
    <col min="2168" max="2168" width="11" style="89"/>
    <col min="2169" max="2169" width="11" style="89"/>
    <col min="2170" max="2170" width="11" style="89"/>
    <col min="2171" max="2171" width="11" style="89"/>
    <col min="2172" max="2172" width="11" style="89"/>
    <col min="2173" max="2173" width="11" style="89"/>
    <col min="2174" max="2174" width="11" style="89"/>
    <col min="2175" max="2175" width="11" style="89"/>
    <col min="2176" max="2176" width="11" style="89"/>
    <col min="2177" max="2177" width="11" style="89"/>
    <col min="2178" max="2178" width="11" style="89"/>
    <col min="2179" max="2179" width="11" style="89"/>
    <col min="2180" max="2180" width="11" style="89"/>
    <col min="2181" max="2181" width="11" style="89"/>
    <col min="2182" max="2182" width="11" style="89"/>
    <col min="2183" max="2183" width="11" style="89"/>
    <col min="2184" max="2184" width="11" style="89"/>
    <col min="2185" max="2185" width="11" style="89"/>
    <col min="2186" max="2186" width="11" style="89"/>
    <col min="2187" max="2187" width="11" style="89"/>
    <col min="2188" max="2188" width="11" style="89"/>
    <col min="2189" max="2189" width="11" style="89"/>
    <col min="2190" max="2190" width="11" style="89"/>
    <col min="2191" max="2191" width="11" style="89"/>
    <col min="2192" max="2192" width="11" style="89"/>
    <col min="2193" max="2193" width="11" style="89"/>
    <col min="2194" max="2194" width="11" style="89"/>
    <col min="2195" max="2195" width="11" style="89"/>
    <col min="2196" max="2196" width="11" style="89"/>
    <col min="2197" max="2197" width="11" style="89"/>
    <col min="2198" max="2198" width="11" style="89"/>
    <col min="2199" max="2199" width="11" style="89"/>
    <col min="2200" max="2200" width="11" style="89"/>
    <col min="2201" max="2201" width="11" style="89"/>
    <col min="2202" max="2202" width="11" style="89"/>
    <col min="2203" max="2203" width="11" style="89"/>
    <col min="2204" max="2204" width="11" style="89"/>
    <col min="2205" max="2205" width="11" style="89"/>
    <col min="2206" max="2206" width="11" style="89"/>
    <col min="2207" max="2207" width="11" style="89"/>
    <col min="2208" max="2208" width="11" style="89"/>
    <col min="2209" max="2209" width="11" style="89"/>
    <col min="2210" max="2210" width="11" style="89"/>
    <col min="2211" max="2211" width="11" style="89"/>
    <col min="2212" max="2212" width="11" style="89"/>
    <col min="2213" max="2213" width="11" style="89"/>
    <col min="2214" max="2214" width="11" style="89"/>
    <col min="2215" max="2215" width="11" style="89"/>
    <col min="2216" max="2216" width="11" style="89"/>
    <col min="2217" max="2217" width="11" style="89"/>
    <col min="2218" max="2218" width="11" style="89"/>
    <col min="2219" max="2219" width="11" style="89"/>
    <col min="2220" max="2220" width="11" style="89"/>
    <col min="2221" max="2221" width="11" style="89"/>
    <col min="2222" max="2222" width="11" style="89"/>
    <col min="2223" max="2223" width="11" style="89"/>
    <col min="2224" max="2224" width="11" style="89"/>
    <col min="2225" max="2225" width="11" style="89"/>
    <col min="2226" max="2226" width="11" style="89"/>
    <col min="2227" max="2227" width="11" style="89"/>
    <col min="2228" max="2228" width="11" style="89"/>
    <col min="2229" max="2229" width="11" style="89"/>
    <col min="2230" max="2230" width="11" style="89"/>
    <col min="2231" max="2231" width="11" style="89"/>
    <col min="2232" max="2232" width="11" style="89"/>
    <col min="2233" max="2233" width="11" style="89"/>
    <col min="2234" max="2234" width="11" style="89"/>
    <col min="2235" max="2235" width="11" style="89"/>
    <col min="2236" max="2236" width="11" style="89"/>
    <col min="2237" max="2237" width="11" style="89"/>
    <col min="2238" max="2238" width="11" style="89"/>
    <col min="2239" max="2239" width="11" style="89"/>
    <col min="2240" max="2240" width="11" style="89"/>
    <col min="2241" max="2241" width="11" style="89"/>
    <col min="2242" max="2242" width="11" style="89"/>
    <col min="2243" max="2243" width="11" style="89"/>
    <col min="2244" max="2244" width="11" style="89"/>
    <col min="2245" max="2245" width="11" style="89"/>
    <col min="2246" max="2246" width="11" style="89"/>
    <col min="2247" max="2247" width="11" style="89"/>
    <col min="2248" max="2248" width="11" style="89"/>
    <col min="2249" max="2249" width="11" style="89"/>
    <col min="2250" max="2250" width="11" style="89"/>
    <col min="2251" max="2251" width="11" style="89"/>
    <col min="2252" max="2252" width="11" style="89"/>
    <col min="2253" max="2253" width="11" style="89"/>
    <col min="2254" max="2254" width="11" style="89"/>
    <col min="2255" max="2255" width="11" style="89"/>
    <col min="2256" max="2256" width="11" style="89"/>
    <col min="2257" max="2257" width="11" style="89"/>
    <col min="2258" max="2258" width="11" style="89"/>
    <col min="2259" max="2259" width="11" style="89"/>
    <col min="2260" max="2260" width="11" style="89"/>
    <col min="2261" max="2261" width="11" style="89"/>
    <col min="2262" max="2262" width="11" style="89"/>
    <col min="2263" max="2263" width="11" style="89"/>
    <col min="2264" max="2264" width="11" style="89"/>
    <col min="2265" max="2265" width="11" style="89"/>
    <col min="2266" max="2266" width="11" style="89"/>
    <col min="2267" max="2267" width="11" style="89"/>
    <col min="2268" max="2268" width="11" style="89"/>
    <col min="2269" max="2269" width="11" style="89"/>
    <col min="2270" max="2270" width="11" style="89"/>
    <col min="2271" max="2271" width="11" style="89"/>
    <col min="2272" max="2272" width="11" style="89"/>
    <col min="2273" max="2273" width="11" style="89"/>
    <col min="2274" max="2274" width="11" style="89"/>
    <col min="2275" max="2275" width="11" style="89"/>
    <col min="2276" max="2276" width="11" style="89"/>
    <col min="2277" max="2277" width="11" style="89"/>
    <col min="2278" max="2278" width="11" style="89"/>
    <col min="2279" max="2279" width="11" style="89"/>
    <col min="2280" max="2280" width="11" style="89"/>
    <col min="2281" max="2281" width="11" style="89"/>
    <col min="2282" max="2282" width="11" style="89"/>
    <col min="2283" max="2283" width="11" style="89"/>
    <col min="2284" max="2284" width="11" style="89"/>
    <col min="2285" max="2285" width="11" style="89"/>
    <col min="2286" max="2286" width="11" style="89"/>
    <col min="2287" max="2287" width="11" style="89"/>
    <col min="2288" max="2288" width="11" style="89"/>
    <col min="2289" max="2289" width="11" style="89"/>
    <col min="2290" max="2290" width="11" style="89"/>
    <col min="2291" max="2291" width="11" style="89"/>
    <col min="2292" max="2292" width="11" style="89"/>
    <col min="2293" max="2293" width="11" style="89"/>
    <col min="2294" max="2294" width="11" style="89"/>
    <col min="2295" max="2295" width="11" style="89"/>
    <col min="2296" max="2296" width="11" style="89"/>
    <col min="2297" max="2297" width="11" style="89"/>
    <col min="2298" max="2298" width="11" style="89"/>
    <col min="2299" max="2299" width="11" style="89"/>
    <col min="2300" max="2300" width="11" style="89"/>
    <col min="2301" max="2301" width="11" style="89"/>
    <col min="2302" max="2302" width="11" style="89"/>
    <col min="2303" max="2303" width="11" style="89"/>
    <col min="2304" max="2304" width="11" style="89"/>
    <col min="2305" max="2305" width="10.140625" customWidth="true" style="89"/>
    <col min="2306" max="2306" width="10.140625" customWidth="true" style="89"/>
    <col min="2307" max="2307" width="10.140625" customWidth="true" style="89"/>
    <col min="2308" max="2308" width="10.140625" customWidth="true" style="89"/>
    <col min="2309" max="2309" width="10.140625" customWidth="true" style="89"/>
    <col min="2310" max="2310" width="10.140625" customWidth="true" style="89"/>
    <col min="2311" max="2311" width="10.140625" customWidth="true" style="89"/>
    <col min="2312" max="2312" width="10.140625" customWidth="true" style="89"/>
    <col min="2313" max="2313" width="10.140625" customWidth="true" style="89"/>
    <col min="2314" max="2314" width="11" style="89"/>
    <col min="2315" max="2315" width="11" style="89"/>
    <col min="2316" max="2316" width="11" style="89"/>
    <col min="2317" max="2317" width="11" style="89"/>
    <col min="2318" max="2318" width="11" style="89"/>
    <col min="2319" max="2319" width="11" style="89"/>
    <col min="2320" max="2320" width="11" style="89"/>
    <col min="2321" max="2321" width="11" style="89"/>
    <col min="2322" max="2322" width="11" style="89"/>
    <col min="2323" max="2323" width="11" style="89"/>
    <col min="2324" max="2324" width="11" style="89"/>
    <col min="2325" max="2325" width="11" style="89"/>
    <col min="2326" max="2326" width="11" style="89"/>
    <col min="2327" max="2327" width="11" style="89"/>
    <col min="2328" max="2328" width="11" style="89"/>
    <col min="2329" max="2329" width="11" style="89"/>
    <col min="2330" max="2330" width="11" style="89"/>
    <col min="2331" max="2331" width="11" style="89"/>
    <col min="2332" max="2332" width="11" style="89"/>
    <col min="2333" max="2333" width="11" style="89"/>
    <col min="2334" max="2334" width="11" style="89"/>
    <col min="2335" max="2335" width="11" style="89"/>
    <col min="2336" max="2336" width="11" style="89"/>
    <col min="2337" max="2337" width="11" style="89"/>
    <col min="2338" max="2338" width="11" style="89"/>
    <col min="2339" max="2339" width="11" style="89"/>
    <col min="2340" max="2340" width="11" style="89"/>
    <col min="2341" max="2341" width="11" style="89"/>
    <col min="2342" max="2342" width="11" style="89"/>
    <col min="2343" max="2343" width="11" style="89"/>
    <col min="2344" max="2344" width="11" style="89"/>
    <col min="2345" max="2345" width="11" style="89"/>
    <col min="2346" max="2346" width="11" style="89"/>
    <col min="2347" max="2347" width="11" style="89"/>
    <col min="2348" max="2348" width="11" style="89"/>
    <col min="2349" max="2349" width="11" style="89"/>
    <col min="2350" max="2350" width="11" style="89"/>
    <col min="2351" max="2351" width="11" style="89"/>
    <col min="2352" max="2352" width="11" style="89"/>
    <col min="2353" max="2353" width="11" style="89"/>
    <col min="2354" max="2354" width="11" style="89"/>
    <col min="2355" max="2355" width="11" style="89"/>
    <col min="2356" max="2356" width="11" style="89"/>
    <col min="2357" max="2357" width="11" style="89"/>
    <col min="2358" max="2358" width="11" style="89"/>
    <col min="2359" max="2359" width="11" style="89"/>
    <col min="2360" max="2360" width="11" style="89"/>
    <col min="2361" max="2361" width="11" style="89"/>
    <col min="2362" max="2362" width="11" style="89"/>
    <col min="2363" max="2363" width="11" style="89"/>
    <col min="2364" max="2364" width="11" style="89"/>
    <col min="2365" max="2365" width="11" style="89"/>
    <col min="2366" max="2366" width="11" style="89"/>
    <col min="2367" max="2367" width="11" style="89"/>
    <col min="2368" max="2368" width="11" style="89"/>
    <col min="2369" max="2369" width="11" style="89"/>
    <col min="2370" max="2370" width="11" style="89"/>
    <col min="2371" max="2371" width="11" style="89"/>
    <col min="2372" max="2372" width="11" style="89"/>
    <col min="2373" max="2373" width="11" style="89"/>
    <col min="2374" max="2374" width="11" style="89"/>
    <col min="2375" max="2375" width="11" style="89"/>
    <col min="2376" max="2376" width="11" style="89"/>
    <col min="2377" max="2377" width="11" style="89"/>
    <col min="2378" max="2378" width="11" style="89"/>
    <col min="2379" max="2379" width="11" style="89"/>
    <col min="2380" max="2380" width="11" style="89"/>
    <col min="2381" max="2381" width="11" style="89"/>
    <col min="2382" max="2382" width="11" style="89"/>
    <col min="2383" max="2383" width="11" style="89"/>
    <col min="2384" max="2384" width="11" style="89"/>
    <col min="2385" max="2385" width="11" style="89"/>
    <col min="2386" max="2386" width="11" style="89"/>
    <col min="2387" max="2387" width="11" style="89"/>
    <col min="2388" max="2388" width="11" style="89"/>
    <col min="2389" max="2389" width="11" style="89"/>
    <col min="2390" max="2390" width="11" style="89"/>
    <col min="2391" max="2391" width="11" style="89"/>
    <col min="2392" max="2392" width="11" style="89"/>
    <col min="2393" max="2393" width="11" style="89"/>
    <col min="2394" max="2394" width="11" style="89"/>
    <col min="2395" max="2395" width="11" style="89"/>
    <col min="2396" max="2396" width="11" style="89"/>
    <col min="2397" max="2397" width="11" style="89"/>
    <col min="2398" max="2398" width="11" style="89"/>
    <col min="2399" max="2399" width="11" style="89"/>
    <col min="2400" max="2400" width="11" style="89"/>
    <col min="2401" max="2401" width="11" style="89"/>
    <col min="2402" max="2402" width="11" style="89"/>
    <col min="2403" max="2403" width="11" style="89"/>
    <col min="2404" max="2404" width="11" style="89"/>
    <col min="2405" max="2405" width="11" style="89"/>
    <col min="2406" max="2406" width="11" style="89"/>
    <col min="2407" max="2407" width="11" style="89"/>
    <col min="2408" max="2408" width="11" style="89"/>
    <col min="2409" max="2409" width="11" style="89"/>
    <col min="2410" max="2410" width="11" style="89"/>
    <col min="2411" max="2411" width="11" style="89"/>
    <col min="2412" max="2412" width="11" style="89"/>
    <col min="2413" max="2413" width="11" style="89"/>
    <col min="2414" max="2414" width="11" style="89"/>
    <col min="2415" max="2415" width="11" style="89"/>
    <col min="2416" max="2416" width="11" style="89"/>
    <col min="2417" max="2417" width="11" style="89"/>
    <col min="2418" max="2418" width="11" style="89"/>
    <col min="2419" max="2419" width="11" style="89"/>
    <col min="2420" max="2420" width="11" style="89"/>
    <col min="2421" max="2421" width="11" style="89"/>
    <col min="2422" max="2422" width="11" style="89"/>
    <col min="2423" max="2423" width="11" style="89"/>
    <col min="2424" max="2424" width="11" style="89"/>
    <col min="2425" max="2425" width="11" style="89"/>
    <col min="2426" max="2426" width="11" style="89"/>
    <col min="2427" max="2427" width="11" style="89"/>
    <col min="2428" max="2428" width="11" style="89"/>
    <col min="2429" max="2429" width="11" style="89"/>
    <col min="2430" max="2430" width="11" style="89"/>
    <col min="2431" max="2431" width="11" style="89"/>
    <col min="2432" max="2432" width="11" style="89"/>
    <col min="2433" max="2433" width="11" style="89"/>
    <col min="2434" max="2434" width="11" style="89"/>
    <col min="2435" max="2435" width="11" style="89"/>
    <col min="2436" max="2436" width="11" style="89"/>
    <col min="2437" max="2437" width="11" style="89"/>
    <col min="2438" max="2438" width="11" style="89"/>
    <col min="2439" max="2439" width="11" style="89"/>
    <col min="2440" max="2440" width="11" style="89"/>
    <col min="2441" max="2441" width="11" style="89"/>
    <col min="2442" max="2442" width="11" style="89"/>
    <col min="2443" max="2443" width="11" style="89"/>
    <col min="2444" max="2444" width="11" style="89"/>
    <col min="2445" max="2445" width="11" style="89"/>
    <col min="2446" max="2446" width="11" style="89"/>
    <col min="2447" max="2447" width="11" style="89"/>
    <col min="2448" max="2448" width="11" style="89"/>
    <col min="2449" max="2449" width="11" style="89"/>
    <col min="2450" max="2450" width="11" style="89"/>
    <col min="2451" max="2451" width="11" style="89"/>
    <col min="2452" max="2452" width="11" style="89"/>
    <col min="2453" max="2453" width="11" style="89"/>
    <col min="2454" max="2454" width="11" style="89"/>
    <col min="2455" max="2455" width="11" style="89"/>
    <col min="2456" max="2456" width="11" style="89"/>
    <col min="2457" max="2457" width="11" style="89"/>
    <col min="2458" max="2458" width="11" style="89"/>
    <col min="2459" max="2459" width="11" style="89"/>
    <col min="2460" max="2460" width="11" style="89"/>
    <col min="2461" max="2461" width="11" style="89"/>
    <col min="2462" max="2462" width="11" style="89"/>
    <col min="2463" max="2463" width="11" style="89"/>
    <col min="2464" max="2464" width="11" style="89"/>
    <col min="2465" max="2465" width="11" style="89"/>
    <col min="2466" max="2466" width="11" style="89"/>
    <col min="2467" max="2467" width="11" style="89"/>
    <col min="2468" max="2468" width="11" style="89"/>
    <col min="2469" max="2469" width="11" style="89"/>
    <col min="2470" max="2470" width="11" style="89"/>
    <col min="2471" max="2471" width="11" style="89"/>
    <col min="2472" max="2472" width="11" style="89"/>
    <col min="2473" max="2473" width="11" style="89"/>
    <col min="2474" max="2474" width="11" style="89"/>
    <col min="2475" max="2475" width="11" style="89"/>
    <col min="2476" max="2476" width="11" style="89"/>
    <col min="2477" max="2477" width="11" style="89"/>
    <col min="2478" max="2478" width="11" style="89"/>
    <col min="2479" max="2479" width="11" style="89"/>
    <col min="2480" max="2480" width="11" style="89"/>
    <col min="2481" max="2481" width="11" style="89"/>
    <col min="2482" max="2482" width="11" style="89"/>
    <col min="2483" max="2483" width="11" style="89"/>
    <col min="2484" max="2484" width="11" style="89"/>
    <col min="2485" max="2485" width="11" style="89"/>
    <col min="2486" max="2486" width="11" style="89"/>
    <col min="2487" max="2487" width="11" style="89"/>
    <col min="2488" max="2488" width="11" style="89"/>
    <col min="2489" max="2489" width="11" style="89"/>
    <col min="2490" max="2490" width="11" style="89"/>
    <col min="2491" max="2491" width="11" style="89"/>
    <col min="2492" max="2492" width="11" style="89"/>
    <col min="2493" max="2493" width="11" style="89"/>
    <col min="2494" max="2494" width="11" style="89"/>
    <col min="2495" max="2495" width="11" style="89"/>
    <col min="2496" max="2496" width="11" style="89"/>
    <col min="2497" max="2497" width="11" style="89"/>
    <col min="2498" max="2498" width="11" style="89"/>
    <col min="2499" max="2499" width="11" style="89"/>
    <col min="2500" max="2500" width="11" style="89"/>
    <col min="2501" max="2501" width="11" style="89"/>
    <col min="2502" max="2502" width="11" style="89"/>
    <col min="2503" max="2503" width="11" style="89"/>
    <col min="2504" max="2504" width="11" style="89"/>
    <col min="2505" max="2505" width="11" style="89"/>
    <col min="2506" max="2506" width="11" style="89"/>
    <col min="2507" max="2507" width="11" style="89"/>
    <col min="2508" max="2508" width="11" style="89"/>
    <col min="2509" max="2509" width="11" style="89"/>
    <col min="2510" max="2510" width="11" style="89"/>
    <col min="2511" max="2511" width="11" style="89"/>
    <col min="2512" max="2512" width="11" style="89"/>
    <col min="2513" max="2513" width="11" style="89"/>
    <col min="2514" max="2514" width="11" style="89"/>
    <col min="2515" max="2515" width="11" style="89"/>
    <col min="2516" max="2516" width="11" style="89"/>
    <col min="2517" max="2517" width="11" style="89"/>
    <col min="2518" max="2518" width="11" style="89"/>
    <col min="2519" max="2519" width="11" style="89"/>
    <col min="2520" max="2520" width="11" style="89"/>
    <col min="2521" max="2521" width="11" style="89"/>
    <col min="2522" max="2522" width="11" style="89"/>
    <col min="2523" max="2523" width="11" style="89"/>
    <col min="2524" max="2524" width="11" style="89"/>
    <col min="2525" max="2525" width="11" style="89"/>
    <col min="2526" max="2526" width="11" style="89"/>
    <col min="2527" max="2527" width="11" style="89"/>
    <col min="2528" max="2528" width="11" style="89"/>
    <col min="2529" max="2529" width="11" style="89"/>
    <col min="2530" max="2530" width="11" style="89"/>
    <col min="2531" max="2531" width="11" style="89"/>
    <col min="2532" max="2532" width="11" style="89"/>
    <col min="2533" max="2533" width="11" style="89"/>
    <col min="2534" max="2534" width="11" style="89"/>
    <col min="2535" max="2535" width="11" style="89"/>
    <col min="2536" max="2536" width="11" style="89"/>
    <col min="2537" max="2537" width="11" style="89"/>
    <col min="2538" max="2538" width="11" style="89"/>
    <col min="2539" max="2539" width="11" style="89"/>
    <col min="2540" max="2540" width="11" style="89"/>
    <col min="2541" max="2541" width="11" style="89"/>
    <col min="2542" max="2542" width="11" style="89"/>
    <col min="2543" max="2543" width="11" style="89"/>
    <col min="2544" max="2544" width="11" style="89"/>
    <col min="2545" max="2545" width="11" style="89"/>
    <col min="2546" max="2546" width="11" style="89"/>
    <col min="2547" max="2547" width="11" style="89"/>
    <col min="2548" max="2548" width="11" style="89"/>
    <col min="2549" max="2549" width="11" style="89"/>
    <col min="2550" max="2550" width="11" style="89"/>
    <col min="2551" max="2551" width="11" style="89"/>
    <col min="2552" max="2552" width="11" style="89"/>
    <col min="2553" max="2553" width="11" style="89"/>
    <col min="2554" max="2554" width="11" style="89"/>
    <col min="2555" max="2555" width="11" style="89"/>
    <col min="2556" max="2556" width="11" style="89"/>
    <col min="2557" max="2557" width="11" style="89"/>
    <col min="2558" max="2558" width="11" style="89"/>
    <col min="2559" max="2559" width="11" style="89"/>
    <col min="2560" max="2560" width="11" style="89"/>
    <col min="2561" max="2561" width="10.140625" customWidth="true" style="89"/>
    <col min="2562" max="2562" width="10.140625" customWidth="true" style="89"/>
    <col min="2563" max="2563" width="10.140625" customWidth="true" style="89"/>
    <col min="2564" max="2564" width="10.140625" customWidth="true" style="89"/>
    <col min="2565" max="2565" width="10.140625" customWidth="true" style="89"/>
    <col min="2566" max="2566" width="10.140625" customWidth="true" style="89"/>
    <col min="2567" max="2567" width="10.140625" customWidth="true" style="89"/>
    <col min="2568" max="2568" width="10.140625" customWidth="true" style="89"/>
    <col min="2569" max="2569" width="10.140625" customWidth="true" style="89"/>
    <col min="2570" max="2570" width="11" style="89"/>
    <col min="2571" max="2571" width="11" style="89"/>
    <col min="2572" max="2572" width="11" style="89"/>
    <col min="2573" max="2573" width="11" style="89"/>
    <col min="2574" max="2574" width="11" style="89"/>
    <col min="2575" max="2575" width="11" style="89"/>
    <col min="2576" max="2576" width="11" style="89"/>
    <col min="2577" max="2577" width="11" style="89"/>
    <col min="2578" max="2578" width="11" style="89"/>
    <col min="2579" max="2579" width="11" style="89"/>
    <col min="2580" max="2580" width="11" style="89"/>
    <col min="2581" max="2581" width="11" style="89"/>
    <col min="2582" max="2582" width="11" style="89"/>
    <col min="2583" max="2583" width="11" style="89"/>
    <col min="2584" max="2584" width="11" style="89"/>
    <col min="2585" max="2585" width="11" style="89"/>
    <col min="2586" max="2586" width="11" style="89"/>
    <col min="2587" max="2587" width="11" style="89"/>
    <col min="2588" max="2588" width="11" style="89"/>
    <col min="2589" max="2589" width="11" style="89"/>
    <col min="2590" max="2590" width="11" style="89"/>
    <col min="2591" max="2591" width="11" style="89"/>
    <col min="2592" max="2592" width="11" style="89"/>
    <col min="2593" max="2593" width="11" style="89"/>
    <col min="2594" max="2594" width="11" style="89"/>
    <col min="2595" max="2595" width="11" style="89"/>
    <col min="2596" max="2596" width="11" style="89"/>
    <col min="2597" max="2597" width="11" style="89"/>
    <col min="2598" max="2598" width="11" style="89"/>
    <col min="2599" max="2599" width="11" style="89"/>
    <col min="2600" max="2600" width="11" style="89"/>
    <col min="2601" max="2601" width="11" style="89"/>
    <col min="2602" max="2602" width="11" style="89"/>
    <col min="2603" max="2603" width="11" style="89"/>
    <col min="2604" max="2604" width="11" style="89"/>
    <col min="2605" max="2605" width="11" style="89"/>
    <col min="2606" max="2606" width="11" style="89"/>
    <col min="2607" max="2607" width="11" style="89"/>
    <col min="2608" max="2608" width="11" style="89"/>
    <col min="2609" max="2609" width="11" style="89"/>
    <col min="2610" max="2610" width="11" style="89"/>
    <col min="2611" max="2611" width="11" style="89"/>
    <col min="2612" max="2612" width="11" style="89"/>
    <col min="2613" max="2613" width="11" style="89"/>
    <col min="2614" max="2614" width="11" style="89"/>
    <col min="2615" max="2615" width="11" style="89"/>
    <col min="2616" max="2616" width="11" style="89"/>
    <col min="2617" max="2617" width="11" style="89"/>
    <col min="2618" max="2618" width="11" style="89"/>
    <col min="2619" max="2619" width="11" style="89"/>
    <col min="2620" max="2620" width="11" style="89"/>
    <col min="2621" max="2621" width="11" style="89"/>
    <col min="2622" max="2622" width="11" style="89"/>
    <col min="2623" max="2623" width="11" style="89"/>
    <col min="2624" max="2624" width="11" style="89"/>
    <col min="2625" max="2625" width="11" style="89"/>
    <col min="2626" max="2626" width="11" style="89"/>
    <col min="2627" max="2627" width="11" style="89"/>
    <col min="2628" max="2628" width="11" style="89"/>
    <col min="2629" max="2629" width="11" style="89"/>
    <col min="2630" max="2630" width="11" style="89"/>
    <col min="2631" max="2631" width="11" style="89"/>
    <col min="2632" max="2632" width="11" style="89"/>
    <col min="2633" max="2633" width="11" style="89"/>
    <col min="2634" max="2634" width="11" style="89"/>
    <col min="2635" max="2635" width="11" style="89"/>
    <col min="2636" max="2636" width="11" style="89"/>
    <col min="2637" max="2637" width="11" style="89"/>
    <col min="2638" max="2638" width="11" style="89"/>
    <col min="2639" max="2639" width="11" style="89"/>
    <col min="2640" max="2640" width="11" style="89"/>
    <col min="2641" max="2641" width="11" style="89"/>
    <col min="2642" max="2642" width="11" style="89"/>
    <col min="2643" max="2643" width="11" style="89"/>
    <col min="2644" max="2644" width="11" style="89"/>
    <col min="2645" max="2645" width="11" style="89"/>
    <col min="2646" max="2646" width="11" style="89"/>
    <col min="2647" max="2647" width="11" style="89"/>
    <col min="2648" max="2648" width="11" style="89"/>
    <col min="2649" max="2649" width="11" style="89"/>
    <col min="2650" max="2650" width="11" style="89"/>
    <col min="2651" max="2651" width="11" style="89"/>
    <col min="2652" max="2652" width="11" style="89"/>
    <col min="2653" max="2653" width="11" style="89"/>
    <col min="2654" max="2654" width="11" style="89"/>
    <col min="2655" max="2655" width="11" style="89"/>
    <col min="2656" max="2656" width="11" style="89"/>
    <col min="2657" max="2657" width="11" style="89"/>
    <col min="2658" max="2658" width="11" style="89"/>
    <col min="2659" max="2659" width="11" style="89"/>
    <col min="2660" max="2660" width="11" style="89"/>
    <col min="2661" max="2661" width="11" style="89"/>
    <col min="2662" max="2662" width="11" style="89"/>
    <col min="2663" max="2663" width="11" style="89"/>
    <col min="2664" max="2664" width="11" style="89"/>
    <col min="2665" max="2665" width="11" style="89"/>
    <col min="2666" max="2666" width="11" style="89"/>
    <col min="2667" max="2667" width="11" style="89"/>
    <col min="2668" max="2668" width="11" style="89"/>
    <col min="2669" max="2669" width="11" style="89"/>
    <col min="2670" max="2670" width="11" style="89"/>
    <col min="2671" max="2671" width="11" style="89"/>
    <col min="2672" max="2672" width="11" style="89"/>
    <col min="2673" max="2673" width="11" style="89"/>
    <col min="2674" max="2674" width="11" style="89"/>
    <col min="2675" max="2675" width="11" style="89"/>
    <col min="2676" max="2676" width="11" style="89"/>
    <col min="2677" max="2677" width="11" style="89"/>
    <col min="2678" max="2678" width="11" style="89"/>
    <col min="2679" max="2679" width="11" style="89"/>
    <col min="2680" max="2680" width="11" style="89"/>
    <col min="2681" max="2681" width="11" style="89"/>
    <col min="2682" max="2682" width="11" style="89"/>
    <col min="2683" max="2683" width="11" style="89"/>
    <col min="2684" max="2684" width="11" style="89"/>
    <col min="2685" max="2685" width="11" style="89"/>
    <col min="2686" max="2686" width="11" style="89"/>
    <col min="2687" max="2687" width="11" style="89"/>
    <col min="2688" max="2688" width="11" style="89"/>
    <col min="2689" max="2689" width="11" style="89"/>
    <col min="2690" max="2690" width="11" style="89"/>
    <col min="2691" max="2691" width="11" style="89"/>
    <col min="2692" max="2692" width="11" style="89"/>
    <col min="2693" max="2693" width="11" style="89"/>
    <col min="2694" max="2694" width="11" style="89"/>
    <col min="2695" max="2695" width="11" style="89"/>
    <col min="2696" max="2696" width="11" style="89"/>
    <col min="2697" max="2697" width="11" style="89"/>
    <col min="2698" max="2698" width="11" style="89"/>
    <col min="2699" max="2699" width="11" style="89"/>
    <col min="2700" max="2700" width="11" style="89"/>
    <col min="2701" max="2701" width="11" style="89"/>
    <col min="2702" max="2702" width="11" style="89"/>
    <col min="2703" max="2703" width="11" style="89"/>
    <col min="2704" max="2704" width="11" style="89"/>
    <col min="2705" max="2705" width="11" style="89"/>
    <col min="2706" max="2706" width="11" style="89"/>
    <col min="2707" max="2707" width="11" style="89"/>
    <col min="2708" max="2708" width="11" style="89"/>
    <col min="2709" max="2709" width="11" style="89"/>
    <col min="2710" max="2710" width="11" style="89"/>
    <col min="2711" max="2711" width="11" style="89"/>
    <col min="2712" max="2712" width="11" style="89"/>
    <col min="2713" max="2713" width="11" style="89"/>
    <col min="2714" max="2714" width="11" style="89"/>
    <col min="2715" max="2715" width="11" style="89"/>
    <col min="2716" max="2716" width="11" style="89"/>
    <col min="2717" max="2717" width="11" style="89"/>
    <col min="2718" max="2718" width="11" style="89"/>
    <col min="2719" max="2719" width="11" style="89"/>
    <col min="2720" max="2720" width="11" style="89"/>
    <col min="2721" max="2721" width="11" style="89"/>
    <col min="2722" max="2722" width="11" style="89"/>
    <col min="2723" max="2723" width="11" style="89"/>
    <col min="2724" max="2724" width="11" style="89"/>
    <col min="2725" max="2725" width="11" style="89"/>
    <col min="2726" max="2726" width="11" style="89"/>
    <col min="2727" max="2727" width="11" style="89"/>
    <col min="2728" max="2728" width="11" style="89"/>
    <col min="2729" max="2729" width="11" style="89"/>
    <col min="2730" max="2730" width="11" style="89"/>
    <col min="2731" max="2731" width="11" style="89"/>
    <col min="2732" max="2732" width="11" style="89"/>
    <col min="2733" max="2733" width="11" style="89"/>
    <col min="2734" max="2734" width="11" style="89"/>
    <col min="2735" max="2735" width="11" style="89"/>
    <col min="2736" max="2736" width="11" style="89"/>
    <col min="2737" max="2737" width="11" style="89"/>
    <col min="2738" max="2738" width="11" style="89"/>
    <col min="2739" max="2739" width="11" style="89"/>
    <col min="2740" max="2740" width="11" style="89"/>
    <col min="2741" max="2741" width="11" style="89"/>
    <col min="2742" max="2742" width="11" style="89"/>
    <col min="2743" max="2743" width="11" style="89"/>
    <col min="2744" max="2744" width="11" style="89"/>
    <col min="2745" max="2745" width="11" style="89"/>
    <col min="2746" max="2746" width="11" style="89"/>
    <col min="2747" max="2747" width="11" style="89"/>
    <col min="2748" max="2748" width="11" style="89"/>
    <col min="2749" max="2749" width="11" style="89"/>
    <col min="2750" max="2750" width="11" style="89"/>
    <col min="2751" max="2751" width="11" style="89"/>
    <col min="2752" max="2752" width="11" style="89"/>
    <col min="2753" max="2753" width="11" style="89"/>
    <col min="2754" max="2754" width="11" style="89"/>
    <col min="2755" max="2755" width="11" style="89"/>
    <col min="2756" max="2756" width="11" style="89"/>
    <col min="2757" max="2757" width="11" style="89"/>
    <col min="2758" max="2758" width="11" style="89"/>
    <col min="2759" max="2759" width="11" style="89"/>
    <col min="2760" max="2760" width="11" style="89"/>
    <col min="2761" max="2761" width="11" style="89"/>
    <col min="2762" max="2762" width="11" style="89"/>
    <col min="2763" max="2763" width="11" style="89"/>
    <col min="2764" max="2764" width="11" style="89"/>
    <col min="2765" max="2765" width="11" style="89"/>
    <col min="2766" max="2766" width="11" style="89"/>
    <col min="2767" max="2767" width="11" style="89"/>
    <col min="2768" max="2768" width="11" style="89"/>
    <col min="2769" max="2769" width="11" style="89"/>
    <col min="2770" max="2770" width="11" style="89"/>
    <col min="2771" max="2771" width="11" style="89"/>
    <col min="2772" max="2772" width="11" style="89"/>
    <col min="2773" max="2773" width="11" style="89"/>
    <col min="2774" max="2774" width="11" style="89"/>
    <col min="2775" max="2775" width="11" style="89"/>
    <col min="2776" max="2776" width="11" style="89"/>
    <col min="2777" max="2777" width="11" style="89"/>
    <col min="2778" max="2778" width="11" style="89"/>
    <col min="2779" max="2779" width="11" style="89"/>
    <col min="2780" max="2780" width="11" style="89"/>
    <col min="2781" max="2781" width="11" style="89"/>
    <col min="2782" max="2782" width="11" style="89"/>
    <col min="2783" max="2783" width="11" style="89"/>
    <col min="2784" max="2784" width="11" style="89"/>
    <col min="2785" max="2785" width="11" style="89"/>
    <col min="2786" max="2786" width="11" style="89"/>
    <col min="2787" max="2787" width="11" style="89"/>
    <col min="2788" max="2788" width="11" style="89"/>
    <col min="2789" max="2789" width="11" style="89"/>
    <col min="2790" max="2790" width="11" style="89"/>
    <col min="2791" max="2791" width="11" style="89"/>
    <col min="2792" max="2792" width="11" style="89"/>
    <col min="2793" max="2793" width="11" style="89"/>
    <col min="2794" max="2794" width="11" style="89"/>
    <col min="2795" max="2795" width="11" style="89"/>
    <col min="2796" max="2796" width="11" style="89"/>
    <col min="2797" max="2797" width="11" style="89"/>
    <col min="2798" max="2798" width="11" style="89"/>
    <col min="2799" max="2799" width="11" style="89"/>
    <col min="2800" max="2800" width="11" style="89"/>
    <col min="2801" max="2801" width="11" style="89"/>
    <col min="2802" max="2802" width="11" style="89"/>
    <col min="2803" max="2803" width="11" style="89"/>
    <col min="2804" max="2804" width="11" style="89"/>
    <col min="2805" max="2805" width="11" style="89"/>
    <col min="2806" max="2806" width="11" style="89"/>
    <col min="2807" max="2807" width="11" style="89"/>
    <col min="2808" max="2808" width="11" style="89"/>
    <col min="2809" max="2809" width="11" style="89"/>
    <col min="2810" max="2810" width="11" style="89"/>
    <col min="2811" max="2811" width="11" style="89"/>
    <col min="2812" max="2812" width="11" style="89"/>
    <col min="2813" max="2813" width="11" style="89"/>
    <col min="2814" max="2814" width="11" style="89"/>
    <col min="2815" max="2815" width="11" style="89"/>
    <col min="2816" max="2816" width="11" style="89"/>
    <col min="2817" max="2817" width="10.140625" customWidth="true" style="89"/>
    <col min="2818" max="2818" width="10.140625" customWidth="true" style="89"/>
    <col min="2819" max="2819" width="10.140625" customWidth="true" style="89"/>
    <col min="2820" max="2820" width="10.140625" customWidth="true" style="89"/>
    <col min="2821" max="2821" width="10.140625" customWidth="true" style="89"/>
    <col min="2822" max="2822" width="10.140625" customWidth="true" style="89"/>
    <col min="2823" max="2823" width="10.140625" customWidth="true" style="89"/>
    <col min="2824" max="2824" width="10.140625" customWidth="true" style="89"/>
    <col min="2825" max="2825" width="10.140625" customWidth="true" style="89"/>
    <col min="2826" max="2826" width="11" style="89"/>
    <col min="2827" max="2827" width="11" style="89"/>
    <col min="2828" max="2828" width="11" style="89"/>
    <col min="2829" max="2829" width="11" style="89"/>
    <col min="2830" max="2830" width="11" style="89"/>
    <col min="2831" max="2831" width="11" style="89"/>
    <col min="2832" max="2832" width="11" style="89"/>
    <col min="2833" max="2833" width="11" style="89"/>
    <col min="2834" max="2834" width="11" style="89"/>
    <col min="2835" max="2835" width="11" style="89"/>
    <col min="2836" max="2836" width="11" style="89"/>
    <col min="2837" max="2837" width="11" style="89"/>
    <col min="2838" max="2838" width="11" style="89"/>
    <col min="2839" max="2839" width="11" style="89"/>
    <col min="2840" max="2840" width="11" style="89"/>
    <col min="2841" max="2841" width="11" style="89"/>
    <col min="2842" max="2842" width="11" style="89"/>
    <col min="2843" max="2843" width="11" style="89"/>
    <col min="2844" max="2844" width="11" style="89"/>
    <col min="2845" max="2845" width="11" style="89"/>
    <col min="2846" max="2846" width="11" style="89"/>
    <col min="2847" max="2847" width="11" style="89"/>
    <col min="2848" max="2848" width="11" style="89"/>
    <col min="2849" max="2849" width="11" style="89"/>
    <col min="2850" max="2850" width="11" style="89"/>
    <col min="2851" max="2851" width="11" style="89"/>
    <col min="2852" max="2852" width="11" style="89"/>
    <col min="2853" max="2853" width="11" style="89"/>
    <col min="2854" max="2854" width="11" style="89"/>
    <col min="2855" max="2855" width="11" style="89"/>
    <col min="2856" max="2856" width="11" style="89"/>
    <col min="2857" max="2857" width="11" style="89"/>
    <col min="2858" max="2858" width="11" style="89"/>
    <col min="2859" max="2859" width="11" style="89"/>
    <col min="2860" max="2860" width="11" style="89"/>
    <col min="2861" max="2861" width="11" style="89"/>
    <col min="2862" max="2862" width="11" style="89"/>
    <col min="2863" max="2863" width="11" style="89"/>
    <col min="2864" max="2864" width="11" style="89"/>
    <col min="2865" max="2865" width="11" style="89"/>
    <col min="2866" max="2866" width="11" style="89"/>
    <col min="2867" max="2867" width="11" style="89"/>
    <col min="2868" max="2868" width="11" style="89"/>
    <col min="2869" max="2869" width="11" style="89"/>
    <col min="2870" max="2870" width="11" style="89"/>
    <col min="2871" max="2871" width="11" style="89"/>
    <col min="2872" max="2872" width="11" style="89"/>
    <col min="2873" max="2873" width="11" style="89"/>
    <col min="2874" max="2874" width="11" style="89"/>
    <col min="2875" max="2875" width="11" style="89"/>
    <col min="2876" max="2876" width="11" style="89"/>
    <col min="2877" max="2877" width="11" style="89"/>
    <col min="2878" max="2878" width="11" style="89"/>
    <col min="2879" max="2879" width="11" style="89"/>
    <col min="2880" max="2880" width="11" style="89"/>
    <col min="2881" max="2881" width="11" style="89"/>
    <col min="2882" max="2882" width="11" style="89"/>
    <col min="2883" max="2883" width="11" style="89"/>
    <col min="2884" max="2884" width="11" style="89"/>
    <col min="2885" max="2885" width="11" style="89"/>
    <col min="2886" max="2886" width="11" style="89"/>
    <col min="2887" max="2887" width="11" style="89"/>
    <col min="2888" max="2888" width="11" style="89"/>
    <col min="2889" max="2889" width="11" style="89"/>
    <col min="2890" max="2890" width="11" style="89"/>
    <col min="2891" max="2891" width="11" style="89"/>
    <col min="2892" max="2892" width="11" style="89"/>
    <col min="2893" max="2893" width="11" style="89"/>
    <col min="2894" max="2894" width="11" style="89"/>
    <col min="2895" max="2895" width="11" style="89"/>
    <col min="2896" max="2896" width="11" style="89"/>
    <col min="2897" max="2897" width="11" style="89"/>
    <col min="2898" max="2898" width="11" style="89"/>
    <col min="2899" max="2899" width="11" style="89"/>
    <col min="2900" max="2900" width="11" style="89"/>
    <col min="2901" max="2901" width="11" style="89"/>
    <col min="2902" max="2902" width="11" style="89"/>
    <col min="2903" max="2903" width="11" style="89"/>
    <col min="2904" max="2904" width="11" style="89"/>
    <col min="2905" max="2905" width="11" style="89"/>
    <col min="2906" max="2906" width="11" style="89"/>
    <col min="2907" max="2907" width="11" style="89"/>
    <col min="2908" max="2908" width="11" style="89"/>
    <col min="2909" max="2909" width="11" style="89"/>
    <col min="2910" max="2910" width="11" style="89"/>
    <col min="2911" max="2911" width="11" style="89"/>
    <col min="2912" max="2912" width="11" style="89"/>
    <col min="2913" max="2913" width="11" style="89"/>
    <col min="2914" max="2914" width="11" style="89"/>
    <col min="2915" max="2915" width="11" style="89"/>
    <col min="2916" max="2916" width="11" style="89"/>
    <col min="2917" max="2917" width="11" style="89"/>
    <col min="2918" max="2918" width="11" style="89"/>
    <col min="2919" max="2919" width="11" style="89"/>
    <col min="2920" max="2920" width="11" style="89"/>
    <col min="2921" max="2921" width="11" style="89"/>
    <col min="2922" max="2922" width="11" style="89"/>
    <col min="2923" max="2923" width="11" style="89"/>
    <col min="2924" max="2924" width="11" style="89"/>
    <col min="2925" max="2925" width="11" style="89"/>
    <col min="2926" max="2926" width="11" style="89"/>
    <col min="2927" max="2927" width="11" style="89"/>
    <col min="2928" max="2928" width="11" style="89"/>
    <col min="2929" max="2929" width="11" style="89"/>
    <col min="2930" max="2930" width="11" style="89"/>
    <col min="2931" max="2931" width="11" style="89"/>
    <col min="2932" max="2932" width="11" style="89"/>
    <col min="2933" max="2933" width="11" style="89"/>
    <col min="2934" max="2934" width="11" style="89"/>
    <col min="2935" max="2935" width="11" style="89"/>
    <col min="2936" max="2936" width="11" style="89"/>
    <col min="2937" max="2937" width="11" style="89"/>
    <col min="2938" max="2938" width="11" style="89"/>
    <col min="2939" max="2939" width="11" style="89"/>
    <col min="2940" max="2940" width="11" style="89"/>
    <col min="2941" max="2941" width="11" style="89"/>
    <col min="2942" max="2942" width="11" style="89"/>
    <col min="2943" max="2943" width="11" style="89"/>
    <col min="2944" max="2944" width="11" style="89"/>
    <col min="2945" max="2945" width="11" style="89"/>
    <col min="2946" max="2946" width="11" style="89"/>
    <col min="2947" max="2947" width="11" style="89"/>
    <col min="2948" max="2948" width="11" style="89"/>
    <col min="2949" max="2949" width="11" style="89"/>
    <col min="2950" max="2950" width="11" style="89"/>
    <col min="2951" max="2951" width="11" style="89"/>
    <col min="2952" max="2952" width="11" style="89"/>
    <col min="2953" max="2953" width="11" style="89"/>
    <col min="2954" max="2954" width="11" style="89"/>
    <col min="2955" max="2955" width="11" style="89"/>
    <col min="2956" max="2956" width="11" style="89"/>
    <col min="2957" max="2957" width="11" style="89"/>
    <col min="2958" max="2958" width="11" style="89"/>
    <col min="2959" max="2959" width="11" style="89"/>
    <col min="2960" max="2960" width="11" style="89"/>
    <col min="2961" max="2961" width="11" style="89"/>
    <col min="2962" max="2962" width="11" style="89"/>
    <col min="2963" max="2963" width="11" style="89"/>
    <col min="2964" max="2964" width="11" style="89"/>
    <col min="2965" max="2965" width="11" style="89"/>
    <col min="2966" max="2966" width="11" style="89"/>
    <col min="2967" max="2967" width="11" style="89"/>
    <col min="2968" max="2968" width="11" style="89"/>
    <col min="2969" max="2969" width="11" style="89"/>
    <col min="2970" max="2970" width="11" style="89"/>
    <col min="2971" max="2971" width="11" style="89"/>
    <col min="2972" max="2972" width="11" style="89"/>
    <col min="2973" max="2973" width="11" style="89"/>
    <col min="2974" max="2974" width="11" style="89"/>
    <col min="2975" max="2975" width="11" style="89"/>
    <col min="2976" max="2976" width="11" style="89"/>
    <col min="2977" max="2977" width="11" style="89"/>
    <col min="2978" max="2978" width="11" style="89"/>
    <col min="2979" max="2979" width="11" style="89"/>
    <col min="2980" max="2980" width="11" style="89"/>
    <col min="2981" max="2981" width="11" style="89"/>
    <col min="2982" max="2982" width="11" style="89"/>
    <col min="2983" max="2983" width="11" style="89"/>
    <col min="2984" max="2984" width="11" style="89"/>
    <col min="2985" max="2985" width="11" style="89"/>
    <col min="2986" max="2986" width="11" style="89"/>
    <col min="2987" max="2987" width="11" style="89"/>
    <col min="2988" max="2988" width="11" style="89"/>
    <col min="2989" max="2989" width="11" style="89"/>
    <col min="2990" max="2990" width="11" style="89"/>
    <col min="2991" max="2991" width="11" style="89"/>
    <col min="2992" max="2992" width="11" style="89"/>
    <col min="2993" max="2993" width="11" style="89"/>
    <col min="2994" max="2994" width="11" style="89"/>
    <col min="2995" max="2995" width="11" style="89"/>
    <col min="2996" max="2996" width="11" style="89"/>
    <col min="2997" max="2997" width="11" style="89"/>
    <col min="2998" max="2998" width="11" style="89"/>
    <col min="2999" max="2999" width="11" style="89"/>
    <col min="3000" max="3000" width="11" style="89"/>
    <col min="3001" max="3001" width="11" style="89"/>
    <col min="3002" max="3002" width="11" style="89"/>
    <col min="3003" max="3003" width="11" style="89"/>
    <col min="3004" max="3004" width="11" style="89"/>
    <col min="3005" max="3005" width="11" style="89"/>
    <col min="3006" max="3006" width="11" style="89"/>
    <col min="3007" max="3007" width="11" style="89"/>
    <col min="3008" max="3008" width="11" style="89"/>
    <col min="3009" max="3009" width="11" style="89"/>
    <col min="3010" max="3010" width="11" style="89"/>
    <col min="3011" max="3011" width="11" style="89"/>
    <col min="3012" max="3012" width="11" style="89"/>
    <col min="3013" max="3013" width="11" style="89"/>
    <col min="3014" max="3014" width="11" style="89"/>
    <col min="3015" max="3015" width="11" style="89"/>
    <col min="3016" max="3016" width="11" style="89"/>
    <col min="3017" max="3017" width="11" style="89"/>
    <col min="3018" max="3018" width="11" style="89"/>
    <col min="3019" max="3019" width="11" style="89"/>
    <col min="3020" max="3020" width="11" style="89"/>
    <col min="3021" max="3021" width="11" style="89"/>
    <col min="3022" max="3022" width="11" style="89"/>
    <col min="3023" max="3023" width="11" style="89"/>
    <col min="3024" max="3024" width="11" style="89"/>
    <col min="3025" max="3025" width="11" style="89"/>
    <col min="3026" max="3026" width="11" style="89"/>
    <col min="3027" max="3027" width="11" style="89"/>
    <col min="3028" max="3028" width="11" style="89"/>
    <col min="3029" max="3029" width="11" style="89"/>
    <col min="3030" max="3030" width="11" style="89"/>
    <col min="3031" max="3031" width="11" style="89"/>
    <col min="3032" max="3032" width="11" style="89"/>
    <col min="3033" max="3033" width="11" style="89"/>
    <col min="3034" max="3034" width="11" style="89"/>
    <col min="3035" max="3035" width="11" style="89"/>
    <col min="3036" max="3036" width="11" style="89"/>
    <col min="3037" max="3037" width="11" style="89"/>
    <col min="3038" max="3038" width="11" style="89"/>
    <col min="3039" max="3039" width="11" style="89"/>
    <col min="3040" max="3040" width="11" style="89"/>
    <col min="3041" max="3041" width="11" style="89"/>
    <col min="3042" max="3042" width="11" style="89"/>
    <col min="3043" max="3043" width="11" style="89"/>
    <col min="3044" max="3044" width="11" style="89"/>
    <col min="3045" max="3045" width="11" style="89"/>
    <col min="3046" max="3046" width="11" style="89"/>
    <col min="3047" max="3047" width="11" style="89"/>
    <col min="3048" max="3048" width="11" style="89"/>
    <col min="3049" max="3049" width="11" style="89"/>
    <col min="3050" max="3050" width="11" style="89"/>
    <col min="3051" max="3051" width="11" style="89"/>
    <col min="3052" max="3052" width="11" style="89"/>
    <col min="3053" max="3053" width="11" style="89"/>
    <col min="3054" max="3054" width="11" style="89"/>
    <col min="3055" max="3055" width="11" style="89"/>
    <col min="3056" max="3056" width="11" style="89"/>
    <col min="3057" max="3057" width="11" style="89"/>
    <col min="3058" max="3058" width="11" style="89"/>
    <col min="3059" max="3059" width="11" style="89"/>
    <col min="3060" max="3060" width="11" style="89"/>
    <col min="3061" max="3061" width="11" style="89"/>
    <col min="3062" max="3062" width="11" style="89"/>
    <col min="3063" max="3063" width="11" style="89"/>
    <col min="3064" max="3064" width="11" style="89"/>
    <col min="3065" max="3065" width="11" style="89"/>
    <col min="3066" max="3066" width="11" style="89"/>
    <col min="3067" max="3067" width="11" style="89"/>
    <col min="3068" max="3068" width="11" style="89"/>
    <col min="3069" max="3069" width="11" style="89"/>
    <col min="3070" max="3070" width="11" style="89"/>
    <col min="3071" max="3071" width="11" style="89"/>
    <col min="3072" max="3072" width="11" style="89"/>
    <col min="3073" max="3073" width="10.140625" customWidth="true" style="89"/>
    <col min="3074" max="3074" width="10.140625" customWidth="true" style="89"/>
    <col min="3075" max="3075" width="10.140625" customWidth="true" style="89"/>
    <col min="3076" max="3076" width="10.140625" customWidth="true" style="89"/>
    <col min="3077" max="3077" width="10.140625" customWidth="true" style="89"/>
    <col min="3078" max="3078" width="10.140625" customWidth="true" style="89"/>
    <col min="3079" max="3079" width="10.140625" customWidth="true" style="89"/>
    <col min="3080" max="3080" width="10.140625" customWidth="true" style="89"/>
    <col min="3081" max="3081" width="10.140625" customWidth="true" style="89"/>
    <col min="3082" max="3082" width="11" style="89"/>
    <col min="3083" max="3083" width="11" style="89"/>
    <col min="3084" max="3084" width="11" style="89"/>
    <col min="3085" max="3085" width="11" style="89"/>
    <col min="3086" max="3086" width="11" style="89"/>
    <col min="3087" max="3087" width="11" style="89"/>
    <col min="3088" max="3088" width="11" style="89"/>
    <col min="3089" max="3089" width="11" style="89"/>
    <col min="3090" max="3090" width="11" style="89"/>
    <col min="3091" max="3091" width="11" style="89"/>
    <col min="3092" max="3092" width="11" style="89"/>
    <col min="3093" max="3093" width="11" style="89"/>
    <col min="3094" max="3094" width="11" style="89"/>
    <col min="3095" max="3095" width="11" style="89"/>
    <col min="3096" max="3096" width="11" style="89"/>
    <col min="3097" max="3097" width="11" style="89"/>
    <col min="3098" max="3098" width="11" style="89"/>
    <col min="3099" max="3099" width="11" style="89"/>
    <col min="3100" max="3100" width="11" style="89"/>
    <col min="3101" max="3101" width="11" style="89"/>
    <col min="3102" max="3102" width="11" style="89"/>
    <col min="3103" max="3103" width="11" style="89"/>
    <col min="3104" max="3104" width="11" style="89"/>
    <col min="3105" max="3105" width="11" style="89"/>
    <col min="3106" max="3106" width="11" style="89"/>
    <col min="3107" max="3107" width="11" style="89"/>
    <col min="3108" max="3108" width="11" style="89"/>
    <col min="3109" max="3109" width="11" style="89"/>
    <col min="3110" max="3110" width="11" style="89"/>
    <col min="3111" max="3111" width="11" style="89"/>
    <col min="3112" max="3112" width="11" style="89"/>
    <col min="3113" max="3113" width="11" style="89"/>
    <col min="3114" max="3114" width="11" style="89"/>
    <col min="3115" max="3115" width="11" style="89"/>
    <col min="3116" max="3116" width="11" style="89"/>
    <col min="3117" max="3117" width="11" style="89"/>
    <col min="3118" max="3118" width="11" style="89"/>
    <col min="3119" max="3119" width="11" style="89"/>
    <col min="3120" max="3120" width="11" style="89"/>
    <col min="3121" max="3121" width="11" style="89"/>
    <col min="3122" max="3122" width="11" style="89"/>
    <col min="3123" max="3123" width="11" style="89"/>
    <col min="3124" max="3124" width="11" style="89"/>
    <col min="3125" max="3125" width="11" style="89"/>
    <col min="3126" max="3126" width="11" style="89"/>
    <col min="3127" max="3127" width="11" style="89"/>
    <col min="3128" max="3128" width="11" style="89"/>
    <col min="3129" max="3129" width="11" style="89"/>
    <col min="3130" max="3130" width="11" style="89"/>
    <col min="3131" max="3131" width="11" style="89"/>
    <col min="3132" max="3132" width="11" style="89"/>
    <col min="3133" max="3133" width="11" style="89"/>
    <col min="3134" max="3134" width="11" style="89"/>
    <col min="3135" max="3135" width="11" style="89"/>
    <col min="3136" max="3136" width="11" style="89"/>
    <col min="3137" max="3137" width="11" style="89"/>
    <col min="3138" max="3138" width="11" style="89"/>
    <col min="3139" max="3139" width="11" style="89"/>
    <col min="3140" max="3140" width="11" style="89"/>
    <col min="3141" max="3141" width="11" style="89"/>
    <col min="3142" max="3142" width="11" style="89"/>
    <col min="3143" max="3143" width="11" style="89"/>
    <col min="3144" max="3144" width="11" style="89"/>
    <col min="3145" max="3145" width="11" style="89"/>
    <col min="3146" max="3146" width="11" style="89"/>
    <col min="3147" max="3147" width="11" style="89"/>
    <col min="3148" max="3148" width="11" style="89"/>
    <col min="3149" max="3149" width="11" style="89"/>
    <col min="3150" max="3150" width="11" style="89"/>
    <col min="3151" max="3151" width="11" style="89"/>
    <col min="3152" max="3152" width="11" style="89"/>
    <col min="3153" max="3153" width="11" style="89"/>
    <col min="3154" max="3154" width="11" style="89"/>
    <col min="3155" max="3155" width="11" style="89"/>
    <col min="3156" max="3156" width="11" style="89"/>
    <col min="3157" max="3157" width="11" style="89"/>
    <col min="3158" max="3158" width="11" style="89"/>
    <col min="3159" max="3159" width="11" style="89"/>
    <col min="3160" max="3160" width="11" style="89"/>
    <col min="3161" max="3161" width="11" style="89"/>
    <col min="3162" max="3162" width="11" style="89"/>
    <col min="3163" max="3163" width="11" style="89"/>
    <col min="3164" max="3164" width="11" style="89"/>
    <col min="3165" max="3165" width="11" style="89"/>
    <col min="3166" max="3166" width="11" style="89"/>
    <col min="3167" max="3167" width="11" style="89"/>
    <col min="3168" max="3168" width="11" style="89"/>
    <col min="3169" max="3169" width="11" style="89"/>
    <col min="3170" max="3170" width="11" style="89"/>
    <col min="3171" max="3171" width="11" style="89"/>
    <col min="3172" max="3172" width="11" style="89"/>
    <col min="3173" max="3173" width="11" style="89"/>
    <col min="3174" max="3174" width="11" style="89"/>
    <col min="3175" max="3175" width="11" style="89"/>
    <col min="3176" max="3176" width="11" style="89"/>
    <col min="3177" max="3177" width="11" style="89"/>
    <col min="3178" max="3178" width="11" style="89"/>
    <col min="3179" max="3179" width="11" style="89"/>
    <col min="3180" max="3180" width="11" style="89"/>
    <col min="3181" max="3181" width="11" style="89"/>
    <col min="3182" max="3182" width="11" style="89"/>
    <col min="3183" max="3183" width="11" style="89"/>
    <col min="3184" max="3184" width="11" style="89"/>
    <col min="3185" max="3185" width="11" style="89"/>
    <col min="3186" max="3186" width="11" style="89"/>
    <col min="3187" max="3187" width="11" style="89"/>
    <col min="3188" max="3188" width="11" style="89"/>
    <col min="3189" max="3189" width="11" style="89"/>
    <col min="3190" max="3190" width="11" style="89"/>
    <col min="3191" max="3191" width="11" style="89"/>
    <col min="3192" max="3192" width="11" style="89"/>
    <col min="3193" max="3193" width="11" style="89"/>
    <col min="3194" max="3194" width="11" style="89"/>
    <col min="3195" max="3195" width="11" style="89"/>
    <col min="3196" max="3196" width="11" style="89"/>
    <col min="3197" max="3197" width="11" style="89"/>
    <col min="3198" max="3198" width="11" style="89"/>
    <col min="3199" max="3199" width="11" style="89"/>
    <col min="3200" max="3200" width="11" style="89"/>
    <col min="3201" max="3201" width="11" style="89"/>
    <col min="3202" max="3202" width="11" style="89"/>
    <col min="3203" max="3203" width="11" style="89"/>
    <col min="3204" max="3204" width="11" style="89"/>
    <col min="3205" max="3205" width="11" style="89"/>
    <col min="3206" max="3206" width="11" style="89"/>
    <col min="3207" max="3207" width="11" style="89"/>
    <col min="3208" max="3208" width="11" style="89"/>
    <col min="3209" max="3209" width="11" style="89"/>
    <col min="3210" max="3210" width="11" style="89"/>
    <col min="3211" max="3211" width="11" style="89"/>
    <col min="3212" max="3212" width="11" style="89"/>
    <col min="3213" max="3213" width="11" style="89"/>
    <col min="3214" max="3214" width="11" style="89"/>
    <col min="3215" max="3215" width="11" style="89"/>
    <col min="3216" max="3216" width="11" style="89"/>
    <col min="3217" max="3217" width="11" style="89"/>
    <col min="3218" max="3218" width="11" style="89"/>
    <col min="3219" max="3219" width="11" style="89"/>
    <col min="3220" max="3220" width="11" style="89"/>
    <col min="3221" max="3221" width="11" style="89"/>
    <col min="3222" max="3222" width="11" style="89"/>
    <col min="3223" max="3223" width="11" style="89"/>
    <col min="3224" max="3224" width="11" style="89"/>
    <col min="3225" max="3225" width="11" style="89"/>
    <col min="3226" max="3226" width="11" style="89"/>
    <col min="3227" max="3227" width="11" style="89"/>
    <col min="3228" max="3228" width="11" style="89"/>
    <col min="3229" max="3229" width="11" style="89"/>
    <col min="3230" max="3230" width="11" style="89"/>
    <col min="3231" max="3231" width="11" style="89"/>
    <col min="3232" max="3232" width="11" style="89"/>
    <col min="3233" max="3233" width="11" style="89"/>
    <col min="3234" max="3234" width="11" style="89"/>
    <col min="3235" max="3235" width="11" style="89"/>
    <col min="3236" max="3236" width="11" style="89"/>
    <col min="3237" max="3237" width="11" style="89"/>
    <col min="3238" max="3238" width="11" style="89"/>
    <col min="3239" max="3239" width="11" style="89"/>
    <col min="3240" max="3240" width="11" style="89"/>
    <col min="3241" max="3241" width="11" style="89"/>
    <col min="3242" max="3242" width="11" style="89"/>
    <col min="3243" max="3243" width="11" style="89"/>
    <col min="3244" max="3244" width="11" style="89"/>
    <col min="3245" max="3245" width="11" style="89"/>
    <col min="3246" max="3246" width="11" style="89"/>
    <col min="3247" max="3247" width="11" style="89"/>
    <col min="3248" max="3248" width="11" style="89"/>
    <col min="3249" max="3249" width="11" style="89"/>
    <col min="3250" max="3250" width="11" style="89"/>
    <col min="3251" max="3251" width="11" style="89"/>
    <col min="3252" max="3252" width="11" style="89"/>
    <col min="3253" max="3253" width="11" style="89"/>
    <col min="3254" max="3254" width="11" style="89"/>
    <col min="3255" max="3255" width="11" style="89"/>
    <col min="3256" max="3256" width="11" style="89"/>
    <col min="3257" max="3257" width="11" style="89"/>
    <col min="3258" max="3258" width="11" style="89"/>
    <col min="3259" max="3259" width="11" style="89"/>
    <col min="3260" max="3260" width="11" style="89"/>
    <col min="3261" max="3261" width="11" style="89"/>
    <col min="3262" max="3262" width="11" style="89"/>
    <col min="3263" max="3263" width="11" style="89"/>
    <col min="3264" max="3264" width="11" style="89"/>
    <col min="3265" max="3265" width="11" style="89"/>
    <col min="3266" max="3266" width="11" style="89"/>
    <col min="3267" max="3267" width="11" style="89"/>
    <col min="3268" max="3268" width="11" style="89"/>
    <col min="3269" max="3269" width="11" style="89"/>
    <col min="3270" max="3270" width="11" style="89"/>
    <col min="3271" max="3271" width="11" style="89"/>
    <col min="3272" max="3272" width="11" style="89"/>
    <col min="3273" max="3273" width="11" style="89"/>
    <col min="3274" max="3274" width="11" style="89"/>
    <col min="3275" max="3275" width="11" style="89"/>
    <col min="3276" max="3276" width="11" style="89"/>
    <col min="3277" max="3277" width="11" style="89"/>
    <col min="3278" max="3278" width="11" style="89"/>
    <col min="3279" max="3279" width="11" style="89"/>
    <col min="3280" max="3280" width="11" style="89"/>
    <col min="3281" max="3281" width="11" style="89"/>
    <col min="3282" max="3282" width="11" style="89"/>
    <col min="3283" max="3283" width="11" style="89"/>
    <col min="3284" max="3284" width="11" style="89"/>
    <col min="3285" max="3285" width="11" style="89"/>
    <col min="3286" max="3286" width="11" style="89"/>
    <col min="3287" max="3287" width="11" style="89"/>
    <col min="3288" max="3288" width="11" style="89"/>
    <col min="3289" max="3289" width="11" style="89"/>
    <col min="3290" max="3290" width="11" style="89"/>
    <col min="3291" max="3291" width="11" style="89"/>
    <col min="3292" max="3292" width="11" style="89"/>
    <col min="3293" max="3293" width="11" style="89"/>
    <col min="3294" max="3294" width="11" style="89"/>
    <col min="3295" max="3295" width="11" style="89"/>
    <col min="3296" max="3296" width="11" style="89"/>
    <col min="3297" max="3297" width="11" style="89"/>
    <col min="3298" max="3298" width="11" style="89"/>
    <col min="3299" max="3299" width="11" style="89"/>
    <col min="3300" max="3300" width="11" style="89"/>
    <col min="3301" max="3301" width="11" style="89"/>
    <col min="3302" max="3302" width="11" style="89"/>
    <col min="3303" max="3303" width="11" style="89"/>
    <col min="3304" max="3304" width="11" style="89"/>
    <col min="3305" max="3305" width="11" style="89"/>
    <col min="3306" max="3306" width="11" style="89"/>
    <col min="3307" max="3307" width="11" style="89"/>
    <col min="3308" max="3308" width="11" style="89"/>
    <col min="3309" max="3309" width="11" style="89"/>
    <col min="3310" max="3310" width="11" style="89"/>
    <col min="3311" max="3311" width="11" style="89"/>
    <col min="3312" max="3312" width="11" style="89"/>
    <col min="3313" max="3313" width="11" style="89"/>
    <col min="3314" max="3314" width="11" style="89"/>
    <col min="3315" max="3315" width="11" style="89"/>
    <col min="3316" max="3316" width="11" style="89"/>
    <col min="3317" max="3317" width="11" style="89"/>
    <col min="3318" max="3318" width="11" style="89"/>
    <col min="3319" max="3319" width="11" style="89"/>
    <col min="3320" max="3320" width="11" style="89"/>
    <col min="3321" max="3321" width="11" style="89"/>
    <col min="3322" max="3322" width="11" style="89"/>
    <col min="3323" max="3323" width="11" style="89"/>
    <col min="3324" max="3324" width="11" style="89"/>
    <col min="3325" max="3325" width="11" style="89"/>
    <col min="3326" max="3326" width="11" style="89"/>
    <col min="3327" max="3327" width="11" style="89"/>
    <col min="3328" max="3328" width="11" style="89"/>
    <col min="3329" max="3329" width="10.140625" customWidth="true" style="89"/>
    <col min="3330" max="3330" width="10.140625" customWidth="true" style="89"/>
    <col min="3331" max="3331" width="10.140625" customWidth="true" style="89"/>
    <col min="3332" max="3332" width="10.140625" customWidth="true" style="89"/>
    <col min="3333" max="3333" width="10.140625" customWidth="true" style="89"/>
    <col min="3334" max="3334" width="10.140625" customWidth="true" style="89"/>
    <col min="3335" max="3335" width="10.140625" customWidth="true" style="89"/>
    <col min="3336" max="3336" width="10.140625" customWidth="true" style="89"/>
    <col min="3337" max="3337" width="10.140625" customWidth="true" style="89"/>
    <col min="3338" max="3338" width="11" style="89"/>
    <col min="3339" max="3339" width="11" style="89"/>
    <col min="3340" max="3340" width="11" style="89"/>
    <col min="3341" max="3341" width="11" style="89"/>
    <col min="3342" max="3342" width="11" style="89"/>
    <col min="3343" max="3343" width="11" style="89"/>
    <col min="3344" max="3344" width="11" style="89"/>
    <col min="3345" max="3345" width="11" style="89"/>
    <col min="3346" max="3346" width="11" style="89"/>
    <col min="3347" max="3347" width="11" style="89"/>
    <col min="3348" max="3348" width="11" style="89"/>
    <col min="3349" max="3349" width="11" style="89"/>
    <col min="3350" max="3350" width="11" style="89"/>
    <col min="3351" max="3351" width="11" style="89"/>
    <col min="3352" max="3352" width="11" style="89"/>
    <col min="3353" max="3353" width="11" style="89"/>
    <col min="3354" max="3354" width="11" style="89"/>
    <col min="3355" max="3355" width="11" style="89"/>
    <col min="3356" max="3356" width="11" style="89"/>
    <col min="3357" max="3357" width="11" style="89"/>
    <col min="3358" max="3358" width="11" style="89"/>
    <col min="3359" max="3359" width="11" style="89"/>
    <col min="3360" max="3360" width="11" style="89"/>
    <col min="3361" max="3361" width="11" style="89"/>
    <col min="3362" max="3362" width="11" style="89"/>
    <col min="3363" max="3363" width="11" style="89"/>
    <col min="3364" max="3364" width="11" style="89"/>
    <col min="3365" max="3365" width="11" style="89"/>
    <col min="3366" max="3366" width="11" style="89"/>
    <col min="3367" max="3367" width="11" style="89"/>
    <col min="3368" max="3368" width="11" style="89"/>
    <col min="3369" max="3369" width="11" style="89"/>
    <col min="3370" max="3370" width="11" style="89"/>
    <col min="3371" max="3371" width="11" style="89"/>
    <col min="3372" max="3372" width="11" style="89"/>
    <col min="3373" max="3373" width="11" style="89"/>
    <col min="3374" max="3374" width="11" style="89"/>
    <col min="3375" max="3375" width="11" style="89"/>
    <col min="3376" max="3376" width="11" style="89"/>
    <col min="3377" max="3377" width="11" style="89"/>
    <col min="3378" max="3378" width="11" style="89"/>
    <col min="3379" max="3379" width="11" style="89"/>
    <col min="3380" max="3380" width="11" style="89"/>
    <col min="3381" max="3381" width="11" style="89"/>
    <col min="3382" max="3382" width="11" style="89"/>
    <col min="3383" max="3383" width="11" style="89"/>
    <col min="3384" max="3384" width="11" style="89"/>
    <col min="3385" max="3385" width="11" style="89"/>
    <col min="3386" max="3386" width="11" style="89"/>
    <col min="3387" max="3387" width="11" style="89"/>
    <col min="3388" max="3388" width="11" style="89"/>
    <col min="3389" max="3389" width="11" style="89"/>
    <col min="3390" max="3390" width="11" style="89"/>
    <col min="3391" max="3391" width="11" style="89"/>
    <col min="3392" max="3392" width="11" style="89"/>
    <col min="3393" max="3393" width="11" style="89"/>
    <col min="3394" max="3394" width="11" style="89"/>
    <col min="3395" max="3395" width="11" style="89"/>
    <col min="3396" max="3396" width="11" style="89"/>
    <col min="3397" max="3397" width="11" style="89"/>
    <col min="3398" max="3398" width="11" style="89"/>
    <col min="3399" max="3399" width="11" style="89"/>
    <col min="3400" max="3400" width="11" style="89"/>
    <col min="3401" max="3401" width="11" style="89"/>
    <col min="3402" max="3402" width="11" style="89"/>
    <col min="3403" max="3403" width="11" style="89"/>
    <col min="3404" max="3404" width="11" style="89"/>
    <col min="3405" max="3405" width="11" style="89"/>
    <col min="3406" max="3406" width="11" style="89"/>
    <col min="3407" max="3407" width="11" style="89"/>
    <col min="3408" max="3408" width="11" style="89"/>
    <col min="3409" max="3409" width="11" style="89"/>
    <col min="3410" max="3410" width="11" style="89"/>
    <col min="3411" max="3411" width="11" style="89"/>
    <col min="3412" max="3412" width="11" style="89"/>
    <col min="3413" max="3413" width="11" style="89"/>
    <col min="3414" max="3414" width="11" style="89"/>
    <col min="3415" max="3415" width="11" style="89"/>
    <col min="3416" max="3416" width="11" style="89"/>
    <col min="3417" max="3417" width="11" style="89"/>
    <col min="3418" max="3418" width="11" style="89"/>
    <col min="3419" max="3419" width="11" style="89"/>
    <col min="3420" max="3420" width="11" style="89"/>
    <col min="3421" max="3421" width="11" style="89"/>
    <col min="3422" max="3422" width="11" style="89"/>
    <col min="3423" max="3423" width="11" style="89"/>
    <col min="3424" max="3424" width="11" style="89"/>
    <col min="3425" max="3425" width="11" style="89"/>
    <col min="3426" max="3426" width="11" style="89"/>
    <col min="3427" max="3427" width="11" style="89"/>
    <col min="3428" max="3428" width="11" style="89"/>
    <col min="3429" max="3429" width="11" style="89"/>
    <col min="3430" max="3430" width="11" style="89"/>
    <col min="3431" max="3431" width="11" style="89"/>
    <col min="3432" max="3432" width="11" style="89"/>
    <col min="3433" max="3433" width="11" style="89"/>
    <col min="3434" max="3434" width="11" style="89"/>
    <col min="3435" max="3435" width="11" style="89"/>
    <col min="3436" max="3436" width="11" style="89"/>
    <col min="3437" max="3437" width="11" style="89"/>
    <col min="3438" max="3438" width="11" style="89"/>
    <col min="3439" max="3439" width="11" style="89"/>
    <col min="3440" max="3440" width="11" style="89"/>
    <col min="3441" max="3441" width="11" style="89"/>
    <col min="3442" max="3442" width="11" style="89"/>
    <col min="3443" max="3443" width="11" style="89"/>
    <col min="3444" max="3444" width="11" style="89"/>
    <col min="3445" max="3445" width="11" style="89"/>
    <col min="3446" max="3446" width="11" style="89"/>
    <col min="3447" max="3447" width="11" style="89"/>
    <col min="3448" max="3448" width="11" style="89"/>
    <col min="3449" max="3449" width="11" style="89"/>
    <col min="3450" max="3450" width="11" style="89"/>
    <col min="3451" max="3451" width="11" style="89"/>
    <col min="3452" max="3452" width="11" style="89"/>
    <col min="3453" max="3453" width="11" style="89"/>
    <col min="3454" max="3454" width="11" style="89"/>
    <col min="3455" max="3455" width="11" style="89"/>
    <col min="3456" max="3456" width="11" style="89"/>
    <col min="3457" max="3457" width="11" style="89"/>
    <col min="3458" max="3458" width="11" style="89"/>
    <col min="3459" max="3459" width="11" style="89"/>
    <col min="3460" max="3460" width="11" style="89"/>
    <col min="3461" max="3461" width="11" style="89"/>
    <col min="3462" max="3462" width="11" style="89"/>
    <col min="3463" max="3463" width="11" style="89"/>
    <col min="3464" max="3464" width="11" style="89"/>
    <col min="3465" max="3465" width="11" style="89"/>
    <col min="3466" max="3466" width="11" style="89"/>
    <col min="3467" max="3467" width="11" style="89"/>
    <col min="3468" max="3468" width="11" style="89"/>
    <col min="3469" max="3469" width="11" style="89"/>
    <col min="3470" max="3470" width="11" style="89"/>
    <col min="3471" max="3471" width="11" style="89"/>
    <col min="3472" max="3472" width="11" style="89"/>
    <col min="3473" max="3473" width="11" style="89"/>
    <col min="3474" max="3474" width="11" style="89"/>
    <col min="3475" max="3475" width="11" style="89"/>
    <col min="3476" max="3476" width="11" style="89"/>
    <col min="3477" max="3477" width="11" style="89"/>
    <col min="3478" max="3478" width="11" style="89"/>
    <col min="3479" max="3479" width="11" style="89"/>
    <col min="3480" max="3480" width="11" style="89"/>
    <col min="3481" max="3481" width="11" style="89"/>
    <col min="3482" max="3482" width="11" style="89"/>
    <col min="3483" max="3483" width="11" style="89"/>
    <col min="3484" max="3484" width="11" style="89"/>
    <col min="3485" max="3485" width="11" style="89"/>
    <col min="3486" max="3486" width="11" style="89"/>
    <col min="3487" max="3487" width="11" style="89"/>
    <col min="3488" max="3488" width="11" style="89"/>
    <col min="3489" max="3489" width="11" style="89"/>
    <col min="3490" max="3490" width="11" style="89"/>
    <col min="3491" max="3491" width="11" style="89"/>
    <col min="3492" max="3492" width="11" style="89"/>
    <col min="3493" max="3493" width="11" style="89"/>
    <col min="3494" max="3494" width="11" style="89"/>
    <col min="3495" max="3495" width="11" style="89"/>
    <col min="3496" max="3496" width="11" style="89"/>
    <col min="3497" max="3497" width="11" style="89"/>
    <col min="3498" max="3498" width="11" style="89"/>
    <col min="3499" max="3499" width="11" style="89"/>
    <col min="3500" max="3500" width="11" style="89"/>
    <col min="3501" max="3501" width="11" style="89"/>
    <col min="3502" max="3502" width="11" style="89"/>
    <col min="3503" max="3503" width="11" style="89"/>
    <col min="3504" max="3504" width="11" style="89"/>
    <col min="3505" max="3505" width="11" style="89"/>
    <col min="3506" max="3506" width="11" style="89"/>
    <col min="3507" max="3507" width="11" style="89"/>
    <col min="3508" max="3508" width="11" style="89"/>
    <col min="3509" max="3509" width="11" style="89"/>
    <col min="3510" max="3510" width="11" style="89"/>
    <col min="3511" max="3511" width="11" style="89"/>
    <col min="3512" max="3512" width="11" style="89"/>
    <col min="3513" max="3513" width="11" style="89"/>
    <col min="3514" max="3514" width="11" style="89"/>
    <col min="3515" max="3515" width="11" style="89"/>
    <col min="3516" max="3516" width="11" style="89"/>
    <col min="3517" max="3517" width="11" style="89"/>
    <col min="3518" max="3518" width="11" style="89"/>
    <col min="3519" max="3519" width="11" style="89"/>
    <col min="3520" max="3520" width="11" style="89"/>
    <col min="3521" max="3521" width="11" style="89"/>
    <col min="3522" max="3522" width="11" style="89"/>
    <col min="3523" max="3523" width="11" style="89"/>
    <col min="3524" max="3524" width="11" style="89"/>
    <col min="3525" max="3525" width="11" style="89"/>
    <col min="3526" max="3526" width="11" style="89"/>
    <col min="3527" max="3527" width="11" style="89"/>
    <col min="3528" max="3528" width="11" style="89"/>
    <col min="3529" max="3529" width="11" style="89"/>
    <col min="3530" max="3530" width="11" style="89"/>
    <col min="3531" max="3531" width="11" style="89"/>
    <col min="3532" max="3532" width="11" style="89"/>
    <col min="3533" max="3533" width="11" style="89"/>
    <col min="3534" max="3534" width="11" style="89"/>
    <col min="3535" max="3535" width="11" style="89"/>
    <col min="3536" max="3536" width="11" style="89"/>
    <col min="3537" max="3537" width="11" style="89"/>
    <col min="3538" max="3538" width="11" style="89"/>
    <col min="3539" max="3539" width="11" style="89"/>
    <col min="3540" max="3540" width="11" style="89"/>
    <col min="3541" max="3541" width="11" style="89"/>
    <col min="3542" max="3542" width="11" style="89"/>
    <col min="3543" max="3543" width="11" style="89"/>
    <col min="3544" max="3544" width="11" style="89"/>
    <col min="3545" max="3545" width="11" style="89"/>
    <col min="3546" max="3546" width="11" style="89"/>
    <col min="3547" max="3547" width="11" style="89"/>
    <col min="3548" max="3548" width="11" style="89"/>
    <col min="3549" max="3549" width="11" style="89"/>
    <col min="3550" max="3550" width="11" style="89"/>
    <col min="3551" max="3551" width="11" style="89"/>
    <col min="3552" max="3552" width="11" style="89"/>
    <col min="3553" max="3553" width="11" style="89"/>
    <col min="3554" max="3554" width="11" style="89"/>
    <col min="3555" max="3555" width="11" style="89"/>
    <col min="3556" max="3556" width="11" style="89"/>
    <col min="3557" max="3557" width="11" style="89"/>
    <col min="3558" max="3558" width="11" style="89"/>
    <col min="3559" max="3559" width="11" style="89"/>
    <col min="3560" max="3560" width="11" style="89"/>
    <col min="3561" max="3561" width="11" style="89"/>
    <col min="3562" max="3562" width="11" style="89"/>
    <col min="3563" max="3563" width="11" style="89"/>
    <col min="3564" max="3564" width="11" style="89"/>
    <col min="3565" max="3565" width="11" style="89"/>
    <col min="3566" max="3566" width="11" style="89"/>
    <col min="3567" max="3567" width="11" style="89"/>
    <col min="3568" max="3568" width="11" style="89"/>
    <col min="3569" max="3569" width="11" style="89"/>
    <col min="3570" max="3570" width="11" style="89"/>
    <col min="3571" max="3571" width="11" style="89"/>
    <col min="3572" max="3572" width="11" style="89"/>
    <col min="3573" max="3573" width="11" style="89"/>
    <col min="3574" max="3574" width="11" style="89"/>
    <col min="3575" max="3575" width="11" style="89"/>
    <col min="3576" max="3576" width="11" style="89"/>
    <col min="3577" max="3577" width="11" style="89"/>
    <col min="3578" max="3578" width="11" style="89"/>
    <col min="3579" max="3579" width="11" style="89"/>
    <col min="3580" max="3580" width="11" style="89"/>
    <col min="3581" max="3581" width="11" style="89"/>
    <col min="3582" max="3582" width="11" style="89"/>
    <col min="3583" max="3583" width="11" style="89"/>
    <col min="3584" max="3584" width="11" style="89"/>
    <col min="3585" max="3585" width="10.140625" customWidth="true" style="89"/>
    <col min="3586" max="3586" width="10.140625" customWidth="true" style="89"/>
    <col min="3587" max="3587" width="10.140625" customWidth="true" style="89"/>
    <col min="3588" max="3588" width="10.140625" customWidth="true" style="89"/>
    <col min="3589" max="3589" width="10.140625" customWidth="true" style="89"/>
    <col min="3590" max="3590" width="10.140625" customWidth="true" style="89"/>
    <col min="3591" max="3591" width="10.140625" customWidth="true" style="89"/>
    <col min="3592" max="3592" width="10.140625" customWidth="true" style="89"/>
    <col min="3593" max="3593" width="10.140625" customWidth="true" style="89"/>
    <col min="3594" max="3594" width="11" style="89"/>
    <col min="3595" max="3595" width="11" style="89"/>
    <col min="3596" max="3596" width="11" style="89"/>
    <col min="3597" max="3597" width="11" style="89"/>
    <col min="3598" max="3598" width="11" style="89"/>
    <col min="3599" max="3599" width="11" style="89"/>
    <col min="3600" max="3600" width="11" style="89"/>
    <col min="3601" max="3601" width="11" style="89"/>
    <col min="3602" max="3602" width="11" style="89"/>
    <col min="3603" max="3603" width="11" style="89"/>
    <col min="3604" max="3604" width="11" style="89"/>
    <col min="3605" max="3605" width="11" style="89"/>
    <col min="3606" max="3606" width="11" style="89"/>
    <col min="3607" max="3607" width="11" style="89"/>
    <col min="3608" max="3608" width="11" style="89"/>
    <col min="3609" max="3609" width="11" style="89"/>
    <col min="3610" max="3610" width="11" style="89"/>
    <col min="3611" max="3611" width="11" style="89"/>
    <col min="3612" max="3612" width="11" style="89"/>
    <col min="3613" max="3613" width="11" style="89"/>
    <col min="3614" max="3614" width="11" style="89"/>
    <col min="3615" max="3615" width="11" style="89"/>
    <col min="3616" max="3616" width="11" style="89"/>
    <col min="3617" max="3617" width="11" style="89"/>
    <col min="3618" max="3618" width="11" style="89"/>
    <col min="3619" max="3619" width="11" style="89"/>
    <col min="3620" max="3620" width="11" style="89"/>
    <col min="3621" max="3621" width="11" style="89"/>
    <col min="3622" max="3622" width="11" style="89"/>
    <col min="3623" max="3623" width="11" style="89"/>
    <col min="3624" max="3624" width="11" style="89"/>
    <col min="3625" max="3625" width="11" style="89"/>
    <col min="3626" max="3626" width="11" style="89"/>
    <col min="3627" max="3627" width="11" style="89"/>
    <col min="3628" max="3628" width="11" style="89"/>
    <col min="3629" max="3629" width="11" style="89"/>
    <col min="3630" max="3630" width="11" style="89"/>
    <col min="3631" max="3631" width="11" style="89"/>
    <col min="3632" max="3632" width="11" style="89"/>
    <col min="3633" max="3633" width="11" style="89"/>
    <col min="3634" max="3634" width="11" style="89"/>
    <col min="3635" max="3635" width="11" style="89"/>
    <col min="3636" max="3636" width="11" style="89"/>
    <col min="3637" max="3637" width="11" style="89"/>
    <col min="3638" max="3638" width="11" style="89"/>
    <col min="3639" max="3639" width="11" style="89"/>
    <col min="3640" max="3640" width="11" style="89"/>
    <col min="3641" max="3641" width="11" style="89"/>
    <col min="3642" max="3642" width="11" style="89"/>
    <col min="3643" max="3643" width="11" style="89"/>
    <col min="3644" max="3644" width="11" style="89"/>
    <col min="3645" max="3645" width="11" style="89"/>
    <col min="3646" max="3646" width="11" style="89"/>
    <col min="3647" max="3647" width="11" style="89"/>
    <col min="3648" max="3648" width="11" style="89"/>
    <col min="3649" max="3649" width="11" style="89"/>
    <col min="3650" max="3650" width="11" style="89"/>
    <col min="3651" max="3651" width="11" style="89"/>
    <col min="3652" max="3652" width="11" style="89"/>
    <col min="3653" max="3653" width="11" style="89"/>
    <col min="3654" max="3654" width="11" style="89"/>
    <col min="3655" max="3655" width="11" style="89"/>
    <col min="3656" max="3656" width="11" style="89"/>
    <col min="3657" max="3657" width="11" style="89"/>
    <col min="3658" max="3658" width="11" style="89"/>
    <col min="3659" max="3659" width="11" style="89"/>
    <col min="3660" max="3660" width="11" style="89"/>
    <col min="3661" max="3661" width="11" style="89"/>
    <col min="3662" max="3662" width="11" style="89"/>
    <col min="3663" max="3663" width="11" style="89"/>
    <col min="3664" max="3664" width="11" style="89"/>
    <col min="3665" max="3665" width="11" style="89"/>
    <col min="3666" max="3666" width="11" style="89"/>
    <col min="3667" max="3667" width="11" style="89"/>
    <col min="3668" max="3668" width="11" style="89"/>
    <col min="3669" max="3669" width="11" style="89"/>
    <col min="3670" max="3670" width="11" style="89"/>
    <col min="3671" max="3671" width="11" style="89"/>
    <col min="3672" max="3672" width="11" style="89"/>
    <col min="3673" max="3673" width="11" style="89"/>
    <col min="3674" max="3674" width="11" style="89"/>
    <col min="3675" max="3675" width="11" style="89"/>
    <col min="3676" max="3676" width="11" style="89"/>
    <col min="3677" max="3677" width="11" style="89"/>
    <col min="3678" max="3678" width="11" style="89"/>
    <col min="3679" max="3679" width="11" style="89"/>
    <col min="3680" max="3680" width="11" style="89"/>
    <col min="3681" max="3681" width="11" style="89"/>
    <col min="3682" max="3682" width="11" style="89"/>
    <col min="3683" max="3683" width="11" style="89"/>
    <col min="3684" max="3684" width="11" style="89"/>
    <col min="3685" max="3685" width="11" style="89"/>
    <col min="3686" max="3686" width="11" style="89"/>
    <col min="3687" max="3687" width="11" style="89"/>
    <col min="3688" max="3688" width="11" style="89"/>
    <col min="3689" max="3689" width="11" style="89"/>
    <col min="3690" max="3690" width="11" style="89"/>
    <col min="3691" max="3691" width="11" style="89"/>
    <col min="3692" max="3692" width="11" style="89"/>
    <col min="3693" max="3693" width="11" style="89"/>
    <col min="3694" max="3694" width="11" style="89"/>
    <col min="3695" max="3695" width="11" style="89"/>
    <col min="3696" max="3696" width="11" style="89"/>
    <col min="3697" max="3697" width="11" style="89"/>
    <col min="3698" max="3698" width="11" style="89"/>
    <col min="3699" max="3699" width="11" style="89"/>
    <col min="3700" max="3700" width="11" style="89"/>
    <col min="3701" max="3701" width="11" style="89"/>
    <col min="3702" max="3702" width="11" style="89"/>
    <col min="3703" max="3703" width="11" style="89"/>
    <col min="3704" max="3704" width="11" style="89"/>
    <col min="3705" max="3705" width="11" style="89"/>
    <col min="3706" max="3706" width="11" style="89"/>
    <col min="3707" max="3707" width="11" style="89"/>
    <col min="3708" max="3708" width="11" style="89"/>
    <col min="3709" max="3709" width="11" style="89"/>
    <col min="3710" max="3710" width="11" style="89"/>
    <col min="3711" max="3711" width="11" style="89"/>
    <col min="3712" max="3712" width="11" style="89"/>
    <col min="3713" max="3713" width="11" style="89"/>
    <col min="3714" max="3714" width="11" style="89"/>
    <col min="3715" max="3715" width="11" style="89"/>
    <col min="3716" max="3716" width="11" style="89"/>
    <col min="3717" max="3717" width="11" style="89"/>
    <col min="3718" max="3718" width="11" style="89"/>
    <col min="3719" max="3719" width="11" style="89"/>
    <col min="3720" max="3720" width="11" style="89"/>
    <col min="3721" max="3721" width="11" style="89"/>
    <col min="3722" max="3722" width="11" style="89"/>
    <col min="3723" max="3723" width="11" style="89"/>
    <col min="3724" max="3724" width="11" style="89"/>
    <col min="3725" max="3725" width="11" style="89"/>
    <col min="3726" max="3726" width="11" style="89"/>
    <col min="3727" max="3727" width="11" style="89"/>
    <col min="3728" max="3728" width="11" style="89"/>
    <col min="3729" max="3729" width="11" style="89"/>
    <col min="3730" max="3730" width="11" style="89"/>
    <col min="3731" max="3731" width="11" style="89"/>
    <col min="3732" max="3732" width="11" style="89"/>
    <col min="3733" max="3733" width="11" style="89"/>
    <col min="3734" max="3734" width="11" style="89"/>
    <col min="3735" max="3735" width="11" style="89"/>
    <col min="3736" max="3736" width="11" style="89"/>
    <col min="3737" max="3737" width="11" style="89"/>
    <col min="3738" max="3738" width="11" style="89"/>
    <col min="3739" max="3739" width="11" style="89"/>
    <col min="3740" max="3740" width="11" style="89"/>
    <col min="3741" max="3741" width="11" style="89"/>
    <col min="3742" max="3742" width="11" style="89"/>
    <col min="3743" max="3743" width="11" style="89"/>
    <col min="3744" max="3744" width="11" style="89"/>
    <col min="3745" max="3745" width="11" style="89"/>
    <col min="3746" max="3746" width="11" style="89"/>
    <col min="3747" max="3747" width="11" style="89"/>
    <col min="3748" max="3748" width="11" style="89"/>
    <col min="3749" max="3749" width="11" style="89"/>
    <col min="3750" max="3750" width="11" style="89"/>
    <col min="3751" max="3751" width="11" style="89"/>
    <col min="3752" max="3752" width="11" style="89"/>
    <col min="3753" max="3753" width="11" style="89"/>
    <col min="3754" max="3754" width="11" style="89"/>
    <col min="3755" max="3755" width="11" style="89"/>
    <col min="3756" max="3756" width="11" style="89"/>
    <col min="3757" max="3757" width="11" style="89"/>
    <col min="3758" max="3758" width="11" style="89"/>
    <col min="3759" max="3759" width="11" style="89"/>
    <col min="3760" max="3760" width="11" style="89"/>
    <col min="3761" max="3761" width="11" style="89"/>
    <col min="3762" max="3762" width="11" style="89"/>
    <col min="3763" max="3763" width="11" style="89"/>
    <col min="3764" max="3764" width="11" style="89"/>
    <col min="3765" max="3765" width="11" style="89"/>
    <col min="3766" max="3766" width="11" style="89"/>
    <col min="3767" max="3767" width="11" style="89"/>
    <col min="3768" max="3768" width="11" style="89"/>
    <col min="3769" max="3769" width="11" style="89"/>
    <col min="3770" max="3770" width="11" style="89"/>
    <col min="3771" max="3771" width="11" style="89"/>
    <col min="3772" max="3772" width="11" style="89"/>
    <col min="3773" max="3773" width="11" style="89"/>
    <col min="3774" max="3774" width="11" style="89"/>
    <col min="3775" max="3775" width="11" style="89"/>
    <col min="3776" max="3776" width="11" style="89"/>
    <col min="3777" max="3777" width="11" style="89"/>
    <col min="3778" max="3778" width="11" style="89"/>
    <col min="3779" max="3779" width="11" style="89"/>
    <col min="3780" max="3780" width="11" style="89"/>
    <col min="3781" max="3781" width="11" style="89"/>
    <col min="3782" max="3782" width="11" style="89"/>
    <col min="3783" max="3783" width="11" style="89"/>
    <col min="3784" max="3784" width="11" style="89"/>
    <col min="3785" max="3785" width="11" style="89"/>
    <col min="3786" max="3786" width="11" style="89"/>
    <col min="3787" max="3787" width="11" style="89"/>
    <col min="3788" max="3788" width="11" style="89"/>
    <col min="3789" max="3789" width="11" style="89"/>
    <col min="3790" max="3790" width="11" style="89"/>
    <col min="3791" max="3791" width="11" style="89"/>
    <col min="3792" max="3792" width="11" style="89"/>
    <col min="3793" max="3793" width="11" style="89"/>
    <col min="3794" max="3794" width="11" style="89"/>
    <col min="3795" max="3795" width="11" style="89"/>
    <col min="3796" max="3796" width="11" style="89"/>
    <col min="3797" max="3797" width="11" style="89"/>
    <col min="3798" max="3798" width="11" style="89"/>
    <col min="3799" max="3799" width="11" style="89"/>
    <col min="3800" max="3800" width="11" style="89"/>
    <col min="3801" max="3801" width="11" style="89"/>
    <col min="3802" max="3802" width="11" style="89"/>
    <col min="3803" max="3803" width="11" style="89"/>
    <col min="3804" max="3804" width="11" style="89"/>
    <col min="3805" max="3805" width="11" style="89"/>
    <col min="3806" max="3806" width="11" style="89"/>
    <col min="3807" max="3807" width="11" style="89"/>
    <col min="3808" max="3808" width="11" style="89"/>
    <col min="3809" max="3809" width="11" style="89"/>
    <col min="3810" max="3810" width="11" style="89"/>
    <col min="3811" max="3811" width="11" style="89"/>
    <col min="3812" max="3812" width="11" style="89"/>
    <col min="3813" max="3813" width="11" style="89"/>
    <col min="3814" max="3814" width="11" style="89"/>
    <col min="3815" max="3815" width="11" style="89"/>
    <col min="3816" max="3816" width="11" style="89"/>
    <col min="3817" max="3817" width="11" style="89"/>
    <col min="3818" max="3818" width="11" style="89"/>
    <col min="3819" max="3819" width="11" style="89"/>
    <col min="3820" max="3820" width="11" style="89"/>
    <col min="3821" max="3821" width="11" style="89"/>
    <col min="3822" max="3822" width="11" style="89"/>
    <col min="3823" max="3823" width="11" style="89"/>
    <col min="3824" max="3824" width="11" style="89"/>
    <col min="3825" max="3825" width="11" style="89"/>
    <col min="3826" max="3826" width="11" style="89"/>
    <col min="3827" max="3827" width="11" style="89"/>
    <col min="3828" max="3828" width="11" style="89"/>
    <col min="3829" max="3829" width="11" style="89"/>
    <col min="3830" max="3830" width="11" style="89"/>
    <col min="3831" max="3831" width="11" style="89"/>
    <col min="3832" max="3832" width="11" style="89"/>
    <col min="3833" max="3833" width="11" style="89"/>
    <col min="3834" max="3834" width="11" style="89"/>
    <col min="3835" max="3835" width="11" style="89"/>
    <col min="3836" max="3836" width="11" style="89"/>
    <col min="3837" max="3837" width="11" style="89"/>
    <col min="3838" max="3838" width="11" style="89"/>
    <col min="3839" max="3839" width="11" style="89"/>
    <col min="3840" max="3840" width="11" style="89"/>
    <col min="3841" max="3841" width="10.140625" customWidth="true" style="89"/>
    <col min="3842" max="3842" width="10.140625" customWidth="true" style="89"/>
    <col min="3843" max="3843" width="10.140625" customWidth="true" style="89"/>
    <col min="3844" max="3844" width="10.140625" customWidth="true" style="89"/>
    <col min="3845" max="3845" width="10.140625" customWidth="true" style="89"/>
    <col min="3846" max="3846" width="10.140625" customWidth="true" style="89"/>
    <col min="3847" max="3847" width="10.140625" customWidth="true" style="89"/>
    <col min="3848" max="3848" width="10.140625" customWidth="true" style="89"/>
    <col min="3849" max="3849" width="10.140625" customWidth="true" style="89"/>
    <col min="3850" max="3850" width="11" style="89"/>
    <col min="3851" max="3851" width="11" style="89"/>
    <col min="3852" max="3852" width="11" style="89"/>
    <col min="3853" max="3853" width="11" style="89"/>
    <col min="3854" max="3854" width="11" style="89"/>
    <col min="3855" max="3855" width="11" style="89"/>
    <col min="3856" max="3856" width="11" style="89"/>
    <col min="3857" max="3857" width="11" style="89"/>
    <col min="3858" max="3858" width="11" style="89"/>
    <col min="3859" max="3859" width="11" style="89"/>
    <col min="3860" max="3860" width="11" style="89"/>
    <col min="3861" max="3861" width="11" style="89"/>
    <col min="3862" max="3862" width="11" style="89"/>
    <col min="3863" max="3863" width="11" style="89"/>
    <col min="3864" max="3864" width="11" style="89"/>
    <col min="3865" max="3865" width="11" style="89"/>
    <col min="3866" max="3866" width="11" style="89"/>
    <col min="3867" max="3867" width="11" style="89"/>
    <col min="3868" max="3868" width="11" style="89"/>
    <col min="3869" max="3869" width="11" style="89"/>
    <col min="3870" max="3870" width="11" style="89"/>
    <col min="3871" max="3871" width="11" style="89"/>
    <col min="3872" max="3872" width="11" style="89"/>
    <col min="3873" max="3873" width="11" style="89"/>
    <col min="3874" max="3874" width="11" style="89"/>
    <col min="3875" max="3875" width="11" style="89"/>
    <col min="3876" max="3876" width="11" style="89"/>
    <col min="3877" max="3877" width="11" style="89"/>
    <col min="3878" max="3878" width="11" style="89"/>
    <col min="3879" max="3879" width="11" style="89"/>
    <col min="3880" max="3880" width="11" style="89"/>
    <col min="3881" max="3881" width="11" style="89"/>
    <col min="3882" max="3882" width="11" style="89"/>
    <col min="3883" max="3883" width="11" style="89"/>
    <col min="3884" max="3884" width="11" style="89"/>
    <col min="3885" max="3885" width="11" style="89"/>
    <col min="3886" max="3886" width="11" style="89"/>
    <col min="3887" max="3887" width="11" style="89"/>
    <col min="3888" max="3888" width="11" style="89"/>
    <col min="3889" max="3889" width="11" style="89"/>
    <col min="3890" max="3890" width="11" style="89"/>
    <col min="3891" max="3891" width="11" style="89"/>
    <col min="3892" max="3892" width="11" style="89"/>
    <col min="3893" max="3893" width="11" style="89"/>
    <col min="3894" max="3894" width="11" style="89"/>
    <col min="3895" max="3895" width="11" style="89"/>
    <col min="3896" max="3896" width="11" style="89"/>
    <col min="3897" max="3897" width="11" style="89"/>
    <col min="3898" max="3898" width="11" style="89"/>
    <col min="3899" max="3899" width="11" style="89"/>
    <col min="3900" max="3900" width="11" style="89"/>
    <col min="3901" max="3901" width="11" style="89"/>
    <col min="3902" max="3902" width="11" style="89"/>
    <col min="3903" max="3903" width="11" style="89"/>
    <col min="3904" max="3904" width="11" style="89"/>
    <col min="3905" max="3905" width="11" style="89"/>
    <col min="3906" max="3906" width="11" style="89"/>
    <col min="3907" max="3907" width="11" style="89"/>
    <col min="3908" max="3908" width="11" style="89"/>
    <col min="3909" max="3909" width="11" style="89"/>
    <col min="3910" max="3910" width="11" style="89"/>
    <col min="3911" max="3911" width="11" style="89"/>
    <col min="3912" max="3912" width="11" style="89"/>
    <col min="3913" max="3913" width="11" style="89"/>
    <col min="3914" max="3914" width="11" style="89"/>
    <col min="3915" max="3915" width="11" style="89"/>
    <col min="3916" max="3916" width="11" style="89"/>
    <col min="3917" max="3917" width="11" style="89"/>
    <col min="3918" max="3918" width="11" style="89"/>
    <col min="3919" max="3919" width="11" style="89"/>
    <col min="3920" max="3920" width="11" style="89"/>
    <col min="3921" max="3921" width="11" style="89"/>
    <col min="3922" max="3922" width="11" style="89"/>
    <col min="3923" max="3923" width="11" style="89"/>
    <col min="3924" max="3924" width="11" style="89"/>
    <col min="3925" max="3925" width="11" style="89"/>
    <col min="3926" max="3926" width="11" style="89"/>
    <col min="3927" max="3927" width="11" style="89"/>
    <col min="3928" max="3928" width="11" style="89"/>
    <col min="3929" max="3929" width="11" style="89"/>
    <col min="3930" max="3930" width="11" style="89"/>
    <col min="3931" max="3931" width="11" style="89"/>
    <col min="3932" max="3932" width="11" style="89"/>
    <col min="3933" max="3933" width="11" style="89"/>
    <col min="3934" max="3934" width="11" style="89"/>
    <col min="3935" max="3935" width="11" style="89"/>
    <col min="3936" max="3936" width="11" style="89"/>
    <col min="3937" max="3937" width="11" style="89"/>
    <col min="3938" max="3938" width="11" style="89"/>
    <col min="3939" max="3939" width="11" style="89"/>
    <col min="3940" max="3940" width="11" style="89"/>
    <col min="3941" max="3941" width="11" style="89"/>
    <col min="3942" max="3942" width="11" style="89"/>
    <col min="3943" max="3943" width="11" style="89"/>
    <col min="3944" max="3944" width="11" style="89"/>
    <col min="3945" max="3945" width="11" style="89"/>
    <col min="3946" max="3946" width="11" style="89"/>
    <col min="3947" max="3947" width="11" style="89"/>
    <col min="3948" max="3948" width="11" style="89"/>
    <col min="3949" max="3949" width="11" style="89"/>
    <col min="3950" max="3950" width="11" style="89"/>
    <col min="3951" max="3951" width="11" style="89"/>
    <col min="3952" max="3952" width="11" style="89"/>
    <col min="3953" max="3953" width="11" style="89"/>
    <col min="3954" max="3954" width="11" style="89"/>
    <col min="3955" max="3955" width="11" style="89"/>
    <col min="3956" max="3956" width="11" style="89"/>
    <col min="3957" max="3957" width="11" style="89"/>
    <col min="3958" max="3958" width="11" style="89"/>
    <col min="3959" max="3959" width="11" style="89"/>
    <col min="3960" max="3960" width="11" style="89"/>
    <col min="3961" max="3961" width="11" style="89"/>
    <col min="3962" max="3962" width="11" style="89"/>
    <col min="3963" max="3963" width="11" style="89"/>
    <col min="3964" max="3964" width="11" style="89"/>
    <col min="3965" max="3965" width="11" style="89"/>
    <col min="3966" max="3966" width="11" style="89"/>
    <col min="3967" max="3967" width="11" style="89"/>
    <col min="3968" max="3968" width="11" style="89"/>
    <col min="3969" max="3969" width="11" style="89"/>
    <col min="3970" max="3970" width="11" style="89"/>
    <col min="3971" max="3971" width="11" style="89"/>
    <col min="3972" max="3972" width="11" style="89"/>
    <col min="3973" max="3973" width="11" style="89"/>
    <col min="3974" max="3974" width="11" style="89"/>
    <col min="3975" max="3975" width="11" style="89"/>
    <col min="3976" max="3976" width="11" style="89"/>
    <col min="3977" max="3977" width="11" style="89"/>
    <col min="3978" max="3978" width="11" style="89"/>
    <col min="3979" max="3979" width="11" style="89"/>
    <col min="3980" max="3980" width="11" style="89"/>
    <col min="3981" max="3981" width="11" style="89"/>
    <col min="3982" max="3982" width="11" style="89"/>
    <col min="3983" max="3983" width="11" style="89"/>
    <col min="3984" max="3984" width="11" style="89"/>
    <col min="3985" max="3985" width="11" style="89"/>
    <col min="3986" max="3986" width="11" style="89"/>
    <col min="3987" max="3987" width="11" style="89"/>
    <col min="3988" max="3988" width="11" style="89"/>
    <col min="3989" max="3989" width="11" style="89"/>
    <col min="3990" max="3990" width="11" style="89"/>
    <col min="3991" max="3991" width="11" style="89"/>
    <col min="3992" max="3992" width="11" style="89"/>
    <col min="3993" max="3993" width="11" style="89"/>
    <col min="3994" max="3994" width="11" style="89"/>
    <col min="3995" max="3995" width="11" style="89"/>
    <col min="3996" max="3996" width="11" style="89"/>
    <col min="3997" max="3997" width="11" style="89"/>
    <col min="3998" max="3998" width="11" style="89"/>
    <col min="3999" max="3999" width="11" style="89"/>
    <col min="4000" max="4000" width="11" style="89"/>
    <col min="4001" max="4001" width="11" style="89"/>
    <col min="4002" max="4002" width="11" style="89"/>
    <col min="4003" max="4003" width="11" style="89"/>
    <col min="4004" max="4004" width="11" style="89"/>
    <col min="4005" max="4005" width="11" style="89"/>
    <col min="4006" max="4006" width="11" style="89"/>
    <col min="4007" max="4007" width="11" style="89"/>
    <col min="4008" max="4008" width="11" style="89"/>
    <col min="4009" max="4009" width="11" style="89"/>
    <col min="4010" max="4010" width="11" style="89"/>
    <col min="4011" max="4011" width="11" style="89"/>
    <col min="4012" max="4012" width="11" style="89"/>
    <col min="4013" max="4013" width="11" style="89"/>
    <col min="4014" max="4014" width="11" style="89"/>
    <col min="4015" max="4015" width="11" style="89"/>
    <col min="4016" max="4016" width="11" style="89"/>
    <col min="4017" max="4017" width="11" style="89"/>
    <col min="4018" max="4018" width="11" style="89"/>
    <col min="4019" max="4019" width="11" style="89"/>
    <col min="4020" max="4020" width="11" style="89"/>
    <col min="4021" max="4021" width="11" style="89"/>
    <col min="4022" max="4022" width="11" style="89"/>
    <col min="4023" max="4023" width="11" style="89"/>
    <col min="4024" max="4024" width="11" style="89"/>
    <col min="4025" max="4025" width="11" style="89"/>
    <col min="4026" max="4026" width="11" style="89"/>
    <col min="4027" max="4027" width="11" style="89"/>
    <col min="4028" max="4028" width="11" style="89"/>
    <col min="4029" max="4029" width="11" style="89"/>
    <col min="4030" max="4030" width="11" style="89"/>
    <col min="4031" max="4031" width="11" style="89"/>
    <col min="4032" max="4032" width="11" style="89"/>
    <col min="4033" max="4033" width="11" style="89"/>
    <col min="4034" max="4034" width="11" style="89"/>
    <col min="4035" max="4035" width="11" style="89"/>
    <col min="4036" max="4036" width="11" style="89"/>
    <col min="4037" max="4037" width="11" style="89"/>
    <col min="4038" max="4038" width="11" style="89"/>
    <col min="4039" max="4039" width="11" style="89"/>
    <col min="4040" max="4040" width="11" style="89"/>
    <col min="4041" max="4041" width="11" style="89"/>
    <col min="4042" max="4042" width="11" style="89"/>
    <col min="4043" max="4043" width="11" style="89"/>
    <col min="4044" max="4044" width="11" style="89"/>
    <col min="4045" max="4045" width="11" style="89"/>
    <col min="4046" max="4046" width="11" style="89"/>
    <col min="4047" max="4047" width="11" style="89"/>
    <col min="4048" max="4048" width="11" style="89"/>
    <col min="4049" max="4049" width="11" style="89"/>
    <col min="4050" max="4050" width="11" style="89"/>
    <col min="4051" max="4051" width="11" style="89"/>
    <col min="4052" max="4052" width="11" style="89"/>
    <col min="4053" max="4053" width="11" style="89"/>
    <col min="4054" max="4054" width="11" style="89"/>
    <col min="4055" max="4055" width="11" style="89"/>
    <col min="4056" max="4056" width="11" style="89"/>
    <col min="4057" max="4057" width="11" style="89"/>
    <col min="4058" max="4058" width="11" style="89"/>
    <col min="4059" max="4059" width="11" style="89"/>
    <col min="4060" max="4060" width="11" style="89"/>
    <col min="4061" max="4061" width="11" style="89"/>
    <col min="4062" max="4062" width="11" style="89"/>
    <col min="4063" max="4063" width="11" style="89"/>
    <col min="4064" max="4064" width="11" style="89"/>
    <col min="4065" max="4065" width="11" style="89"/>
    <col min="4066" max="4066" width="11" style="89"/>
    <col min="4067" max="4067" width="11" style="89"/>
    <col min="4068" max="4068" width="11" style="89"/>
    <col min="4069" max="4069" width="11" style="89"/>
    <col min="4070" max="4070" width="11" style="89"/>
    <col min="4071" max="4071" width="11" style="89"/>
    <col min="4072" max="4072" width="11" style="89"/>
    <col min="4073" max="4073" width="11" style="89"/>
    <col min="4074" max="4074" width="11" style="89"/>
    <col min="4075" max="4075" width="11" style="89"/>
    <col min="4076" max="4076" width="11" style="89"/>
    <col min="4077" max="4077" width="11" style="89"/>
    <col min="4078" max="4078" width="11" style="89"/>
    <col min="4079" max="4079" width="11" style="89"/>
    <col min="4080" max="4080" width="11" style="89"/>
    <col min="4081" max="4081" width="11" style="89"/>
    <col min="4082" max="4082" width="11" style="89"/>
    <col min="4083" max="4083" width="11" style="89"/>
    <col min="4084" max="4084" width="11" style="89"/>
    <col min="4085" max="4085" width="11" style="89"/>
    <col min="4086" max="4086" width="11" style="89"/>
    <col min="4087" max="4087" width="11" style="89"/>
    <col min="4088" max="4088" width="11" style="89"/>
    <col min="4089" max="4089" width="11" style="89"/>
    <col min="4090" max="4090" width="11" style="89"/>
    <col min="4091" max="4091" width="11" style="89"/>
    <col min="4092" max="4092" width="11" style="89"/>
    <col min="4093" max="4093" width="11" style="89"/>
    <col min="4094" max="4094" width="11" style="89"/>
    <col min="4095" max="4095" width="11" style="89"/>
    <col min="4096" max="4096" width="11" style="89"/>
    <col min="4097" max="4097" width="10.140625" customWidth="true" style="89"/>
    <col min="4098" max="4098" width="10.140625" customWidth="true" style="89"/>
    <col min="4099" max="4099" width="10.140625" customWidth="true" style="89"/>
    <col min="4100" max="4100" width="10.140625" customWidth="true" style="89"/>
    <col min="4101" max="4101" width="10.140625" customWidth="true" style="89"/>
    <col min="4102" max="4102" width="10.140625" customWidth="true" style="89"/>
    <col min="4103" max="4103" width="10.140625" customWidth="true" style="89"/>
    <col min="4104" max="4104" width="10.140625" customWidth="true" style="89"/>
    <col min="4105" max="4105" width="10.140625" customWidth="true" style="89"/>
    <col min="4106" max="4106" width="11" style="89"/>
    <col min="4107" max="4107" width="11" style="89"/>
    <col min="4108" max="4108" width="11" style="89"/>
    <col min="4109" max="4109" width="11" style="89"/>
    <col min="4110" max="4110" width="11" style="89"/>
    <col min="4111" max="4111" width="11" style="89"/>
    <col min="4112" max="4112" width="11" style="89"/>
    <col min="4113" max="4113" width="11" style="89"/>
    <col min="4114" max="4114" width="11" style="89"/>
    <col min="4115" max="4115" width="11" style="89"/>
    <col min="4116" max="4116" width="11" style="89"/>
    <col min="4117" max="4117" width="11" style="89"/>
    <col min="4118" max="4118" width="11" style="89"/>
    <col min="4119" max="4119" width="11" style="89"/>
    <col min="4120" max="4120" width="11" style="89"/>
    <col min="4121" max="4121" width="11" style="89"/>
    <col min="4122" max="4122" width="11" style="89"/>
    <col min="4123" max="4123" width="11" style="89"/>
    <col min="4124" max="4124" width="11" style="89"/>
    <col min="4125" max="4125" width="11" style="89"/>
    <col min="4126" max="4126" width="11" style="89"/>
    <col min="4127" max="4127" width="11" style="89"/>
    <col min="4128" max="4128" width="11" style="89"/>
    <col min="4129" max="4129" width="11" style="89"/>
    <col min="4130" max="4130" width="11" style="89"/>
    <col min="4131" max="4131" width="11" style="89"/>
    <col min="4132" max="4132" width="11" style="89"/>
    <col min="4133" max="4133" width="11" style="89"/>
    <col min="4134" max="4134" width="11" style="89"/>
    <col min="4135" max="4135" width="11" style="89"/>
    <col min="4136" max="4136" width="11" style="89"/>
    <col min="4137" max="4137" width="11" style="89"/>
    <col min="4138" max="4138" width="11" style="89"/>
    <col min="4139" max="4139" width="11" style="89"/>
    <col min="4140" max="4140" width="11" style="89"/>
    <col min="4141" max="4141" width="11" style="89"/>
    <col min="4142" max="4142" width="11" style="89"/>
    <col min="4143" max="4143" width="11" style="89"/>
    <col min="4144" max="4144" width="11" style="89"/>
    <col min="4145" max="4145" width="11" style="89"/>
    <col min="4146" max="4146" width="11" style="89"/>
    <col min="4147" max="4147" width="11" style="89"/>
    <col min="4148" max="4148" width="11" style="89"/>
    <col min="4149" max="4149" width="11" style="89"/>
    <col min="4150" max="4150" width="11" style="89"/>
    <col min="4151" max="4151" width="11" style="89"/>
    <col min="4152" max="4152" width="11" style="89"/>
    <col min="4153" max="4153" width="11" style="89"/>
    <col min="4154" max="4154" width="11" style="89"/>
    <col min="4155" max="4155" width="11" style="89"/>
    <col min="4156" max="4156" width="11" style="89"/>
    <col min="4157" max="4157" width="11" style="89"/>
    <col min="4158" max="4158" width="11" style="89"/>
    <col min="4159" max="4159" width="11" style="89"/>
    <col min="4160" max="4160" width="11" style="89"/>
    <col min="4161" max="4161" width="11" style="89"/>
    <col min="4162" max="4162" width="11" style="89"/>
    <col min="4163" max="4163" width="11" style="89"/>
    <col min="4164" max="4164" width="11" style="89"/>
    <col min="4165" max="4165" width="11" style="89"/>
    <col min="4166" max="4166" width="11" style="89"/>
    <col min="4167" max="4167" width="11" style="89"/>
    <col min="4168" max="4168" width="11" style="89"/>
    <col min="4169" max="4169" width="11" style="89"/>
    <col min="4170" max="4170" width="11" style="89"/>
    <col min="4171" max="4171" width="11" style="89"/>
    <col min="4172" max="4172" width="11" style="89"/>
    <col min="4173" max="4173" width="11" style="89"/>
    <col min="4174" max="4174" width="11" style="89"/>
    <col min="4175" max="4175" width="11" style="89"/>
    <col min="4176" max="4176" width="11" style="89"/>
    <col min="4177" max="4177" width="11" style="89"/>
    <col min="4178" max="4178" width="11" style="89"/>
    <col min="4179" max="4179" width="11" style="89"/>
    <col min="4180" max="4180" width="11" style="89"/>
    <col min="4181" max="4181" width="11" style="89"/>
    <col min="4182" max="4182" width="11" style="89"/>
    <col min="4183" max="4183" width="11" style="89"/>
    <col min="4184" max="4184" width="11" style="89"/>
    <col min="4185" max="4185" width="11" style="89"/>
    <col min="4186" max="4186" width="11" style="89"/>
    <col min="4187" max="4187" width="11" style="89"/>
    <col min="4188" max="4188" width="11" style="89"/>
    <col min="4189" max="4189" width="11" style="89"/>
    <col min="4190" max="4190" width="11" style="89"/>
    <col min="4191" max="4191" width="11" style="89"/>
    <col min="4192" max="4192" width="11" style="89"/>
    <col min="4193" max="4193" width="11" style="89"/>
    <col min="4194" max="4194" width="11" style="89"/>
    <col min="4195" max="4195" width="11" style="89"/>
    <col min="4196" max="4196" width="11" style="89"/>
    <col min="4197" max="4197" width="11" style="89"/>
    <col min="4198" max="4198" width="11" style="89"/>
    <col min="4199" max="4199" width="11" style="89"/>
    <col min="4200" max="4200" width="11" style="89"/>
    <col min="4201" max="4201" width="11" style="89"/>
    <col min="4202" max="4202" width="11" style="89"/>
    <col min="4203" max="4203" width="11" style="89"/>
    <col min="4204" max="4204" width="11" style="89"/>
    <col min="4205" max="4205" width="11" style="89"/>
    <col min="4206" max="4206" width="11" style="89"/>
    <col min="4207" max="4207" width="11" style="89"/>
    <col min="4208" max="4208" width="11" style="89"/>
    <col min="4209" max="4209" width="11" style="89"/>
    <col min="4210" max="4210" width="11" style="89"/>
    <col min="4211" max="4211" width="11" style="89"/>
    <col min="4212" max="4212" width="11" style="89"/>
    <col min="4213" max="4213" width="11" style="89"/>
    <col min="4214" max="4214" width="11" style="89"/>
    <col min="4215" max="4215" width="11" style="89"/>
    <col min="4216" max="4216" width="11" style="89"/>
    <col min="4217" max="4217" width="11" style="89"/>
    <col min="4218" max="4218" width="11" style="89"/>
    <col min="4219" max="4219" width="11" style="89"/>
    <col min="4220" max="4220" width="11" style="89"/>
    <col min="4221" max="4221" width="11" style="89"/>
    <col min="4222" max="4222" width="11" style="89"/>
    <col min="4223" max="4223" width="11" style="89"/>
    <col min="4224" max="4224" width="11" style="89"/>
    <col min="4225" max="4225" width="11" style="89"/>
    <col min="4226" max="4226" width="11" style="89"/>
    <col min="4227" max="4227" width="11" style="89"/>
    <col min="4228" max="4228" width="11" style="89"/>
    <col min="4229" max="4229" width="11" style="89"/>
    <col min="4230" max="4230" width="11" style="89"/>
    <col min="4231" max="4231" width="11" style="89"/>
    <col min="4232" max="4232" width="11" style="89"/>
    <col min="4233" max="4233" width="11" style="89"/>
    <col min="4234" max="4234" width="11" style="89"/>
    <col min="4235" max="4235" width="11" style="89"/>
    <col min="4236" max="4236" width="11" style="89"/>
    <col min="4237" max="4237" width="11" style="89"/>
    <col min="4238" max="4238" width="11" style="89"/>
    <col min="4239" max="4239" width="11" style="89"/>
    <col min="4240" max="4240" width="11" style="89"/>
    <col min="4241" max="4241" width="11" style="89"/>
    <col min="4242" max="4242" width="11" style="89"/>
    <col min="4243" max="4243" width="11" style="89"/>
    <col min="4244" max="4244" width="11" style="89"/>
    <col min="4245" max="4245" width="11" style="89"/>
    <col min="4246" max="4246" width="11" style="89"/>
    <col min="4247" max="4247" width="11" style="89"/>
    <col min="4248" max="4248" width="11" style="89"/>
    <col min="4249" max="4249" width="11" style="89"/>
    <col min="4250" max="4250" width="11" style="89"/>
    <col min="4251" max="4251" width="11" style="89"/>
    <col min="4252" max="4252" width="11" style="89"/>
    <col min="4253" max="4253" width="11" style="89"/>
    <col min="4254" max="4254" width="11" style="89"/>
    <col min="4255" max="4255" width="11" style="89"/>
    <col min="4256" max="4256" width="11" style="89"/>
    <col min="4257" max="4257" width="11" style="89"/>
    <col min="4258" max="4258" width="11" style="89"/>
    <col min="4259" max="4259" width="11" style="89"/>
    <col min="4260" max="4260" width="11" style="89"/>
    <col min="4261" max="4261" width="11" style="89"/>
    <col min="4262" max="4262" width="11" style="89"/>
    <col min="4263" max="4263" width="11" style="89"/>
    <col min="4264" max="4264" width="11" style="89"/>
    <col min="4265" max="4265" width="11" style="89"/>
    <col min="4266" max="4266" width="11" style="89"/>
    <col min="4267" max="4267" width="11" style="89"/>
    <col min="4268" max="4268" width="11" style="89"/>
    <col min="4269" max="4269" width="11" style="89"/>
    <col min="4270" max="4270" width="11" style="89"/>
    <col min="4271" max="4271" width="11" style="89"/>
    <col min="4272" max="4272" width="11" style="89"/>
    <col min="4273" max="4273" width="11" style="89"/>
    <col min="4274" max="4274" width="11" style="89"/>
    <col min="4275" max="4275" width="11" style="89"/>
    <col min="4276" max="4276" width="11" style="89"/>
    <col min="4277" max="4277" width="11" style="89"/>
    <col min="4278" max="4278" width="11" style="89"/>
    <col min="4279" max="4279" width="11" style="89"/>
    <col min="4280" max="4280" width="11" style="89"/>
    <col min="4281" max="4281" width="11" style="89"/>
    <col min="4282" max="4282" width="11" style="89"/>
    <col min="4283" max="4283" width="11" style="89"/>
    <col min="4284" max="4284" width="11" style="89"/>
    <col min="4285" max="4285" width="11" style="89"/>
    <col min="4286" max="4286" width="11" style="89"/>
    <col min="4287" max="4287" width="11" style="89"/>
    <col min="4288" max="4288" width="11" style="89"/>
    <col min="4289" max="4289" width="11" style="89"/>
    <col min="4290" max="4290" width="11" style="89"/>
    <col min="4291" max="4291" width="11" style="89"/>
    <col min="4292" max="4292" width="11" style="89"/>
    <col min="4293" max="4293" width="11" style="89"/>
    <col min="4294" max="4294" width="11" style="89"/>
    <col min="4295" max="4295" width="11" style="89"/>
    <col min="4296" max="4296" width="11" style="89"/>
    <col min="4297" max="4297" width="11" style="89"/>
    <col min="4298" max="4298" width="11" style="89"/>
    <col min="4299" max="4299" width="11" style="89"/>
    <col min="4300" max="4300" width="11" style="89"/>
    <col min="4301" max="4301" width="11" style="89"/>
    <col min="4302" max="4302" width="11" style="89"/>
    <col min="4303" max="4303" width="11" style="89"/>
    <col min="4304" max="4304" width="11" style="89"/>
    <col min="4305" max="4305" width="11" style="89"/>
    <col min="4306" max="4306" width="11" style="89"/>
    <col min="4307" max="4307" width="11" style="89"/>
    <col min="4308" max="4308" width="11" style="89"/>
    <col min="4309" max="4309" width="11" style="89"/>
    <col min="4310" max="4310" width="11" style="89"/>
    <col min="4311" max="4311" width="11" style="89"/>
    <col min="4312" max="4312" width="11" style="89"/>
    <col min="4313" max="4313" width="11" style="89"/>
    <col min="4314" max="4314" width="11" style="89"/>
    <col min="4315" max="4315" width="11" style="89"/>
    <col min="4316" max="4316" width="11" style="89"/>
    <col min="4317" max="4317" width="11" style="89"/>
    <col min="4318" max="4318" width="11" style="89"/>
    <col min="4319" max="4319" width="11" style="89"/>
    <col min="4320" max="4320" width="11" style="89"/>
    <col min="4321" max="4321" width="11" style="89"/>
    <col min="4322" max="4322" width="11" style="89"/>
    <col min="4323" max="4323" width="11" style="89"/>
    <col min="4324" max="4324" width="11" style="89"/>
    <col min="4325" max="4325" width="11" style="89"/>
    <col min="4326" max="4326" width="11" style="89"/>
    <col min="4327" max="4327" width="11" style="89"/>
    <col min="4328" max="4328" width="11" style="89"/>
    <col min="4329" max="4329" width="11" style="89"/>
    <col min="4330" max="4330" width="11" style="89"/>
    <col min="4331" max="4331" width="11" style="89"/>
    <col min="4332" max="4332" width="11" style="89"/>
    <col min="4333" max="4333" width="11" style="89"/>
    <col min="4334" max="4334" width="11" style="89"/>
    <col min="4335" max="4335" width="11" style="89"/>
    <col min="4336" max="4336" width="11" style="89"/>
    <col min="4337" max="4337" width="11" style="89"/>
    <col min="4338" max="4338" width="11" style="89"/>
    <col min="4339" max="4339" width="11" style="89"/>
    <col min="4340" max="4340" width="11" style="89"/>
    <col min="4341" max="4341" width="11" style="89"/>
    <col min="4342" max="4342" width="11" style="89"/>
    <col min="4343" max="4343" width="11" style="89"/>
    <col min="4344" max="4344" width="11" style="89"/>
    <col min="4345" max="4345" width="11" style="89"/>
    <col min="4346" max="4346" width="11" style="89"/>
    <col min="4347" max="4347" width="11" style="89"/>
    <col min="4348" max="4348" width="11" style="89"/>
    <col min="4349" max="4349" width="11" style="89"/>
    <col min="4350" max="4350" width="11" style="89"/>
    <col min="4351" max="4351" width="11" style="89"/>
    <col min="4352" max="4352" width="11" style="89"/>
    <col min="4353" max="4353" width="10.140625" customWidth="true" style="89"/>
    <col min="4354" max="4354" width="10.140625" customWidth="true" style="89"/>
    <col min="4355" max="4355" width="10.140625" customWidth="true" style="89"/>
    <col min="4356" max="4356" width="10.140625" customWidth="true" style="89"/>
    <col min="4357" max="4357" width="10.140625" customWidth="true" style="89"/>
    <col min="4358" max="4358" width="10.140625" customWidth="true" style="89"/>
    <col min="4359" max="4359" width="10.140625" customWidth="true" style="89"/>
    <col min="4360" max="4360" width="10.140625" customWidth="true" style="89"/>
    <col min="4361" max="4361" width="10.140625" customWidth="true" style="89"/>
    <col min="4362" max="4362" width="11" style="89"/>
    <col min="4363" max="4363" width="11" style="89"/>
    <col min="4364" max="4364" width="11" style="89"/>
    <col min="4365" max="4365" width="11" style="89"/>
    <col min="4366" max="4366" width="11" style="89"/>
    <col min="4367" max="4367" width="11" style="89"/>
    <col min="4368" max="4368" width="11" style="89"/>
    <col min="4369" max="4369" width="11" style="89"/>
    <col min="4370" max="4370" width="11" style="89"/>
    <col min="4371" max="4371" width="11" style="89"/>
    <col min="4372" max="4372" width="11" style="89"/>
    <col min="4373" max="4373" width="11" style="89"/>
    <col min="4374" max="4374" width="11" style="89"/>
    <col min="4375" max="4375" width="11" style="89"/>
    <col min="4376" max="4376" width="11" style="89"/>
    <col min="4377" max="4377" width="11" style="89"/>
    <col min="4378" max="4378" width="11" style="89"/>
    <col min="4379" max="4379" width="11" style="89"/>
    <col min="4380" max="4380" width="11" style="89"/>
    <col min="4381" max="4381" width="11" style="89"/>
    <col min="4382" max="4382" width="11" style="89"/>
    <col min="4383" max="4383" width="11" style="89"/>
    <col min="4384" max="4384" width="11" style="89"/>
    <col min="4385" max="4385" width="11" style="89"/>
    <col min="4386" max="4386" width="11" style="89"/>
    <col min="4387" max="4387" width="11" style="89"/>
    <col min="4388" max="4388" width="11" style="89"/>
    <col min="4389" max="4389" width="11" style="89"/>
    <col min="4390" max="4390" width="11" style="89"/>
    <col min="4391" max="4391" width="11" style="89"/>
    <col min="4392" max="4392" width="11" style="89"/>
    <col min="4393" max="4393" width="11" style="89"/>
    <col min="4394" max="4394" width="11" style="89"/>
    <col min="4395" max="4395" width="11" style="89"/>
    <col min="4396" max="4396" width="11" style="89"/>
    <col min="4397" max="4397" width="11" style="89"/>
    <col min="4398" max="4398" width="11" style="89"/>
    <col min="4399" max="4399" width="11" style="89"/>
    <col min="4400" max="4400" width="11" style="89"/>
    <col min="4401" max="4401" width="11" style="89"/>
    <col min="4402" max="4402" width="11" style="89"/>
    <col min="4403" max="4403" width="11" style="89"/>
    <col min="4404" max="4404" width="11" style="89"/>
    <col min="4405" max="4405" width="11" style="89"/>
    <col min="4406" max="4406" width="11" style="89"/>
    <col min="4407" max="4407" width="11" style="89"/>
    <col min="4408" max="4408" width="11" style="89"/>
    <col min="4409" max="4409" width="11" style="89"/>
    <col min="4410" max="4410" width="11" style="89"/>
    <col min="4411" max="4411" width="11" style="89"/>
    <col min="4412" max="4412" width="11" style="89"/>
    <col min="4413" max="4413" width="11" style="89"/>
    <col min="4414" max="4414" width="11" style="89"/>
    <col min="4415" max="4415" width="11" style="89"/>
    <col min="4416" max="4416" width="11" style="89"/>
    <col min="4417" max="4417" width="11" style="89"/>
    <col min="4418" max="4418" width="11" style="89"/>
    <col min="4419" max="4419" width="11" style="89"/>
    <col min="4420" max="4420" width="11" style="89"/>
    <col min="4421" max="4421" width="11" style="89"/>
    <col min="4422" max="4422" width="11" style="89"/>
    <col min="4423" max="4423" width="11" style="89"/>
    <col min="4424" max="4424" width="11" style="89"/>
    <col min="4425" max="4425" width="11" style="89"/>
    <col min="4426" max="4426" width="11" style="89"/>
    <col min="4427" max="4427" width="11" style="89"/>
    <col min="4428" max="4428" width="11" style="89"/>
    <col min="4429" max="4429" width="11" style="89"/>
    <col min="4430" max="4430" width="11" style="89"/>
    <col min="4431" max="4431" width="11" style="89"/>
    <col min="4432" max="4432" width="11" style="89"/>
    <col min="4433" max="4433" width="11" style="89"/>
    <col min="4434" max="4434" width="11" style="89"/>
    <col min="4435" max="4435" width="11" style="89"/>
    <col min="4436" max="4436" width="11" style="89"/>
    <col min="4437" max="4437" width="11" style="89"/>
    <col min="4438" max="4438" width="11" style="89"/>
    <col min="4439" max="4439" width="11" style="89"/>
    <col min="4440" max="4440" width="11" style="89"/>
    <col min="4441" max="4441" width="11" style="89"/>
    <col min="4442" max="4442" width="11" style="89"/>
    <col min="4443" max="4443" width="11" style="89"/>
    <col min="4444" max="4444" width="11" style="89"/>
    <col min="4445" max="4445" width="11" style="89"/>
    <col min="4446" max="4446" width="11" style="89"/>
    <col min="4447" max="4447" width="11" style="89"/>
    <col min="4448" max="4448" width="11" style="89"/>
    <col min="4449" max="4449" width="11" style="89"/>
    <col min="4450" max="4450" width="11" style="89"/>
    <col min="4451" max="4451" width="11" style="89"/>
    <col min="4452" max="4452" width="11" style="89"/>
    <col min="4453" max="4453" width="11" style="89"/>
    <col min="4454" max="4454" width="11" style="89"/>
    <col min="4455" max="4455" width="11" style="89"/>
    <col min="4456" max="4456" width="11" style="89"/>
    <col min="4457" max="4457" width="11" style="89"/>
    <col min="4458" max="4458" width="11" style="89"/>
    <col min="4459" max="4459" width="11" style="89"/>
    <col min="4460" max="4460" width="11" style="89"/>
    <col min="4461" max="4461" width="11" style="89"/>
    <col min="4462" max="4462" width="11" style="89"/>
    <col min="4463" max="4463" width="11" style="89"/>
    <col min="4464" max="4464" width="11" style="89"/>
    <col min="4465" max="4465" width="11" style="89"/>
    <col min="4466" max="4466" width="11" style="89"/>
    <col min="4467" max="4467" width="11" style="89"/>
    <col min="4468" max="4468" width="11" style="89"/>
    <col min="4469" max="4469" width="11" style="89"/>
    <col min="4470" max="4470" width="11" style="89"/>
    <col min="4471" max="4471" width="11" style="89"/>
    <col min="4472" max="4472" width="11" style="89"/>
    <col min="4473" max="4473" width="11" style="89"/>
    <col min="4474" max="4474" width="11" style="89"/>
    <col min="4475" max="4475" width="11" style="89"/>
    <col min="4476" max="4476" width="11" style="89"/>
    <col min="4477" max="4477" width="11" style="89"/>
    <col min="4478" max="4478" width="11" style="89"/>
    <col min="4479" max="4479" width="11" style="89"/>
    <col min="4480" max="4480" width="11" style="89"/>
    <col min="4481" max="4481" width="11" style="89"/>
    <col min="4482" max="4482" width="11" style="89"/>
    <col min="4483" max="4483" width="11" style="89"/>
    <col min="4484" max="4484" width="11" style="89"/>
    <col min="4485" max="4485" width="11" style="89"/>
    <col min="4486" max="4486" width="11" style="89"/>
    <col min="4487" max="4487" width="11" style="89"/>
    <col min="4488" max="4488" width="11" style="89"/>
    <col min="4489" max="4489" width="11" style="89"/>
    <col min="4490" max="4490" width="11" style="89"/>
    <col min="4491" max="4491" width="11" style="89"/>
    <col min="4492" max="4492" width="11" style="89"/>
    <col min="4493" max="4493" width="11" style="89"/>
    <col min="4494" max="4494" width="11" style="89"/>
    <col min="4495" max="4495" width="11" style="89"/>
    <col min="4496" max="4496" width="11" style="89"/>
    <col min="4497" max="4497" width="11" style="89"/>
    <col min="4498" max="4498" width="11" style="89"/>
    <col min="4499" max="4499" width="11" style="89"/>
    <col min="4500" max="4500" width="11" style="89"/>
    <col min="4501" max="4501" width="11" style="89"/>
    <col min="4502" max="4502" width="11" style="89"/>
    <col min="4503" max="4503" width="11" style="89"/>
    <col min="4504" max="4504" width="11" style="89"/>
    <col min="4505" max="4505" width="11" style="89"/>
    <col min="4506" max="4506" width="11" style="89"/>
    <col min="4507" max="4507" width="11" style="89"/>
    <col min="4508" max="4508" width="11" style="89"/>
    <col min="4509" max="4509" width="11" style="89"/>
    <col min="4510" max="4510" width="11" style="89"/>
    <col min="4511" max="4511" width="11" style="89"/>
    <col min="4512" max="4512" width="11" style="89"/>
    <col min="4513" max="4513" width="11" style="89"/>
    <col min="4514" max="4514" width="11" style="89"/>
    <col min="4515" max="4515" width="11" style="89"/>
    <col min="4516" max="4516" width="11" style="89"/>
    <col min="4517" max="4517" width="11" style="89"/>
    <col min="4518" max="4518" width="11" style="89"/>
    <col min="4519" max="4519" width="11" style="89"/>
    <col min="4520" max="4520" width="11" style="89"/>
    <col min="4521" max="4521" width="11" style="89"/>
    <col min="4522" max="4522" width="11" style="89"/>
    <col min="4523" max="4523" width="11" style="89"/>
    <col min="4524" max="4524" width="11" style="89"/>
    <col min="4525" max="4525" width="11" style="89"/>
    <col min="4526" max="4526" width="11" style="89"/>
    <col min="4527" max="4527" width="11" style="89"/>
    <col min="4528" max="4528" width="11" style="89"/>
    <col min="4529" max="4529" width="11" style="89"/>
    <col min="4530" max="4530" width="11" style="89"/>
    <col min="4531" max="4531" width="11" style="89"/>
    <col min="4532" max="4532" width="11" style="89"/>
    <col min="4533" max="4533" width="11" style="89"/>
    <col min="4534" max="4534" width="11" style="89"/>
    <col min="4535" max="4535" width="11" style="89"/>
    <col min="4536" max="4536" width="11" style="89"/>
    <col min="4537" max="4537" width="11" style="89"/>
    <col min="4538" max="4538" width="11" style="89"/>
    <col min="4539" max="4539" width="11" style="89"/>
    <col min="4540" max="4540" width="11" style="89"/>
    <col min="4541" max="4541" width="11" style="89"/>
    <col min="4542" max="4542" width="11" style="89"/>
    <col min="4543" max="4543" width="11" style="89"/>
    <col min="4544" max="4544" width="11" style="89"/>
    <col min="4545" max="4545" width="11" style="89"/>
    <col min="4546" max="4546" width="11" style="89"/>
    <col min="4547" max="4547" width="11" style="89"/>
    <col min="4548" max="4548" width="11" style="89"/>
    <col min="4549" max="4549" width="11" style="89"/>
    <col min="4550" max="4550" width="11" style="89"/>
    <col min="4551" max="4551" width="11" style="89"/>
    <col min="4552" max="4552" width="11" style="89"/>
    <col min="4553" max="4553" width="11" style="89"/>
    <col min="4554" max="4554" width="11" style="89"/>
    <col min="4555" max="4555" width="11" style="89"/>
    <col min="4556" max="4556" width="11" style="89"/>
    <col min="4557" max="4557" width="11" style="89"/>
    <col min="4558" max="4558" width="11" style="89"/>
    <col min="4559" max="4559" width="11" style="89"/>
    <col min="4560" max="4560" width="11" style="89"/>
    <col min="4561" max="4561" width="11" style="89"/>
    <col min="4562" max="4562" width="11" style="89"/>
    <col min="4563" max="4563" width="11" style="89"/>
    <col min="4564" max="4564" width="11" style="89"/>
    <col min="4565" max="4565" width="11" style="89"/>
    <col min="4566" max="4566" width="11" style="89"/>
    <col min="4567" max="4567" width="11" style="89"/>
    <col min="4568" max="4568" width="11" style="89"/>
    <col min="4569" max="4569" width="11" style="89"/>
    <col min="4570" max="4570" width="11" style="89"/>
    <col min="4571" max="4571" width="11" style="89"/>
    <col min="4572" max="4572" width="11" style="89"/>
    <col min="4573" max="4573" width="11" style="89"/>
    <col min="4574" max="4574" width="11" style="89"/>
    <col min="4575" max="4575" width="11" style="89"/>
    <col min="4576" max="4576" width="11" style="89"/>
    <col min="4577" max="4577" width="11" style="89"/>
    <col min="4578" max="4578" width="11" style="89"/>
    <col min="4579" max="4579" width="11" style="89"/>
    <col min="4580" max="4580" width="11" style="89"/>
    <col min="4581" max="4581" width="11" style="89"/>
    <col min="4582" max="4582" width="11" style="89"/>
    <col min="4583" max="4583" width="11" style="89"/>
    <col min="4584" max="4584" width="11" style="89"/>
    <col min="4585" max="4585" width="11" style="89"/>
    <col min="4586" max="4586" width="11" style="89"/>
    <col min="4587" max="4587" width="11" style="89"/>
    <col min="4588" max="4588" width="11" style="89"/>
    <col min="4589" max="4589" width="11" style="89"/>
    <col min="4590" max="4590" width="11" style="89"/>
    <col min="4591" max="4591" width="11" style="89"/>
    <col min="4592" max="4592" width="11" style="89"/>
    <col min="4593" max="4593" width="11" style="89"/>
    <col min="4594" max="4594" width="11" style="89"/>
    <col min="4595" max="4595" width="11" style="89"/>
    <col min="4596" max="4596" width="11" style="89"/>
    <col min="4597" max="4597" width="11" style="89"/>
    <col min="4598" max="4598" width="11" style="89"/>
    <col min="4599" max="4599" width="11" style="89"/>
    <col min="4600" max="4600" width="11" style="89"/>
    <col min="4601" max="4601" width="11" style="89"/>
    <col min="4602" max="4602" width="11" style="89"/>
    <col min="4603" max="4603" width="11" style="89"/>
    <col min="4604" max="4604" width="11" style="89"/>
    <col min="4605" max="4605" width="11" style="89"/>
    <col min="4606" max="4606" width="11" style="89"/>
    <col min="4607" max="4607" width="11" style="89"/>
    <col min="4608" max="4608" width="11" style="89"/>
    <col min="4609" max="4609" width="10.140625" customWidth="true" style="89"/>
    <col min="4610" max="4610" width="10.140625" customWidth="true" style="89"/>
    <col min="4611" max="4611" width="10.140625" customWidth="true" style="89"/>
    <col min="4612" max="4612" width="10.140625" customWidth="true" style="89"/>
    <col min="4613" max="4613" width="10.140625" customWidth="true" style="89"/>
    <col min="4614" max="4614" width="10.140625" customWidth="true" style="89"/>
    <col min="4615" max="4615" width="10.140625" customWidth="true" style="89"/>
    <col min="4616" max="4616" width="10.140625" customWidth="true" style="89"/>
    <col min="4617" max="4617" width="10.140625" customWidth="true" style="89"/>
    <col min="4618" max="4618" width="11" style="89"/>
    <col min="4619" max="4619" width="11" style="89"/>
    <col min="4620" max="4620" width="11" style="89"/>
    <col min="4621" max="4621" width="11" style="89"/>
    <col min="4622" max="4622" width="11" style="89"/>
    <col min="4623" max="4623" width="11" style="89"/>
    <col min="4624" max="4624" width="11" style="89"/>
    <col min="4625" max="4625" width="11" style="89"/>
    <col min="4626" max="4626" width="11" style="89"/>
    <col min="4627" max="4627" width="11" style="89"/>
    <col min="4628" max="4628" width="11" style="89"/>
    <col min="4629" max="4629" width="11" style="89"/>
    <col min="4630" max="4630" width="11" style="89"/>
    <col min="4631" max="4631" width="11" style="89"/>
    <col min="4632" max="4632" width="11" style="89"/>
    <col min="4633" max="4633" width="11" style="89"/>
    <col min="4634" max="4634" width="11" style="89"/>
    <col min="4635" max="4635" width="11" style="89"/>
    <col min="4636" max="4636" width="11" style="89"/>
    <col min="4637" max="4637" width="11" style="89"/>
    <col min="4638" max="4638" width="11" style="89"/>
    <col min="4639" max="4639" width="11" style="89"/>
    <col min="4640" max="4640" width="11" style="89"/>
    <col min="4641" max="4641" width="11" style="89"/>
    <col min="4642" max="4642" width="11" style="89"/>
    <col min="4643" max="4643" width="11" style="89"/>
    <col min="4644" max="4644" width="11" style="89"/>
    <col min="4645" max="4645" width="11" style="89"/>
    <col min="4646" max="4646" width="11" style="89"/>
    <col min="4647" max="4647" width="11" style="89"/>
    <col min="4648" max="4648" width="11" style="89"/>
    <col min="4649" max="4649" width="11" style="89"/>
    <col min="4650" max="4650" width="11" style="89"/>
    <col min="4651" max="4651" width="11" style="89"/>
    <col min="4652" max="4652" width="11" style="89"/>
    <col min="4653" max="4653" width="11" style="89"/>
    <col min="4654" max="4654" width="11" style="89"/>
    <col min="4655" max="4655" width="11" style="89"/>
    <col min="4656" max="4656" width="11" style="89"/>
    <col min="4657" max="4657" width="11" style="89"/>
    <col min="4658" max="4658" width="11" style="89"/>
    <col min="4659" max="4659" width="11" style="89"/>
    <col min="4660" max="4660" width="11" style="89"/>
    <col min="4661" max="4661" width="11" style="89"/>
    <col min="4662" max="4662" width="11" style="89"/>
    <col min="4663" max="4663" width="11" style="89"/>
    <col min="4664" max="4664" width="11" style="89"/>
    <col min="4665" max="4665" width="11" style="89"/>
    <col min="4666" max="4666" width="11" style="89"/>
    <col min="4667" max="4667" width="11" style="89"/>
    <col min="4668" max="4668" width="11" style="89"/>
    <col min="4669" max="4669" width="11" style="89"/>
    <col min="4670" max="4670" width="11" style="89"/>
    <col min="4671" max="4671" width="11" style="89"/>
    <col min="4672" max="4672" width="11" style="89"/>
    <col min="4673" max="4673" width="11" style="89"/>
    <col min="4674" max="4674" width="11" style="89"/>
    <col min="4675" max="4675" width="11" style="89"/>
    <col min="4676" max="4676" width="11" style="89"/>
    <col min="4677" max="4677" width="11" style="89"/>
    <col min="4678" max="4678" width="11" style="89"/>
    <col min="4679" max="4679" width="11" style="89"/>
    <col min="4680" max="4680" width="11" style="89"/>
    <col min="4681" max="4681" width="11" style="89"/>
    <col min="4682" max="4682" width="11" style="89"/>
    <col min="4683" max="4683" width="11" style="89"/>
    <col min="4684" max="4684" width="11" style="89"/>
    <col min="4685" max="4685" width="11" style="89"/>
    <col min="4686" max="4686" width="11" style="89"/>
    <col min="4687" max="4687" width="11" style="89"/>
    <col min="4688" max="4688" width="11" style="89"/>
    <col min="4689" max="4689" width="11" style="89"/>
    <col min="4690" max="4690" width="11" style="89"/>
    <col min="4691" max="4691" width="11" style="89"/>
    <col min="4692" max="4692" width="11" style="89"/>
    <col min="4693" max="4693" width="11" style="89"/>
    <col min="4694" max="4694" width="11" style="89"/>
    <col min="4695" max="4695" width="11" style="89"/>
    <col min="4696" max="4696" width="11" style="89"/>
    <col min="4697" max="4697" width="11" style="89"/>
    <col min="4698" max="4698" width="11" style="89"/>
    <col min="4699" max="4699" width="11" style="89"/>
    <col min="4700" max="4700" width="11" style="89"/>
    <col min="4701" max="4701" width="11" style="89"/>
    <col min="4702" max="4702" width="11" style="89"/>
    <col min="4703" max="4703" width="11" style="89"/>
    <col min="4704" max="4704" width="11" style="89"/>
    <col min="4705" max="4705" width="11" style="89"/>
    <col min="4706" max="4706" width="11" style="89"/>
    <col min="4707" max="4707" width="11" style="89"/>
    <col min="4708" max="4708" width="11" style="89"/>
    <col min="4709" max="4709" width="11" style="89"/>
    <col min="4710" max="4710" width="11" style="89"/>
    <col min="4711" max="4711" width="11" style="89"/>
    <col min="4712" max="4712" width="11" style="89"/>
    <col min="4713" max="4713" width="11" style="89"/>
    <col min="4714" max="4714" width="11" style="89"/>
    <col min="4715" max="4715" width="11" style="89"/>
    <col min="4716" max="4716" width="11" style="89"/>
    <col min="4717" max="4717" width="11" style="89"/>
    <col min="4718" max="4718" width="11" style="89"/>
    <col min="4719" max="4719" width="11" style="89"/>
    <col min="4720" max="4720" width="11" style="89"/>
    <col min="4721" max="4721" width="11" style="89"/>
    <col min="4722" max="4722" width="11" style="89"/>
    <col min="4723" max="4723" width="11" style="89"/>
    <col min="4724" max="4724" width="11" style="89"/>
    <col min="4725" max="4725" width="11" style="89"/>
    <col min="4726" max="4726" width="11" style="89"/>
    <col min="4727" max="4727" width="11" style="89"/>
    <col min="4728" max="4728" width="11" style="89"/>
    <col min="4729" max="4729" width="11" style="89"/>
    <col min="4730" max="4730" width="11" style="89"/>
    <col min="4731" max="4731" width="11" style="89"/>
    <col min="4732" max="4732" width="11" style="89"/>
    <col min="4733" max="4733" width="11" style="89"/>
    <col min="4734" max="4734" width="11" style="89"/>
    <col min="4735" max="4735" width="11" style="89"/>
    <col min="4736" max="4736" width="11" style="89"/>
    <col min="4737" max="4737" width="11" style="89"/>
    <col min="4738" max="4738" width="11" style="89"/>
    <col min="4739" max="4739" width="11" style="89"/>
    <col min="4740" max="4740" width="11" style="89"/>
    <col min="4741" max="4741" width="11" style="89"/>
    <col min="4742" max="4742" width="11" style="89"/>
    <col min="4743" max="4743" width="11" style="89"/>
    <col min="4744" max="4744" width="11" style="89"/>
    <col min="4745" max="4745" width="11" style="89"/>
    <col min="4746" max="4746" width="11" style="89"/>
    <col min="4747" max="4747" width="11" style="89"/>
    <col min="4748" max="4748" width="11" style="89"/>
    <col min="4749" max="4749" width="11" style="89"/>
    <col min="4750" max="4750" width="11" style="89"/>
    <col min="4751" max="4751" width="11" style="89"/>
    <col min="4752" max="4752" width="11" style="89"/>
    <col min="4753" max="4753" width="11" style="89"/>
    <col min="4754" max="4754" width="11" style="89"/>
    <col min="4755" max="4755" width="11" style="89"/>
    <col min="4756" max="4756" width="11" style="89"/>
    <col min="4757" max="4757" width="11" style="89"/>
    <col min="4758" max="4758" width="11" style="89"/>
    <col min="4759" max="4759" width="11" style="89"/>
    <col min="4760" max="4760" width="11" style="89"/>
    <col min="4761" max="4761" width="11" style="89"/>
    <col min="4762" max="4762" width="11" style="89"/>
    <col min="4763" max="4763" width="11" style="89"/>
    <col min="4764" max="4764" width="11" style="89"/>
    <col min="4765" max="4765" width="11" style="89"/>
    <col min="4766" max="4766" width="11" style="89"/>
    <col min="4767" max="4767" width="11" style="89"/>
    <col min="4768" max="4768" width="11" style="89"/>
    <col min="4769" max="4769" width="11" style="89"/>
    <col min="4770" max="4770" width="11" style="89"/>
    <col min="4771" max="4771" width="11" style="89"/>
    <col min="4772" max="4772" width="11" style="89"/>
    <col min="4773" max="4773" width="11" style="89"/>
    <col min="4774" max="4774" width="11" style="89"/>
    <col min="4775" max="4775" width="11" style="89"/>
    <col min="4776" max="4776" width="11" style="89"/>
    <col min="4777" max="4777" width="11" style="89"/>
    <col min="4778" max="4778" width="11" style="89"/>
    <col min="4779" max="4779" width="11" style="89"/>
    <col min="4780" max="4780" width="11" style="89"/>
    <col min="4781" max="4781" width="11" style="89"/>
    <col min="4782" max="4782" width="11" style="89"/>
    <col min="4783" max="4783" width="11" style="89"/>
    <col min="4784" max="4784" width="11" style="89"/>
    <col min="4785" max="4785" width="11" style="89"/>
    <col min="4786" max="4786" width="11" style="89"/>
    <col min="4787" max="4787" width="11" style="89"/>
    <col min="4788" max="4788" width="11" style="89"/>
    <col min="4789" max="4789" width="11" style="89"/>
    <col min="4790" max="4790" width="11" style="89"/>
    <col min="4791" max="4791" width="11" style="89"/>
    <col min="4792" max="4792" width="11" style="89"/>
    <col min="4793" max="4793" width="11" style="89"/>
    <col min="4794" max="4794" width="11" style="89"/>
    <col min="4795" max="4795" width="11" style="89"/>
    <col min="4796" max="4796" width="11" style="89"/>
    <col min="4797" max="4797" width="11" style="89"/>
    <col min="4798" max="4798" width="11" style="89"/>
    <col min="4799" max="4799" width="11" style="89"/>
    <col min="4800" max="4800" width="11" style="89"/>
    <col min="4801" max="4801" width="11" style="89"/>
    <col min="4802" max="4802" width="11" style="89"/>
    <col min="4803" max="4803" width="11" style="89"/>
    <col min="4804" max="4804" width="11" style="89"/>
    <col min="4805" max="4805" width="11" style="89"/>
    <col min="4806" max="4806" width="11" style="89"/>
    <col min="4807" max="4807" width="11" style="89"/>
    <col min="4808" max="4808" width="11" style="89"/>
    <col min="4809" max="4809" width="11" style="89"/>
    <col min="4810" max="4810" width="11" style="89"/>
    <col min="4811" max="4811" width="11" style="89"/>
    <col min="4812" max="4812" width="11" style="89"/>
    <col min="4813" max="4813" width="11" style="89"/>
    <col min="4814" max="4814" width="11" style="89"/>
    <col min="4815" max="4815" width="11" style="89"/>
    <col min="4816" max="4816" width="11" style="89"/>
    <col min="4817" max="4817" width="11" style="89"/>
    <col min="4818" max="4818" width="11" style="89"/>
    <col min="4819" max="4819" width="11" style="89"/>
    <col min="4820" max="4820" width="11" style="89"/>
    <col min="4821" max="4821" width="11" style="89"/>
    <col min="4822" max="4822" width="11" style="89"/>
    <col min="4823" max="4823" width="11" style="89"/>
    <col min="4824" max="4824" width="11" style="89"/>
    <col min="4825" max="4825" width="11" style="89"/>
    <col min="4826" max="4826" width="11" style="89"/>
    <col min="4827" max="4827" width="11" style="89"/>
    <col min="4828" max="4828" width="11" style="89"/>
    <col min="4829" max="4829" width="11" style="89"/>
    <col min="4830" max="4830" width="11" style="89"/>
    <col min="4831" max="4831" width="11" style="89"/>
    <col min="4832" max="4832" width="11" style="89"/>
    <col min="4833" max="4833" width="11" style="89"/>
    <col min="4834" max="4834" width="11" style="89"/>
    <col min="4835" max="4835" width="11" style="89"/>
    <col min="4836" max="4836" width="11" style="89"/>
    <col min="4837" max="4837" width="11" style="89"/>
    <col min="4838" max="4838" width="11" style="89"/>
    <col min="4839" max="4839" width="11" style="89"/>
    <col min="4840" max="4840" width="11" style="89"/>
    <col min="4841" max="4841" width="11" style="89"/>
    <col min="4842" max="4842" width="11" style="89"/>
    <col min="4843" max="4843" width="11" style="89"/>
    <col min="4844" max="4844" width="11" style="89"/>
    <col min="4845" max="4845" width="11" style="89"/>
    <col min="4846" max="4846" width="11" style="89"/>
    <col min="4847" max="4847" width="11" style="89"/>
    <col min="4848" max="4848" width="11" style="89"/>
    <col min="4849" max="4849" width="11" style="89"/>
    <col min="4850" max="4850" width="11" style="89"/>
    <col min="4851" max="4851" width="11" style="89"/>
    <col min="4852" max="4852" width="11" style="89"/>
    <col min="4853" max="4853" width="11" style="89"/>
    <col min="4854" max="4854" width="11" style="89"/>
    <col min="4855" max="4855" width="11" style="89"/>
    <col min="4856" max="4856" width="11" style="89"/>
    <col min="4857" max="4857" width="11" style="89"/>
    <col min="4858" max="4858" width="11" style="89"/>
    <col min="4859" max="4859" width="11" style="89"/>
    <col min="4860" max="4860" width="11" style="89"/>
    <col min="4861" max="4861" width="11" style="89"/>
    <col min="4862" max="4862" width="11" style="89"/>
    <col min="4863" max="4863" width="11" style="89"/>
    <col min="4864" max="4864" width="11" style="89"/>
    <col min="4865" max="4865" width="10.140625" customWidth="true" style="89"/>
    <col min="4866" max="4866" width="10.140625" customWidth="true" style="89"/>
    <col min="4867" max="4867" width="10.140625" customWidth="true" style="89"/>
    <col min="4868" max="4868" width="10.140625" customWidth="true" style="89"/>
    <col min="4869" max="4869" width="10.140625" customWidth="true" style="89"/>
    <col min="4870" max="4870" width="10.140625" customWidth="true" style="89"/>
    <col min="4871" max="4871" width="10.140625" customWidth="true" style="89"/>
    <col min="4872" max="4872" width="10.140625" customWidth="true" style="89"/>
    <col min="4873" max="4873" width="10.140625" customWidth="true" style="89"/>
    <col min="4874" max="4874" width="11" style="89"/>
    <col min="4875" max="4875" width="11" style="89"/>
    <col min="4876" max="4876" width="11" style="89"/>
    <col min="4877" max="4877" width="11" style="89"/>
    <col min="4878" max="4878" width="11" style="89"/>
    <col min="4879" max="4879" width="11" style="89"/>
    <col min="4880" max="4880" width="11" style="89"/>
    <col min="4881" max="4881" width="11" style="89"/>
    <col min="4882" max="4882" width="11" style="89"/>
    <col min="4883" max="4883" width="11" style="89"/>
    <col min="4884" max="4884" width="11" style="89"/>
    <col min="4885" max="4885" width="11" style="89"/>
    <col min="4886" max="4886" width="11" style="89"/>
    <col min="4887" max="4887" width="11" style="89"/>
    <col min="4888" max="4888" width="11" style="89"/>
    <col min="4889" max="4889" width="11" style="89"/>
    <col min="4890" max="4890" width="11" style="89"/>
    <col min="4891" max="4891" width="11" style="89"/>
    <col min="4892" max="4892" width="11" style="89"/>
    <col min="4893" max="4893" width="11" style="89"/>
    <col min="4894" max="4894" width="11" style="89"/>
    <col min="4895" max="4895" width="11" style="89"/>
    <col min="4896" max="4896" width="11" style="89"/>
    <col min="4897" max="4897" width="11" style="89"/>
    <col min="4898" max="4898" width="11" style="89"/>
    <col min="4899" max="4899" width="11" style="89"/>
    <col min="4900" max="4900" width="11" style="89"/>
    <col min="4901" max="4901" width="11" style="89"/>
    <col min="4902" max="4902" width="11" style="89"/>
    <col min="4903" max="4903" width="11" style="89"/>
    <col min="4904" max="4904" width="11" style="89"/>
    <col min="4905" max="4905" width="11" style="89"/>
    <col min="4906" max="4906" width="11" style="89"/>
    <col min="4907" max="4907" width="11" style="89"/>
    <col min="4908" max="4908" width="11" style="89"/>
    <col min="4909" max="4909" width="11" style="89"/>
    <col min="4910" max="4910" width="11" style="89"/>
    <col min="4911" max="4911" width="11" style="89"/>
    <col min="4912" max="4912" width="11" style="89"/>
    <col min="4913" max="4913" width="11" style="89"/>
    <col min="4914" max="4914" width="11" style="89"/>
    <col min="4915" max="4915" width="11" style="89"/>
    <col min="4916" max="4916" width="11" style="89"/>
    <col min="4917" max="4917" width="11" style="89"/>
    <col min="4918" max="4918" width="11" style="89"/>
    <col min="4919" max="4919" width="11" style="89"/>
    <col min="4920" max="4920" width="11" style="89"/>
    <col min="4921" max="4921" width="11" style="89"/>
    <col min="4922" max="4922" width="11" style="89"/>
    <col min="4923" max="4923" width="11" style="89"/>
    <col min="4924" max="4924" width="11" style="89"/>
    <col min="4925" max="4925" width="11" style="89"/>
    <col min="4926" max="4926" width="11" style="89"/>
    <col min="4927" max="4927" width="11" style="89"/>
    <col min="4928" max="4928" width="11" style="89"/>
    <col min="4929" max="4929" width="11" style="89"/>
    <col min="4930" max="4930" width="11" style="89"/>
    <col min="4931" max="4931" width="11" style="89"/>
    <col min="4932" max="4932" width="11" style="89"/>
    <col min="4933" max="4933" width="11" style="89"/>
    <col min="4934" max="4934" width="11" style="89"/>
    <col min="4935" max="4935" width="11" style="89"/>
    <col min="4936" max="4936" width="11" style="89"/>
    <col min="4937" max="4937" width="11" style="89"/>
    <col min="4938" max="4938" width="11" style="89"/>
    <col min="4939" max="4939" width="11" style="89"/>
    <col min="4940" max="4940" width="11" style="89"/>
    <col min="4941" max="4941" width="11" style="89"/>
    <col min="4942" max="4942" width="11" style="89"/>
    <col min="4943" max="4943" width="11" style="89"/>
    <col min="4944" max="4944" width="11" style="89"/>
    <col min="4945" max="4945" width="11" style="89"/>
    <col min="4946" max="4946" width="11" style="89"/>
    <col min="4947" max="4947" width="11" style="89"/>
    <col min="4948" max="4948" width="11" style="89"/>
    <col min="4949" max="4949" width="11" style="89"/>
    <col min="4950" max="4950" width="11" style="89"/>
    <col min="4951" max="4951" width="11" style="89"/>
    <col min="4952" max="4952" width="11" style="89"/>
    <col min="4953" max="4953" width="11" style="89"/>
    <col min="4954" max="4954" width="11" style="89"/>
    <col min="4955" max="4955" width="11" style="89"/>
    <col min="4956" max="4956" width="11" style="89"/>
    <col min="4957" max="4957" width="11" style="89"/>
    <col min="4958" max="4958" width="11" style="89"/>
    <col min="4959" max="4959" width="11" style="89"/>
    <col min="4960" max="4960" width="11" style="89"/>
    <col min="4961" max="4961" width="11" style="89"/>
    <col min="4962" max="4962" width="11" style="89"/>
    <col min="4963" max="4963" width="11" style="89"/>
    <col min="4964" max="4964" width="11" style="89"/>
    <col min="4965" max="4965" width="11" style="89"/>
    <col min="4966" max="4966" width="11" style="89"/>
    <col min="4967" max="4967" width="11" style="89"/>
    <col min="4968" max="4968" width="11" style="89"/>
    <col min="4969" max="4969" width="11" style="89"/>
    <col min="4970" max="4970" width="11" style="89"/>
    <col min="4971" max="4971" width="11" style="89"/>
    <col min="4972" max="4972" width="11" style="89"/>
    <col min="4973" max="4973" width="11" style="89"/>
    <col min="4974" max="4974" width="11" style="89"/>
    <col min="4975" max="4975" width="11" style="89"/>
    <col min="4976" max="4976" width="11" style="89"/>
    <col min="4977" max="4977" width="11" style="89"/>
    <col min="4978" max="4978" width="11" style="89"/>
    <col min="4979" max="4979" width="11" style="89"/>
    <col min="4980" max="4980" width="11" style="89"/>
    <col min="4981" max="4981" width="11" style="89"/>
    <col min="4982" max="4982" width="11" style="89"/>
    <col min="4983" max="4983" width="11" style="89"/>
    <col min="4984" max="4984" width="11" style="89"/>
    <col min="4985" max="4985" width="11" style="89"/>
    <col min="4986" max="4986" width="11" style="89"/>
    <col min="4987" max="4987" width="11" style="89"/>
    <col min="4988" max="4988" width="11" style="89"/>
    <col min="4989" max="4989" width="11" style="89"/>
    <col min="4990" max="4990" width="11" style="89"/>
    <col min="4991" max="4991" width="11" style="89"/>
    <col min="4992" max="4992" width="11" style="89"/>
    <col min="4993" max="4993" width="11" style="89"/>
    <col min="4994" max="4994" width="11" style="89"/>
    <col min="4995" max="4995" width="11" style="89"/>
    <col min="4996" max="4996" width="11" style="89"/>
    <col min="4997" max="4997" width="11" style="89"/>
    <col min="4998" max="4998" width="11" style="89"/>
    <col min="4999" max="4999" width="11" style="89"/>
    <col min="5000" max="5000" width="11" style="89"/>
    <col min="5001" max="5001" width="11" style="89"/>
    <col min="5002" max="5002" width="11" style="89"/>
    <col min="5003" max="5003" width="11" style="89"/>
    <col min="5004" max="5004" width="11" style="89"/>
    <col min="5005" max="5005" width="11" style="89"/>
    <col min="5006" max="5006" width="11" style="89"/>
    <col min="5007" max="5007" width="11" style="89"/>
    <col min="5008" max="5008" width="11" style="89"/>
    <col min="5009" max="5009" width="11" style="89"/>
    <col min="5010" max="5010" width="11" style="89"/>
    <col min="5011" max="5011" width="11" style="89"/>
    <col min="5012" max="5012" width="11" style="89"/>
    <col min="5013" max="5013" width="11" style="89"/>
    <col min="5014" max="5014" width="11" style="89"/>
    <col min="5015" max="5015" width="11" style="89"/>
    <col min="5016" max="5016" width="11" style="89"/>
    <col min="5017" max="5017" width="11" style="89"/>
    <col min="5018" max="5018" width="11" style="89"/>
    <col min="5019" max="5019" width="11" style="89"/>
    <col min="5020" max="5020" width="11" style="89"/>
    <col min="5021" max="5021" width="11" style="89"/>
    <col min="5022" max="5022" width="11" style="89"/>
    <col min="5023" max="5023" width="11" style="89"/>
    <col min="5024" max="5024" width="11" style="89"/>
    <col min="5025" max="5025" width="11" style="89"/>
    <col min="5026" max="5026" width="11" style="89"/>
    <col min="5027" max="5027" width="11" style="89"/>
    <col min="5028" max="5028" width="11" style="89"/>
    <col min="5029" max="5029" width="11" style="89"/>
    <col min="5030" max="5030" width="11" style="89"/>
    <col min="5031" max="5031" width="11" style="89"/>
    <col min="5032" max="5032" width="11" style="89"/>
    <col min="5033" max="5033" width="11" style="89"/>
    <col min="5034" max="5034" width="11" style="89"/>
    <col min="5035" max="5035" width="11" style="89"/>
    <col min="5036" max="5036" width="11" style="89"/>
    <col min="5037" max="5037" width="11" style="89"/>
    <col min="5038" max="5038" width="11" style="89"/>
    <col min="5039" max="5039" width="11" style="89"/>
    <col min="5040" max="5040" width="11" style="89"/>
    <col min="5041" max="5041" width="11" style="89"/>
    <col min="5042" max="5042" width="11" style="89"/>
    <col min="5043" max="5043" width="11" style="89"/>
    <col min="5044" max="5044" width="11" style="89"/>
    <col min="5045" max="5045" width="11" style="89"/>
    <col min="5046" max="5046" width="11" style="89"/>
    <col min="5047" max="5047" width="11" style="89"/>
    <col min="5048" max="5048" width="11" style="89"/>
    <col min="5049" max="5049" width="11" style="89"/>
    <col min="5050" max="5050" width="11" style="89"/>
    <col min="5051" max="5051" width="11" style="89"/>
    <col min="5052" max="5052" width="11" style="89"/>
    <col min="5053" max="5053" width="11" style="89"/>
    <col min="5054" max="5054" width="11" style="89"/>
    <col min="5055" max="5055" width="11" style="89"/>
    <col min="5056" max="5056" width="11" style="89"/>
    <col min="5057" max="5057" width="11" style="89"/>
    <col min="5058" max="5058" width="11" style="89"/>
    <col min="5059" max="5059" width="11" style="89"/>
    <col min="5060" max="5060" width="11" style="89"/>
    <col min="5061" max="5061" width="11" style="89"/>
    <col min="5062" max="5062" width="11" style="89"/>
    <col min="5063" max="5063" width="11" style="89"/>
    <col min="5064" max="5064" width="11" style="89"/>
    <col min="5065" max="5065" width="11" style="89"/>
    <col min="5066" max="5066" width="11" style="89"/>
    <col min="5067" max="5067" width="11" style="89"/>
    <col min="5068" max="5068" width="11" style="89"/>
    <col min="5069" max="5069" width="11" style="89"/>
    <col min="5070" max="5070" width="11" style="89"/>
    <col min="5071" max="5071" width="11" style="89"/>
    <col min="5072" max="5072" width="11" style="89"/>
    <col min="5073" max="5073" width="11" style="89"/>
    <col min="5074" max="5074" width="11" style="89"/>
    <col min="5075" max="5075" width="11" style="89"/>
    <col min="5076" max="5076" width="11" style="89"/>
    <col min="5077" max="5077" width="11" style="89"/>
    <col min="5078" max="5078" width="11" style="89"/>
    <col min="5079" max="5079" width="11" style="89"/>
    <col min="5080" max="5080" width="11" style="89"/>
    <col min="5081" max="5081" width="11" style="89"/>
    <col min="5082" max="5082" width="11" style="89"/>
    <col min="5083" max="5083" width="11" style="89"/>
    <col min="5084" max="5084" width="11" style="89"/>
    <col min="5085" max="5085" width="11" style="89"/>
    <col min="5086" max="5086" width="11" style="89"/>
    <col min="5087" max="5087" width="11" style="89"/>
    <col min="5088" max="5088" width="11" style="89"/>
    <col min="5089" max="5089" width="11" style="89"/>
    <col min="5090" max="5090" width="11" style="89"/>
    <col min="5091" max="5091" width="11" style="89"/>
    <col min="5092" max="5092" width="11" style="89"/>
    <col min="5093" max="5093" width="11" style="89"/>
    <col min="5094" max="5094" width="11" style="89"/>
    <col min="5095" max="5095" width="11" style="89"/>
    <col min="5096" max="5096" width="11" style="89"/>
    <col min="5097" max="5097" width="11" style="89"/>
    <col min="5098" max="5098" width="11" style="89"/>
    <col min="5099" max="5099" width="11" style="89"/>
    <col min="5100" max="5100" width="11" style="89"/>
    <col min="5101" max="5101" width="11" style="89"/>
    <col min="5102" max="5102" width="11" style="89"/>
    <col min="5103" max="5103" width="11" style="89"/>
    <col min="5104" max="5104" width="11" style="89"/>
    <col min="5105" max="5105" width="11" style="89"/>
    <col min="5106" max="5106" width="11" style="89"/>
    <col min="5107" max="5107" width="11" style="89"/>
    <col min="5108" max="5108" width="11" style="89"/>
    <col min="5109" max="5109" width="11" style="89"/>
    <col min="5110" max="5110" width="11" style="89"/>
    <col min="5111" max="5111" width="11" style="89"/>
    <col min="5112" max="5112" width="11" style="89"/>
    <col min="5113" max="5113" width="11" style="89"/>
    <col min="5114" max="5114" width="11" style="89"/>
    <col min="5115" max="5115" width="11" style="89"/>
    <col min="5116" max="5116" width="11" style="89"/>
    <col min="5117" max="5117" width="11" style="89"/>
    <col min="5118" max="5118" width="11" style="89"/>
    <col min="5119" max="5119" width="11" style="89"/>
    <col min="5120" max="5120" width="11" style="89"/>
    <col min="5121" max="5121" width="10.140625" customWidth="true" style="89"/>
    <col min="5122" max="5122" width="10.140625" customWidth="true" style="89"/>
    <col min="5123" max="5123" width="10.140625" customWidth="true" style="89"/>
    <col min="5124" max="5124" width="10.140625" customWidth="true" style="89"/>
    <col min="5125" max="5125" width="10.140625" customWidth="true" style="89"/>
    <col min="5126" max="5126" width="10.140625" customWidth="true" style="89"/>
    <col min="5127" max="5127" width="10.140625" customWidth="true" style="89"/>
    <col min="5128" max="5128" width="10.140625" customWidth="true" style="89"/>
    <col min="5129" max="5129" width="10.140625" customWidth="true" style="89"/>
    <col min="5130" max="5130" width="11" style="89"/>
    <col min="5131" max="5131" width="11" style="89"/>
    <col min="5132" max="5132" width="11" style="89"/>
    <col min="5133" max="5133" width="11" style="89"/>
    <col min="5134" max="5134" width="11" style="89"/>
    <col min="5135" max="5135" width="11" style="89"/>
    <col min="5136" max="5136" width="11" style="89"/>
    <col min="5137" max="5137" width="11" style="89"/>
    <col min="5138" max="5138" width="11" style="89"/>
    <col min="5139" max="5139" width="11" style="89"/>
    <col min="5140" max="5140" width="11" style="89"/>
    <col min="5141" max="5141" width="11" style="89"/>
    <col min="5142" max="5142" width="11" style="89"/>
    <col min="5143" max="5143" width="11" style="89"/>
    <col min="5144" max="5144" width="11" style="89"/>
    <col min="5145" max="5145" width="11" style="89"/>
    <col min="5146" max="5146" width="11" style="89"/>
    <col min="5147" max="5147" width="11" style="89"/>
    <col min="5148" max="5148" width="11" style="89"/>
    <col min="5149" max="5149" width="11" style="89"/>
    <col min="5150" max="5150" width="11" style="89"/>
    <col min="5151" max="5151" width="11" style="89"/>
    <col min="5152" max="5152" width="11" style="89"/>
    <col min="5153" max="5153" width="11" style="89"/>
    <col min="5154" max="5154" width="11" style="89"/>
    <col min="5155" max="5155" width="11" style="89"/>
    <col min="5156" max="5156" width="11" style="89"/>
    <col min="5157" max="5157" width="11" style="89"/>
    <col min="5158" max="5158" width="11" style="89"/>
    <col min="5159" max="5159" width="11" style="89"/>
    <col min="5160" max="5160" width="11" style="89"/>
    <col min="5161" max="5161" width="11" style="89"/>
    <col min="5162" max="5162" width="11" style="89"/>
    <col min="5163" max="5163" width="11" style="89"/>
    <col min="5164" max="5164" width="11" style="89"/>
    <col min="5165" max="5165" width="11" style="89"/>
    <col min="5166" max="5166" width="11" style="89"/>
    <col min="5167" max="5167" width="11" style="89"/>
    <col min="5168" max="5168" width="11" style="89"/>
    <col min="5169" max="5169" width="11" style="89"/>
    <col min="5170" max="5170" width="11" style="89"/>
    <col min="5171" max="5171" width="11" style="89"/>
    <col min="5172" max="5172" width="11" style="89"/>
    <col min="5173" max="5173" width="11" style="89"/>
    <col min="5174" max="5174" width="11" style="89"/>
    <col min="5175" max="5175" width="11" style="89"/>
    <col min="5176" max="5176" width="11" style="89"/>
    <col min="5177" max="5177" width="11" style="89"/>
    <col min="5178" max="5178" width="11" style="89"/>
    <col min="5179" max="5179" width="11" style="89"/>
    <col min="5180" max="5180" width="11" style="89"/>
    <col min="5181" max="5181" width="11" style="89"/>
    <col min="5182" max="5182" width="11" style="89"/>
    <col min="5183" max="5183" width="11" style="89"/>
    <col min="5184" max="5184" width="11" style="89"/>
    <col min="5185" max="5185" width="11" style="89"/>
    <col min="5186" max="5186" width="11" style="89"/>
    <col min="5187" max="5187" width="11" style="89"/>
    <col min="5188" max="5188" width="11" style="89"/>
    <col min="5189" max="5189" width="11" style="89"/>
    <col min="5190" max="5190" width="11" style="89"/>
    <col min="5191" max="5191" width="11" style="89"/>
    <col min="5192" max="5192" width="11" style="89"/>
    <col min="5193" max="5193" width="11" style="89"/>
    <col min="5194" max="5194" width="11" style="89"/>
    <col min="5195" max="5195" width="11" style="89"/>
    <col min="5196" max="5196" width="11" style="89"/>
    <col min="5197" max="5197" width="11" style="89"/>
    <col min="5198" max="5198" width="11" style="89"/>
    <col min="5199" max="5199" width="11" style="89"/>
    <col min="5200" max="5200" width="11" style="89"/>
    <col min="5201" max="5201" width="11" style="89"/>
    <col min="5202" max="5202" width="11" style="89"/>
    <col min="5203" max="5203" width="11" style="89"/>
    <col min="5204" max="5204" width="11" style="89"/>
    <col min="5205" max="5205" width="11" style="89"/>
    <col min="5206" max="5206" width="11" style="89"/>
    <col min="5207" max="5207" width="11" style="89"/>
    <col min="5208" max="5208" width="11" style="89"/>
    <col min="5209" max="5209" width="11" style="89"/>
    <col min="5210" max="5210" width="11" style="89"/>
    <col min="5211" max="5211" width="11" style="89"/>
    <col min="5212" max="5212" width="11" style="89"/>
    <col min="5213" max="5213" width="11" style="89"/>
    <col min="5214" max="5214" width="11" style="89"/>
    <col min="5215" max="5215" width="11" style="89"/>
    <col min="5216" max="5216" width="11" style="89"/>
    <col min="5217" max="5217" width="11" style="89"/>
    <col min="5218" max="5218" width="11" style="89"/>
    <col min="5219" max="5219" width="11" style="89"/>
    <col min="5220" max="5220" width="11" style="89"/>
    <col min="5221" max="5221" width="11" style="89"/>
    <col min="5222" max="5222" width="11" style="89"/>
    <col min="5223" max="5223" width="11" style="89"/>
    <col min="5224" max="5224" width="11" style="89"/>
    <col min="5225" max="5225" width="11" style="89"/>
    <col min="5226" max="5226" width="11" style="89"/>
    <col min="5227" max="5227" width="11" style="89"/>
    <col min="5228" max="5228" width="11" style="89"/>
    <col min="5229" max="5229" width="11" style="89"/>
    <col min="5230" max="5230" width="11" style="89"/>
    <col min="5231" max="5231" width="11" style="89"/>
    <col min="5232" max="5232" width="11" style="89"/>
    <col min="5233" max="5233" width="11" style="89"/>
    <col min="5234" max="5234" width="11" style="89"/>
    <col min="5235" max="5235" width="11" style="89"/>
    <col min="5236" max="5236" width="11" style="89"/>
    <col min="5237" max="5237" width="11" style="89"/>
    <col min="5238" max="5238" width="11" style="89"/>
    <col min="5239" max="5239" width="11" style="89"/>
    <col min="5240" max="5240" width="11" style="89"/>
    <col min="5241" max="5241" width="11" style="89"/>
    <col min="5242" max="5242" width="11" style="89"/>
    <col min="5243" max="5243" width="11" style="89"/>
    <col min="5244" max="5244" width="11" style="89"/>
    <col min="5245" max="5245" width="11" style="89"/>
    <col min="5246" max="5246" width="11" style="89"/>
    <col min="5247" max="5247" width="11" style="89"/>
    <col min="5248" max="5248" width="11" style="89"/>
    <col min="5249" max="5249" width="11" style="89"/>
    <col min="5250" max="5250" width="11" style="89"/>
    <col min="5251" max="5251" width="11" style="89"/>
    <col min="5252" max="5252" width="11" style="89"/>
    <col min="5253" max="5253" width="11" style="89"/>
    <col min="5254" max="5254" width="11" style="89"/>
    <col min="5255" max="5255" width="11" style="89"/>
    <col min="5256" max="5256" width="11" style="89"/>
    <col min="5257" max="5257" width="11" style="89"/>
    <col min="5258" max="5258" width="11" style="89"/>
    <col min="5259" max="5259" width="11" style="89"/>
    <col min="5260" max="5260" width="11" style="89"/>
    <col min="5261" max="5261" width="11" style="89"/>
    <col min="5262" max="5262" width="11" style="89"/>
    <col min="5263" max="5263" width="11" style="89"/>
    <col min="5264" max="5264" width="11" style="89"/>
    <col min="5265" max="5265" width="11" style="89"/>
    <col min="5266" max="5266" width="11" style="89"/>
    <col min="5267" max="5267" width="11" style="89"/>
    <col min="5268" max="5268" width="11" style="89"/>
    <col min="5269" max="5269" width="11" style="89"/>
    <col min="5270" max="5270" width="11" style="89"/>
    <col min="5271" max="5271" width="11" style="89"/>
    <col min="5272" max="5272" width="11" style="89"/>
    <col min="5273" max="5273" width="11" style="89"/>
    <col min="5274" max="5274" width="11" style="89"/>
    <col min="5275" max="5275" width="11" style="89"/>
    <col min="5276" max="5276" width="11" style="89"/>
    <col min="5277" max="5277" width="11" style="89"/>
    <col min="5278" max="5278" width="11" style="89"/>
    <col min="5279" max="5279" width="11" style="89"/>
    <col min="5280" max="5280" width="11" style="89"/>
    <col min="5281" max="5281" width="11" style="89"/>
    <col min="5282" max="5282" width="11" style="89"/>
    <col min="5283" max="5283" width="11" style="89"/>
    <col min="5284" max="5284" width="11" style="89"/>
    <col min="5285" max="5285" width="11" style="89"/>
    <col min="5286" max="5286" width="11" style="89"/>
    <col min="5287" max="5287" width="11" style="89"/>
    <col min="5288" max="5288" width="11" style="89"/>
    <col min="5289" max="5289" width="11" style="89"/>
    <col min="5290" max="5290" width="11" style="89"/>
    <col min="5291" max="5291" width="11" style="89"/>
    <col min="5292" max="5292" width="11" style="89"/>
    <col min="5293" max="5293" width="11" style="89"/>
    <col min="5294" max="5294" width="11" style="89"/>
    <col min="5295" max="5295" width="11" style="89"/>
    <col min="5296" max="5296" width="11" style="89"/>
    <col min="5297" max="5297" width="11" style="89"/>
    <col min="5298" max="5298" width="11" style="89"/>
    <col min="5299" max="5299" width="11" style="89"/>
    <col min="5300" max="5300" width="11" style="89"/>
    <col min="5301" max="5301" width="11" style="89"/>
    <col min="5302" max="5302" width="11" style="89"/>
    <col min="5303" max="5303" width="11" style="89"/>
    <col min="5304" max="5304" width="11" style="89"/>
    <col min="5305" max="5305" width="11" style="89"/>
    <col min="5306" max="5306" width="11" style="89"/>
    <col min="5307" max="5307" width="11" style="89"/>
    <col min="5308" max="5308" width="11" style="89"/>
    <col min="5309" max="5309" width="11" style="89"/>
    <col min="5310" max="5310" width="11" style="89"/>
    <col min="5311" max="5311" width="11" style="89"/>
    <col min="5312" max="5312" width="11" style="89"/>
    <col min="5313" max="5313" width="11" style="89"/>
    <col min="5314" max="5314" width="11" style="89"/>
    <col min="5315" max="5315" width="11" style="89"/>
    <col min="5316" max="5316" width="11" style="89"/>
    <col min="5317" max="5317" width="11" style="89"/>
    <col min="5318" max="5318" width="11" style="89"/>
    <col min="5319" max="5319" width="11" style="89"/>
    <col min="5320" max="5320" width="11" style="89"/>
    <col min="5321" max="5321" width="11" style="89"/>
    <col min="5322" max="5322" width="11" style="89"/>
    <col min="5323" max="5323" width="11" style="89"/>
    <col min="5324" max="5324" width="11" style="89"/>
    <col min="5325" max="5325" width="11" style="89"/>
    <col min="5326" max="5326" width="11" style="89"/>
    <col min="5327" max="5327" width="11" style="89"/>
    <col min="5328" max="5328" width="11" style="89"/>
    <col min="5329" max="5329" width="11" style="89"/>
    <col min="5330" max="5330" width="11" style="89"/>
    <col min="5331" max="5331" width="11" style="89"/>
    <col min="5332" max="5332" width="11" style="89"/>
    <col min="5333" max="5333" width="11" style="89"/>
    <col min="5334" max="5334" width="11" style="89"/>
    <col min="5335" max="5335" width="11" style="89"/>
    <col min="5336" max="5336" width="11" style="89"/>
    <col min="5337" max="5337" width="11" style="89"/>
    <col min="5338" max="5338" width="11" style="89"/>
    <col min="5339" max="5339" width="11" style="89"/>
    <col min="5340" max="5340" width="11" style="89"/>
    <col min="5341" max="5341" width="11" style="89"/>
    <col min="5342" max="5342" width="11" style="89"/>
    <col min="5343" max="5343" width="11" style="89"/>
    <col min="5344" max="5344" width="11" style="89"/>
    <col min="5345" max="5345" width="11" style="89"/>
    <col min="5346" max="5346" width="11" style="89"/>
    <col min="5347" max="5347" width="11" style="89"/>
    <col min="5348" max="5348" width="11" style="89"/>
    <col min="5349" max="5349" width="11" style="89"/>
    <col min="5350" max="5350" width="11" style="89"/>
    <col min="5351" max="5351" width="11" style="89"/>
    <col min="5352" max="5352" width="11" style="89"/>
    <col min="5353" max="5353" width="11" style="89"/>
    <col min="5354" max="5354" width="11" style="89"/>
    <col min="5355" max="5355" width="11" style="89"/>
    <col min="5356" max="5356" width="11" style="89"/>
    <col min="5357" max="5357" width="11" style="89"/>
    <col min="5358" max="5358" width="11" style="89"/>
    <col min="5359" max="5359" width="11" style="89"/>
    <col min="5360" max="5360" width="11" style="89"/>
    <col min="5361" max="5361" width="11" style="89"/>
    <col min="5362" max="5362" width="11" style="89"/>
    <col min="5363" max="5363" width="11" style="89"/>
    <col min="5364" max="5364" width="11" style="89"/>
    <col min="5365" max="5365" width="11" style="89"/>
    <col min="5366" max="5366" width="11" style="89"/>
    <col min="5367" max="5367" width="11" style="89"/>
    <col min="5368" max="5368" width="11" style="89"/>
    <col min="5369" max="5369" width="11" style="89"/>
    <col min="5370" max="5370" width="11" style="89"/>
    <col min="5371" max="5371" width="11" style="89"/>
    <col min="5372" max="5372" width="11" style="89"/>
    <col min="5373" max="5373" width="11" style="89"/>
    <col min="5374" max="5374" width="11" style="89"/>
    <col min="5375" max="5375" width="11" style="89"/>
    <col min="5376" max="5376" width="11" style="89"/>
    <col min="5377" max="5377" width="10.140625" customWidth="true" style="89"/>
    <col min="5378" max="5378" width="10.140625" customWidth="true" style="89"/>
    <col min="5379" max="5379" width="10.140625" customWidth="true" style="89"/>
    <col min="5380" max="5380" width="10.140625" customWidth="true" style="89"/>
    <col min="5381" max="5381" width="10.140625" customWidth="true" style="89"/>
    <col min="5382" max="5382" width="10.140625" customWidth="true" style="89"/>
    <col min="5383" max="5383" width="10.140625" customWidth="true" style="89"/>
    <col min="5384" max="5384" width="10.140625" customWidth="true" style="89"/>
    <col min="5385" max="5385" width="10.140625" customWidth="true" style="89"/>
    <col min="5386" max="5386" width="11" style="89"/>
    <col min="5387" max="5387" width="11" style="89"/>
    <col min="5388" max="5388" width="11" style="89"/>
    <col min="5389" max="5389" width="11" style="89"/>
    <col min="5390" max="5390" width="11" style="89"/>
    <col min="5391" max="5391" width="11" style="89"/>
    <col min="5392" max="5392" width="11" style="89"/>
    <col min="5393" max="5393" width="11" style="89"/>
    <col min="5394" max="5394" width="11" style="89"/>
    <col min="5395" max="5395" width="11" style="89"/>
    <col min="5396" max="5396" width="11" style="89"/>
    <col min="5397" max="5397" width="11" style="89"/>
    <col min="5398" max="5398" width="11" style="89"/>
    <col min="5399" max="5399" width="11" style="89"/>
    <col min="5400" max="5400" width="11" style="89"/>
    <col min="5401" max="5401" width="11" style="89"/>
    <col min="5402" max="5402" width="11" style="89"/>
    <col min="5403" max="5403" width="11" style="89"/>
    <col min="5404" max="5404" width="11" style="89"/>
    <col min="5405" max="5405" width="11" style="89"/>
    <col min="5406" max="5406" width="11" style="89"/>
    <col min="5407" max="5407" width="11" style="89"/>
    <col min="5408" max="5408" width="11" style="89"/>
    <col min="5409" max="5409" width="11" style="89"/>
    <col min="5410" max="5410" width="11" style="89"/>
    <col min="5411" max="5411" width="11" style="89"/>
    <col min="5412" max="5412" width="11" style="89"/>
    <col min="5413" max="5413" width="11" style="89"/>
    <col min="5414" max="5414" width="11" style="89"/>
    <col min="5415" max="5415" width="11" style="89"/>
    <col min="5416" max="5416" width="11" style="89"/>
    <col min="5417" max="5417" width="11" style="89"/>
    <col min="5418" max="5418" width="11" style="89"/>
    <col min="5419" max="5419" width="11" style="89"/>
    <col min="5420" max="5420" width="11" style="89"/>
    <col min="5421" max="5421" width="11" style="89"/>
    <col min="5422" max="5422" width="11" style="89"/>
    <col min="5423" max="5423" width="11" style="89"/>
    <col min="5424" max="5424" width="11" style="89"/>
    <col min="5425" max="5425" width="11" style="89"/>
    <col min="5426" max="5426" width="11" style="89"/>
    <col min="5427" max="5427" width="11" style="89"/>
    <col min="5428" max="5428" width="11" style="89"/>
    <col min="5429" max="5429" width="11" style="89"/>
    <col min="5430" max="5430" width="11" style="89"/>
    <col min="5431" max="5431" width="11" style="89"/>
    <col min="5432" max="5432" width="11" style="89"/>
    <col min="5433" max="5433" width="11" style="89"/>
    <col min="5434" max="5434" width="11" style="89"/>
    <col min="5435" max="5435" width="11" style="89"/>
    <col min="5436" max="5436" width="11" style="89"/>
    <col min="5437" max="5437" width="11" style="89"/>
    <col min="5438" max="5438" width="11" style="89"/>
    <col min="5439" max="5439" width="11" style="89"/>
    <col min="5440" max="5440" width="11" style="89"/>
    <col min="5441" max="5441" width="11" style="89"/>
    <col min="5442" max="5442" width="11" style="89"/>
    <col min="5443" max="5443" width="11" style="89"/>
    <col min="5444" max="5444" width="11" style="89"/>
    <col min="5445" max="5445" width="11" style="89"/>
    <col min="5446" max="5446" width="11" style="89"/>
    <col min="5447" max="5447" width="11" style="89"/>
    <col min="5448" max="5448" width="11" style="89"/>
    <col min="5449" max="5449" width="11" style="89"/>
    <col min="5450" max="5450" width="11" style="89"/>
    <col min="5451" max="5451" width="11" style="89"/>
    <col min="5452" max="5452" width="11" style="89"/>
    <col min="5453" max="5453" width="11" style="89"/>
    <col min="5454" max="5454" width="11" style="89"/>
    <col min="5455" max="5455" width="11" style="89"/>
    <col min="5456" max="5456" width="11" style="89"/>
    <col min="5457" max="5457" width="11" style="89"/>
    <col min="5458" max="5458" width="11" style="89"/>
    <col min="5459" max="5459" width="11" style="89"/>
    <col min="5460" max="5460" width="11" style="89"/>
    <col min="5461" max="5461" width="11" style="89"/>
    <col min="5462" max="5462" width="11" style="89"/>
    <col min="5463" max="5463" width="11" style="89"/>
    <col min="5464" max="5464" width="11" style="89"/>
    <col min="5465" max="5465" width="11" style="89"/>
    <col min="5466" max="5466" width="11" style="89"/>
    <col min="5467" max="5467" width="11" style="89"/>
    <col min="5468" max="5468" width="11" style="89"/>
    <col min="5469" max="5469" width="11" style="89"/>
    <col min="5470" max="5470" width="11" style="89"/>
    <col min="5471" max="5471" width="11" style="89"/>
    <col min="5472" max="5472" width="11" style="89"/>
    <col min="5473" max="5473" width="11" style="89"/>
    <col min="5474" max="5474" width="11" style="89"/>
    <col min="5475" max="5475" width="11" style="89"/>
    <col min="5476" max="5476" width="11" style="89"/>
    <col min="5477" max="5477" width="11" style="89"/>
    <col min="5478" max="5478" width="11" style="89"/>
    <col min="5479" max="5479" width="11" style="89"/>
    <col min="5480" max="5480" width="11" style="89"/>
    <col min="5481" max="5481" width="11" style="89"/>
    <col min="5482" max="5482" width="11" style="89"/>
    <col min="5483" max="5483" width="11" style="89"/>
    <col min="5484" max="5484" width="11" style="89"/>
    <col min="5485" max="5485" width="11" style="89"/>
    <col min="5486" max="5486" width="11" style="89"/>
    <col min="5487" max="5487" width="11" style="89"/>
    <col min="5488" max="5488" width="11" style="89"/>
    <col min="5489" max="5489" width="11" style="89"/>
    <col min="5490" max="5490" width="11" style="89"/>
    <col min="5491" max="5491" width="11" style="89"/>
    <col min="5492" max="5492" width="11" style="89"/>
    <col min="5493" max="5493" width="11" style="89"/>
    <col min="5494" max="5494" width="11" style="89"/>
    <col min="5495" max="5495" width="11" style="89"/>
    <col min="5496" max="5496" width="11" style="89"/>
    <col min="5497" max="5497" width="11" style="89"/>
    <col min="5498" max="5498" width="11" style="89"/>
    <col min="5499" max="5499" width="11" style="89"/>
    <col min="5500" max="5500" width="11" style="89"/>
    <col min="5501" max="5501" width="11" style="89"/>
    <col min="5502" max="5502" width="11" style="89"/>
    <col min="5503" max="5503" width="11" style="89"/>
    <col min="5504" max="5504" width="11" style="89"/>
    <col min="5505" max="5505" width="11" style="89"/>
    <col min="5506" max="5506" width="11" style="89"/>
    <col min="5507" max="5507" width="11" style="89"/>
    <col min="5508" max="5508" width="11" style="89"/>
    <col min="5509" max="5509" width="11" style="89"/>
    <col min="5510" max="5510" width="11" style="89"/>
    <col min="5511" max="5511" width="11" style="89"/>
    <col min="5512" max="5512" width="11" style="89"/>
    <col min="5513" max="5513" width="11" style="89"/>
    <col min="5514" max="5514" width="11" style="89"/>
    <col min="5515" max="5515" width="11" style="89"/>
    <col min="5516" max="5516" width="11" style="89"/>
    <col min="5517" max="5517" width="11" style="89"/>
    <col min="5518" max="5518" width="11" style="89"/>
    <col min="5519" max="5519" width="11" style="89"/>
    <col min="5520" max="5520" width="11" style="89"/>
    <col min="5521" max="5521" width="11" style="89"/>
    <col min="5522" max="5522" width="11" style="89"/>
    <col min="5523" max="5523" width="11" style="89"/>
    <col min="5524" max="5524" width="11" style="89"/>
    <col min="5525" max="5525" width="11" style="89"/>
    <col min="5526" max="5526" width="11" style="89"/>
    <col min="5527" max="5527" width="11" style="89"/>
    <col min="5528" max="5528" width="11" style="89"/>
    <col min="5529" max="5529" width="11" style="89"/>
    <col min="5530" max="5530" width="11" style="89"/>
    <col min="5531" max="5531" width="11" style="89"/>
    <col min="5532" max="5532" width="11" style="89"/>
    <col min="5533" max="5533" width="11" style="89"/>
    <col min="5534" max="5534" width="11" style="89"/>
    <col min="5535" max="5535" width="11" style="89"/>
    <col min="5536" max="5536" width="11" style="89"/>
    <col min="5537" max="5537" width="11" style="89"/>
    <col min="5538" max="5538" width="11" style="89"/>
    <col min="5539" max="5539" width="11" style="89"/>
    <col min="5540" max="5540" width="11" style="89"/>
    <col min="5541" max="5541" width="11" style="89"/>
    <col min="5542" max="5542" width="11" style="89"/>
    <col min="5543" max="5543" width="11" style="89"/>
    <col min="5544" max="5544" width="11" style="89"/>
    <col min="5545" max="5545" width="11" style="89"/>
    <col min="5546" max="5546" width="11" style="89"/>
    <col min="5547" max="5547" width="11" style="89"/>
    <col min="5548" max="5548" width="11" style="89"/>
    <col min="5549" max="5549" width="11" style="89"/>
    <col min="5550" max="5550" width="11" style="89"/>
    <col min="5551" max="5551" width="11" style="89"/>
    <col min="5552" max="5552" width="11" style="89"/>
    <col min="5553" max="5553" width="11" style="89"/>
    <col min="5554" max="5554" width="11" style="89"/>
    <col min="5555" max="5555" width="11" style="89"/>
    <col min="5556" max="5556" width="11" style="89"/>
    <col min="5557" max="5557" width="11" style="89"/>
    <col min="5558" max="5558" width="11" style="89"/>
    <col min="5559" max="5559" width="11" style="89"/>
    <col min="5560" max="5560" width="11" style="89"/>
    <col min="5561" max="5561" width="11" style="89"/>
    <col min="5562" max="5562" width="11" style="89"/>
    <col min="5563" max="5563" width="11" style="89"/>
    <col min="5564" max="5564" width="11" style="89"/>
    <col min="5565" max="5565" width="11" style="89"/>
    <col min="5566" max="5566" width="11" style="89"/>
    <col min="5567" max="5567" width="11" style="89"/>
    <col min="5568" max="5568" width="11" style="89"/>
    <col min="5569" max="5569" width="11" style="89"/>
    <col min="5570" max="5570" width="11" style="89"/>
    <col min="5571" max="5571" width="11" style="89"/>
    <col min="5572" max="5572" width="11" style="89"/>
    <col min="5573" max="5573" width="11" style="89"/>
    <col min="5574" max="5574" width="11" style="89"/>
    <col min="5575" max="5575" width="11" style="89"/>
    <col min="5576" max="5576" width="11" style="89"/>
    <col min="5577" max="5577" width="11" style="89"/>
    <col min="5578" max="5578" width="11" style="89"/>
    <col min="5579" max="5579" width="11" style="89"/>
    <col min="5580" max="5580" width="11" style="89"/>
    <col min="5581" max="5581" width="11" style="89"/>
    <col min="5582" max="5582" width="11" style="89"/>
    <col min="5583" max="5583" width="11" style="89"/>
    <col min="5584" max="5584" width="11" style="89"/>
    <col min="5585" max="5585" width="11" style="89"/>
    <col min="5586" max="5586" width="11" style="89"/>
    <col min="5587" max="5587" width="11" style="89"/>
    <col min="5588" max="5588" width="11" style="89"/>
    <col min="5589" max="5589" width="11" style="89"/>
    <col min="5590" max="5590" width="11" style="89"/>
    <col min="5591" max="5591" width="11" style="89"/>
    <col min="5592" max="5592" width="11" style="89"/>
    <col min="5593" max="5593" width="11" style="89"/>
    <col min="5594" max="5594" width="11" style="89"/>
    <col min="5595" max="5595" width="11" style="89"/>
    <col min="5596" max="5596" width="11" style="89"/>
    <col min="5597" max="5597" width="11" style="89"/>
    <col min="5598" max="5598" width="11" style="89"/>
    <col min="5599" max="5599" width="11" style="89"/>
    <col min="5600" max="5600" width="11" style="89"/>
    <col min="5601" max="5601" width="11" style="89"/>
    <col min="5602" max="5602" width="11" style="89"/>
    <col min="5603" max="5603" width="11" style="89"/>
    <col min="5604" max="5604" width="11" style="89"/>
    <col min="5605" max="5605" width="11" style="89"/>
    <col min="5606" max="5606" width="11" style="89"/>
    <col min="5607" max="5607" width="11" style="89"/>
    <col min="5608" max="5608" width="11" style="89"/>
    <col min="5609" max="5609" width="11" style="89"/>
    <col min="5610" max="5610" width="11" style="89"/>
    <col min="5611" max="5611" width="11" style="89"/>
    <col min="5612" max="5612" width="11" style="89"/>
    <col min="5613" max="5613" width="11" style="89"/>
    <col min="5614" max="5614" width="11" style="89"/>
    <col min="5615" max="5615" width="11" style="89"/>
    <col min="5616" max="5616" width="11" style="89"/>
    <col min="5617" max="5617" width="11" style="89"/>
    <col min="5618" max="5618" width="11" style="89"/>
    <col min="5619" max="5619" width="11" style="89"/>
    <col min="5620" max="5620" width="11" style="89"/>
    <col min="5621" max="5621" width="11" style="89"/>
    <col min="5622" max="5622" width="11" style="89"/>
    <col min="5623" max="5623" width="11" style="89"/>
    <col min="5624" max="5624" width="11" style="89"/>
    <col min="5625" max="5625" width="11" style="89"/>
    <col min="5626" max="5626" width="11" style="89"/>
    <col min="5627" max="5627" width="11" style="89"/>
    <col min="5628" max="5628" width="11" style="89"/>
    <col min="5629" max="5629" width="11" style="89"/>
    <col min="5630" max="5630" width="11" style="89"/>
    <col min="5631" max="5631" width="11" style="89"/>
    <col min="5632" max="5632" width="11" style="89"/>
    <col min="5633" max="5633" width="10.140625" customWidth="true" style="89"/>
    <col min="5634" max="5634" width="10.140625" customWidth="true" style="89"/>
    <col min="5635" max="5635" width="10.140625" customWidth="true" style="89"/>
    <col min="5636" max="5636" width="10.140625" customWidth="true" style="89"/>
    <col min="5637" max="5637" width="10.140625" customWidth="true" style="89"/>
    <col min="5638" max="5638" width="10.140625" customWidth="true" style="89"/>
    <col min="5639" max="5639" width="10.140625" customWidth="true" style="89"/>
    <col min="5640" max="5640" width="10.140625" customWidth="true" style="89"/>
    <col min="5641" max="5641" width="10.140625" customWidth="true" style="89"/>
    <col min="5642" max="5642" width="11" style="89"/>
    <col min="5643" max="5643" width="11" style="89"/>
    <col min="5644" max="5644" width="11" style="89"/>
    <col min="5645" max="5645" width="11" style="89"/>
    <col min="5646" max="5646" width="11" style="89"/>
    <col min="5647" max="5647" width="11" style="89"/>
    <col min="5648" max="5648" width="11" style="89"/>
    <col min="5649" max="5649" width="11" style="89"/>
    <col min="5650" max="5650" width="11" style="89"/>
    <col min="5651" max="5651" width="11" style="89"/>
    <col min="5652" max="5652" width="11" style="89"/>
    <col min="5653" max="5653" width="11" style="89"/>
    <col min="5654" max="5654" width="11" style="89"/>
    <col min="5655" max="5655" width="11" style="89"/>
    <col min="5656" max="5656" width="11" style="89"/>
    <col min="5657" max="5657" width="11" style="89"/>
    <col min="5658" max="5658" width="11" style="89"/>
    <col min="5659" max="5659" width="11" style="89"/>
    <col min="5660" max="5660" width="11" style="89"/>
    <col min="5661" max="5661" width="11" style="89"/>
    <col min="5662" max="5662" width="11" style="89"/>
    <col min="5663" max="5663" width="11" style="89"/>
    <col min="5664" max="5664" width="11" style="89"/>
    <col min="5665" max="5665" width="11" style="89"/>
    <col min="5666" max="5666" width="11" style="89"/>
    <col min="5667" max="5667" width="11" style="89"/>
    <col min="5668" max="5668" width="11" style="89"/>
    <col min="5669" max="5669" width="11" style="89"/>
    <col min="5670" max="5670" width="11" style="89"/>
    <col min="5671" max="5671" width="11" style="89"/>
    <col min="5672" max="5672" width="11" style="89"/>
    <col min="5673" max="5673" width="11" style="89"/>
    <col min="5674" max="5674" width="11" style="89"/>
    <col min="5675" max="5675" width="11" style="89"/>
    <col min="5676" max="5676" width="11" style="89"/>
    <col min="5677" max="5677" width="11" style="89"/>
    <col min="5678" max="5678" width="11" style="89"/>
    <col min="5679" max="5679" width="11" style="89"/>
    <col min="5680" max="5680" width="11" style="89"/>
    <col min="5681" max="5681" width="11" style="89"/>
    <col min="5682" max="5682" width="11" style="89"/>
    <col min="5683" max="5683" width="11" style="89"/>
    <col min="5684" max="5684" width="11" style="89"/>
    <col min="5685" max="5685" width="11" style="89"/>
    <col min="5686" max="5686" width="11" style="89"/>
    <col min="5687" max="5687" width="11" style="89"/>
    <col min="5688" max="5688" width="11" style="89"/>
    <col min="5689" max="5689" width="11" style="89"/>
    <col min="5690" max="5690" width="11" style="89"/>
    <col min="5691" max="5691" width="11" style="89"/>
    <col min="5692" max="5692" width="11" style="89"/>
    <col min="5693" max="5693" width="11" style="89"/>
    <col min="5694" max="5694" width="11" style="89"/>
    <col min="5695" max="5695" width="11" style="89"/>
    <col min="5696" max="5696" width="11" style="89"/>
    <col min="5697" max="5697" width="11" style="89"/>
    <col min="5698" max="5698" width="11" style="89"/>
    <col min="5699" max="5699" width="11" style="89"/>
    <col min="5700" max="5700" width="11" style="89"/>
    <col min="5701" max="5701" width="11" style="89"/>
    <col min="5702" max="5702" width="11" style="89"/>
    <col min="5703" max="5703" width="11" style="89"/>
    <col min="5704" max="5704" width="11" style="89"/>
    <col min="5705" max="5705" width="11" style="89"/>
    <col min="5706" max="5706" width="11" style="89"/>
    <col min="5707" max="5707" width="11" style="89"/>
    <col min="5708" max="5708" width="11" style="89"/>
    <col min="5709" max="5709" width="11" style="89"/>
    <col min="5710" max="5710" width="11" style="89"/>
    <col min="5711" max="5711" width="11" style="89"/>
    <col min="5712" max="5712" width="11" style="89"/>
    <col min="5713" max="5713" width="11" style="89"/>
    <col min="5714" max="5714" width="11" style="89"/>
    <col min="5715" max="5715" width="11" style="89"/>
    <col min="5716" max="5716" width="11" style="89"/>
    <col min="5717" max="5717" width="11" style="89"/>
    <col min="5718" max="5718" width="11" style="89"/>
    <col min="5719" max="5719" width="11" style="89"/>
    <col min="5720" max="5720" width="11" style="89"/>
    <col min="5721" max="5721" width="11" style="89"/>
    <col min="5722" max="5722" width="11" style="89"/>
    <col min="5723" max="5723" width="11" style="89"/>
    <col min="5724" max="5724" width="11" style="89"/>
    <col min="5725" max="5725" width="11" style="89"/>
    <col min="5726" max="5726" width="11" style="89"/>
    <col min="5727" max="5727" width="11" style="89"/>
    <col min="5728" max="5728" width="11" style="89"/>
    <col min="5729" max="5729" width="11" style="89"/>
    <col min="5730" max="5730" width="11" style="89"/>
    <col min="5731" max="5731" width="11" style="89"/>
    <col min="5732" max="5732" width="11" style="89"/>
    <col min="5733" max="5733" width="11" style="89"/>
    <col min="5734" max="5734" width="11" style="89"/>
    <col min="5735" max="5735" width="11" style="89"/>
    <col min="5736" max="5736" width="11" style="89"/>
    <col min="5737" max="5737" width="11" style="89"/>
    <col min="5738" max="5738" width="11" style="89"/>
    <col min="5739" max="5739" width="11" style="89"/>
    <col min="5740" max="5740" width="11" style="89"/>
    <col min="5741" max="5741" width="11" style="89"/>
    <col min="5742" max="5742" width="11" style="89"/>
    <col min="5743" max="5743" width="11" style="89"/>
    <col min="5744" max="5744" width="11" style="89"/>
    <col min="5745" max="5745" width="11" style="89"/>
    <col min="5746" max="5746" width="11" style="89"/>
    <col min="5747" max="5747" width="11" style="89"/>
    <col min="5748" max="5748" width="11" style="89"/>
    <col min="5749" max="5749" width="11" style="89"/>
    <col min="5750" max="5750" width="11" style="89"/>
    <col min="5751" max="5751" width="11" style="89"/>
    <col min="5752" max="5752" width="11" style="89"/>
    <col min="5753" max="5753" width="11" style="89"/>
    <col min="5754" max="5754" width="11" style="89"/>
    <col min="5755" max="5755" width="11" style="89"/>
    <col min="5756" max="5756" width="11" style="89"/>
    <col min="5757" max="5757" width="11" style="89"/>
    <col min="5758" max="5758" width="11" style="89"/>
    <col min="5759" max="5759" width="11" style="89"/>
    <col min="5760" max="5760" width="11" style="89"/>
    <col min="5761" max="5761" width="11" style="89"/>
    <col min="5762" max="5762" width="11" style="89"/>
    <col min="5763" max="5763" width="11" style="89"/>
    <col min="5764" max="5764" width="11" style="89"/>
    <col min="5765" max="5765" width="11" style="89"/>
    <col min="5766" max="5766" width="11" style="89"/>
    <col min="5767" max="5767" width="11" style="89"/>
    <col min="5768" max="5768" width="11" style="89"/>
    <col min="5769" max="5769" width="11" style="89"/>
    <col min="5770" max="5770" width="11" style="89"/>
    <col min="5771" max="5771" width="11" style="89"/>
    <col min="5772" max="5772" width="11" style="89"/>
    <col min="5773" max="5773" width="11" style="89"/>
    <col min="5774" max="5774" width="11" style="89"/>
    <col min="5775" max="5775" width="11" style="89"/>
    <col min="5776" max="5776" width="11" style="89"/>
    <col min="5777" max="5777" width="11" style="89"/>
    <col min="5778" max="5778" width="11" style="89"/>
    <col min="5779" max="5779" width="11" style="89"/>
    <col min="5780" max="5780" width="11" style="89"/>
    <col min="5781" max="5781" width="11" style="89"/>
    <col min="5782" max="5782" width="11" style="89"/>
    <col min="5783" max="5783" width="11" style="89"/>
    <col min="5784" max="5784" width="11" style="89"/>
    <col min="5785" max="5785" width="11" style="89"/>
    <col min="5786" max="5786" width="11" style="89"/>
    <col min="5787" max="5787" width="11" style="89"/>
    <col min="5788" max="5788" width="11" style="89"/>
    <col min="5789" max="5789" width="11" style="89"/>
    <col min="5790" max="5790" width="11" style="89"/>
    <col min="5791" max="5791" width="11" style="89"/>
    <col min="5792" max="5792" width="11" style="89"/>
    <col min="5793" max="5793" width="11" style="89"/>
    <col min="5794" max="5794" width="11" style="89"/>
    <col min="5795" max="5795" width="11" style="89"/>
    <col min="5796" max="5796" width="11" style="89"/>
    <col min="5797" max="5797" width="11" style="89"/>
    <col min="5798" max="5798" width="11" style="89"/>
    <col min="5799" max="5799" width="11" style="89"/>
    <col min="5800" max="5800" width="11" style="89"/>
    <col min="5801" max="5801" width="11" style="89"/>
    <col min="5802" max="5802" width="11" style="89"/>
    <col min="5803" max="5803" width="11" style="89"/>
    <col min="5804" max="5804" width="11" style="89"/>
    <col min="5805" max="5805" width="11" style="89"/>
    <col min="5806" max="5806" width="11" style="89"/>
    <col min="5807" max="5807" width="11" style="89"/>
    <col min="5808" max="5808" width="11" style="89"/>
    <col min="5809" max="5809" width="11" style="89"/>
    <col min="5810" max="5810" width="11" style="89"/>
    <col min="5811" max="5811" width="11" style="89"/>
    <col min="5812" max="5812" width="11" style="89"/>
    <col min="5813" max="5813" width="11" style="89"/>
    <col min="5814" max="5814" width="11" style="89"/>
    <col min="5815" max="5815" width="11" style="89"/>
    <col min="5816" max="5816" width="11" style="89"/>
    <col min="5817" max="5817" width="11" style="89"/>
    <col min="5818" max="5818" width="11" style="89"/>
    <col min="5819" max="5819" width="11" style="89"/>
    <col min="5820" max="5820" width="11" style="89"/>
    <col min="5821" max="5821" width="11" style="89"/>
    <col min="5822" max="5822" width="11" style="89"/>
    <col min="5823" max="5823" width="11" style="89"/>
    <col min="5824" max="5824" width="11" style="89"/>
    <col min="5825" max="5825" width="11" style="89"/>
    <col min="5826" max="5826" width="11" style="89"/>
    <col min="5827" max="5827" width="11" style="89"/>
    <col min="5828" max="5828" width="11" style="89"/>
    <col min="5829" max="5829" width="11" style="89"/>
    <col min="5830" max="5830" width="11" style="89"/>
    <col min="5831" max="5831" width="11" style="89"/>
    <col min="5832" max="5832" width="11" style="89"/>
    <col min="5833" max="5833" width="11" style="89"/>
    <col min="5834" max="5834" width="11" style="89"/>
    <col min="5835" max="5835" width="11" style="89"/>
    <col min="5836" max="5836" width="11" style="89"/>
    <col min="5837" max="5837" width="11" style="89"/>
    <col min="5838" max="5838" width="11" style="89"/>
    <col min="5839" max="5839" width="11" style="89"/>
    <col min="5840" max="5840" width="11" style="89"/>
    <col min="5841" max="5841" width="11" style="89"/>
    <col min="5842" max="5842" width="11" style="89"/>
    <col min="5843" max="5843" width="11" style="89"/>
    <col min="5844" max="5844" width="11" style="89"/>
    <col min="5845" max="5845" width="11" style="89"/>
    <col min="5846" max="5846" width="11" style="89"/>
    <col min="5847" max="5847" width="11" style="89"/>
    <col min="5848" max="5848" width="11" style="89"/>
    <col min="5849" max="5849" width="11" style="89"/>
    <col min="5850" max="5850" width="11" style="89"/>
    <col min="5851" max="5851" width="11" style="89"/>
    <col min="5852" max="5852" width="11" style="89"/>
    <col min="5853" max="5853" width="11" style="89"/>
    <col min="5854" max="5854" width="11" style="89"/>
    <col min="5855" max="5855" width="11" style="89"/>
    <col min="5856" max="5856" width="11" style="89"/>
    <col min="5857" max="5857" width="11" style="89"/>
    <col min="5858" max="5858" width="11" style="89"/>
    <col min="5859" max="5859" width="11" style="89"/>
    <col min="5860" max="5860" width="11" style="89"/>
    <col min="5861" max="5861" width="11" style="89"/>
    <col min="5862" max="5862" width="11" style="89"/>
    <col min="5863" max="5863" width="11" style="89"/>
    <col min="5864" max="5864" width="11" style="89"/>
    <col min="5865" max="5865" width="11" style="89"/>
    <col min="5866" max="5866" width="11" style="89"/>
    <col min="5867" max="5867" width="11" style="89"/>
    <col min="5868" max="5868" width="11" style="89"/>
    <col min="5869" max="5869" width="11" style="89"/>
    <col min="5870" max="5870" width="11" style="89"/>
    <col min="5871" max="5871" width="11" style="89"/>
    <col min="5872" max="5872" width="11" style="89"/>
    <col min="5873" max="5873" width="11" style="89"/>
    <col min="5874" max="5874" width="11" style="89"/>
    <col min="5875" max="5875" width="11" style="89"/>
    <col min="5876" max="5876" width="11" style="89"/>
    <col min="5877" max="5877" width="11" style="89"/>
    <col min="5878" max="5878" width="11" style="89"/>
    <col min="5879" max="5879" width="11" style="89"/>
    <col min="5880" max="5880" width="11" style="89"/>
    <col min="5881" max="5881" width="11" style="89"/>
    <col min="5882" max="5882" width="11" style="89"/>
    <col min="5883" max="5883" width="11" style="89"/>
    <col min="5884" max="5884" width="11" style="89"/>
    <col min="5885" max="5885" width="11" style="89"/>
    <col min="5886" max="5886" width="11" style="89"/>
    <col min="5887" max="5887" width="11" style="89"/>
    <col min="5888" max="5888" width="11" style="89"/>
    <col min="5889" max="5889" width="10.140625" customWidth="true" style="89"/>
    <col min="5890" max="5890" width="10.140625" customWidth="true" style="89"/>
    <col min="5891" max="5891" width="10.140625" customWidth="true" style="89"/>
    <col min="5892" max="5892" width="10.140625" customWidth="true" style="89"/>
    <col min="5893" max="5893" width="10.140625" customWidth="true" style="89"/>
    <col min="5894" max="5894" width="10.140625" customWidth="true" style="89"/>
    <col min="5895" max="5895" width="10.140625" customWidth="true" style="89"/>
    <col min="5896" max="5896" width="10.140625" customWidth="true" style="89"/>
    <col min="5897" max="5897" width="10.140625" customWidth="true" style="89"/>
    <col min="5898" max="5898" width="11" style="89"/>
    <col min="5899" max="5899" width="11" style="89"/>
    <col min="5900" max="5900" width="11" style="89"/>
    <col min="5901" max="5901" width="11" style="89"/>
    <col min="5902" max="5902" width="11" style="89"/>
    <col min="5903" max="5903" width="11" style="89"/>
    <col min="5904" max="5904" width="11" style="89"/>
    <col min="5905" max="5905" width="11" style="89"/>
    <col min="5906" max="5906" width="11" style="89"/>
    <col min="5907" max="5907" width="11" style="89"/>
    <col min="5908" max="5908" width="11" style="89"/>
    <col min="5909" max="5909" width="11" style="89"/>
    <col min="5910" max="5910" width="11" style="89"/>
    <col min="5911" max="5911" width="11" style="89"/>
    <col min="5912" max="5912" width="11" style="89"/>
    <col min="5913" max="5913" width="11" style="89"/>
    <col min="5914" max="5914" width="11" style="89"/>
    <col min="5915" max="5915" width="11" style="89"/>
    <col min="5916" max="5916" width="11" style="89"/>
    <col min="5917" max="5917" width="11" style="89"/>
    <col min="5918" max="5918" width="11" style="89"/>
    <col min="5919" max="5919" width="11" style="89"/>
    <col min="5920" max="5920" width="11" style="89"/>
    <col min="5921" max="5921" width="11" style="89"/>
    <col min="5922" max="5922" width="11" style="89"/>
    <col min="5923" max="5923" width="11" style="89"/>
    <col min="5924" max="5924" width="11" style="89"/>
    <col min="5925" max="5925" width="11" style="89"/>
    <col min="5926" max="5926" width="11" style="89"/>
    <col min="5927" max="5927" width="11" style="89"/>
    <col min="5928" max="5928" width="11" style="89"/>
    <col min="5929" max="5929" width="11" style="89"/>
    <col min="5930" max="5930" width="11" style="89"/>
    <col min="5931" max="5931" width="11" style="89"/>
    <col min="5932" max="5932" width="11" style="89"/>
    <col min="5933" max="5933" width="11" style="89"/>
    <col min="5934" max="5934" width="11" style="89"/>
    <col min="5935" max="5935" width="11" style="89"/>
    <col min="5936" max="5936" width="11" style="89"/>
    <col min="5937" max="5937" width="11" style="89"/>
    <col min="5938" max="5938" width="11" style="89"/>
    <col min="5939" max="5939" width="11" style="89"/>
    <col min="5940" max="5940" width="11" style="89"/>
    <col min="5941" max="5941" width="11" style="89"/>
    <col min="5942" max="5942" width="11" style="89"/>
    <col min="5943" max="5943" width="11" style="89"/>
    <col min="5944" max="5944" width="11" style="89"/>
    <col min="5945" max="5945" width="11" style="89"/>
    <col min="5946" max="5946" width="11" style="89"/>
    <col min="5947" max="5947" width="11" style="89"/>
    <col min="5948" max="5948" width="11" style="89"/>
    <col min="5949" max="5949" width="11" style="89"/>
    <col min="5950" max="5950" width="11" style="89"/>
    <col min="5951" max="5951" width="11" style="89"/>
    <col min="5952" max="5952" width="11" style="89"/>
    <col min="5953" max="5953" width="11" style="89"/>
    <col min="5954" max="5954" width="11" style="89"/>
    <col min="5955" max="5955" width="11" style="89"/>
    <col min="5956" max="5956" width="11" style="89"/>
    <col min="5957" max="5957" width="11" style="89"/>
    <col min="5958" max="5958" width="11" style="89"/>
    <col min="5959" max="5959" width="11" style="89"/>
    <col min="5960" max="5960" width="11" style="89"/>
    <col min="5961" max="5961" width="11" style="89"/>
    <col min="5962" max="5962" width="11" style="89"/>
    <col min="5963" max="5963" width="11" style="89"/>
    <col min="5964" max="5964" width="11" style="89"/>
    <col min="5965" max="5965" width="11" style="89"/>
    <col min="5966" max="5966" width="11" style="89"/>
    <col min="5967" max="5967" width="11" style="89"/>
    <col min="5968" max="5968" width="11" style="89"/>
    <col min="5969" max="5969" width="11" style="89"/>
    <col min="5970" max="5970" width="11" style="89"/>
    <col min="5971" max="5971" width="11" style="89"/>
    <col min="5972" max="5972" width="11" style="89"/>
    <col min="5973" max="5973" width="11" style="89"/>
    <col min="5974" max="5974" width="11" style="89"/>
    <col min="5975" max="5975" width="11" style="89"/>
    <col min="5976" max="5976" width="11" style="89"/>
    <col min="5977" max="5977" width="11" style="89"/>
    <col min="5978" max="5978" width="11" style="89"/>
    <col min="5979" max="5979" width="11" style="89"/>
    <col min="5980" max="5980" width="11" style="89"/>
    <col min="5981" max="5981" width="11" style="89"/>
    <col min="5982" max="5982" width="11" style="89"/>
    <col min="5983" max="5983" width="11" style="89"/>
    <col min="5984" max="5984" width="11" style="89"/>
    <col min="5985" max="5985" width="11" style="89"/>
    <col min="5986" max="5986" width="11" style="89"/>
    <col min="5987" max="5987" width="11" style="89"/>
    <col min="5988" max="5988" width="11" style="89"/>
    <col min="5989" max="5989" width="11" style="89"/>
    <col min="5990" max="5990" width="11" style="89"/>
    <col min="5991" max="5991" width="11" style="89"/>
    <col min="5992" max="5992" width="11" style="89"/>
    <col min="5993" max="5993" width="11" style="89"/>
    <col min="5994" max="5994" width="11" style="89"/>
    <col min="5995" max="5995" width="11" style="89"/>
    <col min="5996" max="5996" width="11" style="89"/>
    <col min="5997" max="5997" width="11" style="89"/>
    <col min="5998" max="5998" width="11" style="89"/>
    <col min="5999" max="5999" width="11" style="89"/>
    <col min="6000" max="6000" width="11" style="89"/>
    <col min="6001" max="6001" width="11" style="89"/>
    <col min="6002" max="6002" width="11" style="89"/>
    <col min="6003" max="6003" width="11" style="89"/>
    <col min="6004" max="6004" width="11" style="89"/>
    <col min="6005" max="6005" width="11" style="89"/>
    <col min="6006" max="6006" width="11" style="89"/>
    <col min="6007" max="6007" width="11" style="89"/>
    <col min="6008" max="6008" width="11" style="89"/>
    <col min="6009" max="6009" width="11" style="89"/>
    <col min="6010" max="6010" width="11" style="89"/>
    <col min="6011" max="6011" width="11" style="89"/>
    <col min="6012" max="6012" width="11" style="89"/>
    <col min="6013" max="6013" width="11" style="89"/>
    <col min="6014" max="6014" width="11" style="89"/>
    <col min="6015" max="6015" width="11" style="89"/>
    <col min="6016" max="6016" width="11" style="89"/>
    <col min="6017" max="6017" width="11" style="89"/>
    <col min="6018" max="6018" width="11" style="89"/>
    <col min="6019" max="6019" width="11" style="89"/>
    <col min="6020" max="6020" width="11" style="89"/>
    <col min="6021" max="6021" width="11" style="89"/>
    <col min="6022" max="6022" width="11" style="89"/>
    <col min="6023" max="6023" width="11" style="89"/>
    <col min="6024" max="6024" width="11" style="89"/>
    <col min="6025" max="6025" width="11" style="89"/>
    <col min="6026" max="6026" width="11" style="89"/>
    <col min="6027" max="6027" width="11" style="89"/>
    <col min="6028" max="6028" width="11" style="89"/>
    <col min="6029" max="6029" width="11" style="89"/>
    <col min="6030" max="6030" width="11" style="89"/>
    <col min="6031" max="6031" width="11" style="89"/>
    <col min="6032" max="6032" width="11" style="89"/>
    <col min="6033" max="6033" width="11" style="89"/>
    <col min="6034" max="6034" width="11" style="89"/>
    <col min="6035" max="6035" width="11" style="89"/>
    <col min="6036" max="6036" width="11" style="89"/>
    <col min="6037" max="6037" width="11" style="89"/>
    <col min="6038" max="6038" width="11" style="89"/>
    <col min="6039" max="6039" width="11" style="89"/>
    <col min="6040" max="6040" width="11" style="89"/>
    <col min="6041" max="6041" width="11" style="89"/>
    <col min="6042" max="6042" width="11" style="89"/>
    <col min="6043" max="6043" width="11" style="89"/>
    <col min="6044" max="6044" width="11" style="89"/>
    <col min="6045" max="6045" width="11" style="89"/>
    <col min="6046" max="6046" width="11" style="89"/>
    <col min="6047" max="6047" width="11" style="89"/>
    <col min="6048" max="6048" width="11" style="89"/>
    <col min="6049" max="6049" width="11" style="89"/>
    <col min="6050" max="6050" width="11" style="89"/>
    <col min="6051" max="6051" width="11" style="89"/>
    <col min="6052" max="6052" width="11" style="89"/>
    <col min="6053" max="6053" width="11" style="89"/>
    <col min="6054" max="6054" width="11" style="89"/>
    <col min="6055" max="6055" width="11" style="89"/>
    <col min="6056" max="6056" width="11" style="89"/>
    <col min="6057" max="6057" width="11" style="89"/>
    <col min="6058" max="6058" width="11" style="89"/>
    <col min="6059" max="6059" width="11" style="89"/>
    <col min="6060" max="6060" width="11" style="89"/>
    <col min="6061" max="6061" width="11" style="89"/>
    <col min="6062" max="6062" width="11" style="89"/>
    <col min="6063" max="6063" width="11" style="89"/>
    <col min="6064" max="6064" width="11" style="89"/>
    <col min="6065" max="6065" width="11" style="89"/>
    <col min="6066" max="6066" width="11" style="89"/>
    <col min="6067" max="6067" width="11" style="89"/>
    <col min="6068" max="6068" width="11" style="89"/>
    <col min="6069" max="6069" width="11" style="89"/>
    <col min="6070" max="6070" width="11" style="89"/>
    <col min="6071" max="6071" width="11" style="89"/>
    <col min="6072" max="6072" width="11" style="89"/>
    <col min="6073" max="6073" width="11" style="89"/>
    <col min="6074" max="6074" width="11" style="89"/>
    <col min="6075" max="6075" width="11" style="89"/>
    <col min="6076" max="6076" width="11" style="89"/>
    <col min="6077" max="6077" width="11" style="89"/>
    <col min="6078" max="6078" width="11" style="89"/>
    <col min="6079" max="6079" width="11" style="89"/>
    <col min="6080" max="6080" width="11" style="89"/>
    <col min="6081" max="6081" width="11" style="89"/>
    <col min="6082" max="6082" width="11" style="89"/>
    <col min="6083" max="6083" width="11" style="89"/>
    <col min="6084" max="6084" width="11" style="89"/>
    <col min="6085" max="6085" width="11" style="89"/>
    <col min="6086" max="6086" width="11" style="89"/>
    <col min="6087" max="6087" width="11" style="89"/>
    <col min="6088" max="6088" width="11" style="89"/>
    <col min="6089" max="6089" width="11" style="89"/>
    <col min="6090" max="6090" width="11" style="89"/>
    <col min="6091" max="6091" width="11" style="89"/>
    <col min="6092" max="6092" width="11" style="89"/>
    <col min="6093" max="6093" width="11" style="89"/>
    <col min="6094" max="6094" width="11" style="89"/>
    <col min="6095" max="6095" width="11" style="89"/>
    <col min="6096" max="6096" width="11" style="89"/>
    <col min="6097" max="6097" width="11" style="89"/>
    <col min="6098" max="6098" width="11" style="89"/>
    <col min="6099" max="6099" width="11" style="89"/>
    <col min="6100" max="6100" width="11" style="89"/>
    <col min="6101" max="6101" width="11" style="89"/>
    <col min="6102" max="6102" width="11" style="89"/>
    <col min="6103" max="6103" width="11" style="89"/>
    <col min="6104" max="6104" width="11" style="89"/>
    <col min="6105" max="6105" width="11" style="89"/>
    <col min="6106" max="6106" width="11" style="89"/>
    <col min="6107" max="6107" width="11" style="89"/>
    <col min="6108" max="6108" width="11" style="89"/>
    <col min="6109" max="6109" width="11" style="89"/>
    <col min="6110" max="6110" width="11" style="89"/>
    <col min="6111" max="6111" width="11" style="89"/>
    <col min="6112" max="6112" width="11" style="89"/>
    <col min="6113" max="6113" width="11" style="89"/>
    <col min="6114" max="6114" width="11" style="89"/>
    <col min="6115" max="6115" width="11" style="89"/>
    <col min="6116" max="6116" width="11" style="89"/>
    <col min="6117" max="6117" width="11" style="89"/>
    <col min="6118" max="6118" width="11" style="89"/>
    <col min="6119" max="6119" width="11" style="89"/>
    <col min="6120" max="6120" width="11" style="89"/>
    <col min="6121" max="6121" width="11" style="89"/>
    <col min="6122" max="6122" width="11" style="89"/>
    <col min="6123" max="6123" width="11" style="89"/>
    <col min="6124" max="6124" width="11" style="89"/>
    <col min="6125" max="6125" width="11" style="89"/>
    <col min="6126" max="6126" width="11" style="89"/>
    <col min="6127" max="6127" width="11" style="89"/>
    <col min="6128" max="6128" width="11" style="89"/>
    <col min="6129" max="6129" width="11" style="89"/>
    <col min="6130" max="6130" width="11" style="89"/>
    <col min="6131" max="6131" width="11" style="89"/>
    <col min="6132" max="6132" width="11" style="89"/>
    <col min="6133" max="6133" width="11" style="89"/>
    <col min="6134" max="6134" width="11" style="89"/>
    <col min="6135" max="6135" width="11" style="89"/>
    <col min="6136" max="6136" width="11" style="89"/>
    <col min="6137" max="6137" width="11" style="89"/>
    <col min="6138" max="6138" width="11" style="89"/>
    <col min="6139" max="6139" width="11" style="89"/>
    <col min="6140" max="6140" width="11" style="89"/>
    <col min="6141" max="6141" width="11" style="89"/>
    <col min="6142" max="6142" width="11" style="89"/>
    <col min="6143" max="6143" width="11" style="89"/>
    <col min="6144" max="6144" width="11" style="89"/>
    <col min="6145" max="6145" width="10.140625" customWidth="true" style="89"/>
    <col min="6146" max="6146" width="10.140625" customWidth="true" style="89"/>
    <col min="6147" max="6147" width="10.140625" customWidth="true" style="89"/>
    <col min="6148" max="6148" width="10.140625" customWidth="true" style="89"/>
    <col min="6149" max="6149" width="10.140625" customWidth="true" style="89"/>
    <col min="6150" max="6150" width="10.140625" customWidth="true" style="89"/>
    <col min="6151" max="6151" width="10.140625" customWidth="true" style="89"/>
    <col min="6152" max="6152" width="10.140625" customWidth="true" style="89"/>
    <col min="6153" max="6153" width="10.140625" customWidth="true" style="89"/>
    <col min="6154" max="6154" width="11" style="89"/>
    <col min="6155" max="6155" width="11" style="89"/>
    <col min="6156" max="6156" width="11" style="89"/>
    <col min="6157" max="6157" width="11" style="89"/>
    <col min="6158" max="6158" width="11" style="89"/>
    <col min="6159" max="6159" width="11" style="89"/>
    <col min="6160" max="6160" width="11" style="89"/>
    <col min="6161" max="6161" width="11" style="89"/>
    <col min="6162" max="6162" width="11" style="89"/>
    <col min="6163" max="6163" width="11" style="89"/>
    <col min="6164" max="6164" width="11" style="89"/>
    <col min="6165" max="6165" width="11" style="89"/>
    <col min="6166" max="6166" width="11" style="89"/>
    <col min="6167" max="6167" width="11" style="89"/>
    <col min="6168" max="6168" width="11" style="89"/>
    <col min="6169" max="6169" width="11" style="89"/>
    <col min="6170" max="6170" width="11" style="89"/>
    <col min="6171" max="6171" width="11" style="89"/>
    <col min="6172" max="6172" width="11" style="89"/>
    <col min="6173" max="6173" width="11" style="89"/>
    <col min="6174" max="6174" width="11" style="89"/>
    <col min="6175" max="6175" width="11" style="89"/>
    <col min="6176" max="6176" width="11" style="89"/>
    <col min="6177" max="6177" width="11" style="89"/>
    <col min="6178" max="6178" width="11" style="89"/>
    <col min="6179" max="6179" width="11" style="89"/>
    <col min="6180" max="6180" width="11" style="89"/>
    <col min="6181" max="6181" width="11" style="89"/>
    <col min="6182" max="6182" width="11" style="89"/>
    <col min="6183" max="6183" width="11" style="89"/>
    <col min="6184" max="6184" width="11" style="89"/>
    <col min="6185" max="6185" width="11" style="89"/>
    <col min="6186" max="6186" width="11" style="89"/>
    <col min="6187" max="6187" width="11" style="89"/>
    <col min="6188" max="6188" width="11" style="89"/>
    <col min="6189" max="6189" width="11" style="89"/>
    <col min="6190" max="6190" width="11" style="89"/>
    <col min="6191" max="6191" width="11" style="89"/>
    <col min="6192" max="6192" width="11" style="89"/>
    <col min="6193" max="6193" width="11" style="89"/>
    <col min="6194" max="6194" width="11" style="89"/>
    <col min="6195" max="6195" width="11" style="89"/>
    <col min="6196" max="6196" width="11" style="89"/>
    <col min="6197" max="6197" width="11" style="89"/>
    <col min="6198" max="6198" width="11" style="89"/>
    <col min="6199" max="6199" width="11" style="89"/>
    <col min="6200" max="6200" width="11" style="89"/>
    <col min="6201" max="6201" width="11" style="89"/>
    <col min="6202" max="6202" width="11" style="89"/>
    <col min="6203" max="6203" width="11" style="89"/>
    <col min="6204" max="6204" width="11" style="89"/>
    <col min="6205" max="6205" width="11" style="89"/>
    <col min="6206" max="6206" width="11" style="89"/>
    <col min="6207" max="6207" width="11" style="89"/>
    <col min="6208" max="6208" width="11" style="89"/>
    <col min="6209" max="6209" width="11" style="89"/>
    <col min="6210" max="6210" width="11" style="89"/>
    <col min="6211" max="6211" width="11" style="89"/>
    <col min="6212" max="6212" width="11" style="89"/>
    <col min="6213" max="6213" width="11" style="89"/>
    <col min="6214" max="6214" width="11" style="89"/>
    <col min="6215" max="6215" width="11" style="89"/>
    <col min="6216" max="6216" width="11" style="89"/>
    <col min="6217" max="6217" width="11" style="89"/>
    <col min="6218" max="6218" width="11" style="89"/>
    <col min="6219" max="6219" width="11" style="89"/>
    <col min="6220" max="6220" width="11" style="89"/>
    <col min="6221" max="6221" width="11" style="89"/>
    <col min="6222" max="6222" width="11" style="89"/>
    <col min="6223" max="6223" width="11" style="89"/>
    <col min="6224" max="6224" width="11" style="89"/>
    <col min="6225" max="6225" width="11" style="89"/>
    <col min="6226" max="6226" width="11" style="89"/>
    <col min="6227" max="6227" width="11" style="89"/>
    <col min="6228" max="6228" width="11" style="89"/>
    <col min="6229" max="6229" width="11" style="89"/>
    <col min="6230" max="6230" width="11" style="89"/>
    <col min="6231" max="6231" width="11" style="89"/>
    <col min="6232" max="6232" width="11" style="89"/>
    <col min="6233" max="6233" width="11" style="89"/>
    <col min="6234" max="6234" width="11" style="89"/>
    <col min="6235" max="6235" width="11" style="89"/>
    <col min="6236" max="6236" width="11" style="89"/>
    <col min="6237" max="6237" width="11" style="89"/>
    <col min="6238" max="6238" width="11" style="89"/>
    <col min="6239" max="6239" width="11" style="89"/>
    <col min="6240" max="6240" width="11" style="89"/>
    <col min="6241" max="6241" width="11" style="89"/>
    <col min="6242" max="6242" width="11" style="89"/>
    <col min="6243" max="6243" width="11" style="89"/>
    <col min="6244" max="6244" width="11" style="89"/>
    <col min="6245" max="6245" width="11" style="89"/>
    <col min="6246" max="6246" width="11" style="89"/>
    <col min="6247" max="6247" width="11" style="89"/>
    <col min="6248" max="6248" width="11" style="89"/>
    <col min="6249" max="6249" width="11" style="89"/>
    <col min="6250" max="6250" width="11" style="89"/>
    <col min="6251" max="6251" width="11" style="89"/>
    <col min="6252" max="6252" width="11" style="89"/>
    <col min="6253" max="6253" width="11" style="89"/>
    <col min="6254" max="6254" width="11" style="89"/>
    <col min="6255" max="6255" width="11" style="89"/>
    <col min="6256" max="6256" width="11" style="89"/>
    <col min="6257" max="6257" width="11" style="89"/>
    <col min="6258" max="6258" width="11" style="89"/>
    <col min="6259" max="6259" width="11" style="89"/>
    <col min="6260" max="6260" width="11" style="89"/>
    <col min="6261" max="6261" width="11" style="89"/>
    <col min="6262" max="6262" width="11" style="89"/>
    <col min="6263" max="6263" width="11" style="89"/>
    <col min="6264" max="6264" width="11" style="89"/>
    <col min="6265" max="6265" width="11" style="89"/>
    <col min="6266" max="6266" width="11" style="89"/>
    <col min="6267" max="6267" width="11" style="89"/>
    <col min="6268" max="6268" width="11" style="89"/>
    <col min="6269" max="6269" width="11" style="89"/>
    <col min="6270" max="6270" width="11" style="89"/>
    <col min="6271" max="6271" width="11" style="89"/>
    <col min="6272" max="6272" width="11" style="89"/>
    <col min="6273" max="6273" width="11" style="89"/>
    <col min="6274" max="6274" width="11" style="89"/>
    <col min="6275" max="6275" width="11" style="89"/>
    <col min="6276" max="6276" width="11" style="89"/>
    <col min="6277" max="6277" width="11" style="89"/>
    <col min="6278" max="6278" width="11" style="89"/>
    <col min="6279" max="6279" width="11" style="89"/>
    <col min="6280" max="6280" width="11" style="89"/>
    <col min="6281" max="6281" width="11" style="89"/>
    <col min="6282" max="6282" width="11" style="89"/>
    <col min="6283" max="6283" width="11" style="89"/>
    <col min="6284" max="6284" width="11" style="89"/>
    <col min="6285" max="6285" width="11" style="89"/>
    <col min="6286" max="6286" width="11" style="89"/>
    <col min="6287" max="6287" width="11" style="89"/>
    <col min="6288" max="6288" width="11" style="89"/>
    <col min="6289" max="6289" width="11" style="89"/>
    <col min="6290" max="6290" width="11" style="89"/>
    <col min="6291" max="6291" width="11" style="89"/>
    <col min="6292" max="6292" width="11" style="89"/>
    <col min="6293" max="6293" width="11" style="89"/>
    <col min="6294" max="6294" width="11" style="89"/>
    <col min="6295" max="6295" width="11" style="89"/>
    <col min="6296" max="6296" width="11" style="89"/>
    <col min="6297" max="6297" width="11" style="89"/>
    <col min="6298" max="6298" width="11" style="89"/>
    <col min="6299" max="6299" width="11" style="89"/>
    <col min="6300" max="6300" width="11" style="89"/>
    <col min="6301" max="6301" width="11" style="89"/>
    <col min="6302" max="6302" width="11" style="89"/>
    <col min="6303" max="6303" width="11" style="89"/>
    <col min="6304" max="6304" width="11" style="89"/>
    <col min="6305" max="6305" width="11" style="89"/>
    <col min="6306" max="6306" width="11" style="89"/>
    <col min="6307" max="6307" width="11" style="89"/>
    <col min="6308" max="6308" width="11" style="89"/>
    <col min="6309" max="6309" width="11" style="89"/>
    <col min="6310" max="6310" width="11" style="89"/>
    <col min="6311" max="6311" width="11" style="89"/>
    <col min="6312" max="6312" width="11" style="89"/>
    <col min="6313" max="6313" width="11" style="89"/>
    <col min="6314" max="6314" width="11" style="89"/>
    <col min="6315" max="6315" width="11" style="89"/>
    <col min="6316" max="6316" width="11" style="89"/>
    <col min="6317" max="6317" width="11" style="89"/>
    <col min="6318" max="6318" width="11" style="89"/>
    <col min="6319" max="6319" width="11" style="89"/>
    <col min="6320" max="6320" width="11" style="89"/>
    <col min="6321" max="6321" width="11" style="89"/>
    <col min="6322" max="6322" width="11" style="89"/>
    <col min="6323" max="6323" width="11" style="89"/>
    <col min="6324" max="6324" width="11" style="89"/>
    <col min="6325" max="6325" width="11" style="89"/>
    <col min="6326" max="6326" width="11" style="89"/>
    <col min="6327" max="6327" width="11" style="89"/>
    <col min="6328" max="6328" width="11" style="89"/>
    <col min="6329" max="6329" width="11" style="89"/>
    <col min="6330" max="6330" width="11" style="89"/>
    <col min="6331" max="6331" width="11" style="89"/>
    <col min="6332" max="6332" width="11" style="89"/>
    <col min="6333" max="6333" width="11" style="89"/>
    <col min="6334" max="6334" width="11" style="89"/>
    <col min="6335" max="6335" width="11" style="89"/>
    <col min="6336" max="6336" width="11" style="89"/>
    <col min="6337" max="6337" width="11" style="89"/>
    <col min="6338" max="6338" width="11" style="89"/>
    <col min="6339" max="6339" width="11" style="89"/>
    <col min="6340" max="6340" width="11" style="89"/>
    <col min="6341" max="6341" width="11" style="89"/>
    <col min="6342" max="6342" width="11" style="89"/>
    <col min="6343" max="6343" width="11" style="89"/>
    <col min="6344" max="6344" width="11" style="89"/>
    <col min="6345" max="6345" width="11" style="89"/>
    <col min="6346" max="6346" width="11" style="89"/>
    <col min="6347" max="6347" width="11" style="89"/>
    <col min="6348" max="6348" width="11" style="89"/>
    <col min="6349" max="6349" width="11" style="89"/>
    <col min="6350" max="6350" width="11" style="89"/>
    <col min="6351" max="6351" width="11" style="89"/>
    <col min="6352" max="6352" width="11" style="89"/>
    <col min="6353" max="6353" width="11" style="89"/>
    <col min="6354" max="6354" width="11" style="89"/>
    <col min="6355" max="6355" width="11" style="89"/>
    <col min="6356" max="6356" width="11" style="89"/>
    <col min="6357" max="6357" width="11" style="89"/>
    <col min="6358" max="6358" width="11" style="89"/>
    <col min="6359" max="6359" width="11" style="89"/>
    <col min="6360" max="6360" width="11" style="89"/>
    <col min="6361" max="6361" width="11" style="89"/>
    <col min="6362" max="6362" width="11" style="89"/>
    <col min="6363" max="6363" width="11" style="89"/>
    <col min="6364" max="6364" width="11" style="89"/>
    <col min="6365" max="6365" width="11" style="89"/>
    <col min="6366" max="6366" width="11" style="89"/>
    <col min="6367" max="6367" width="11" style="89"/>
    <col min="6368" max="6368" width="11" style="89"/>
    <col min="6369" max="6369" width="11" style="89"/>
    <col min="6370" max="6370" width="11" style="89"/>
    <col min="6371" max="6371" width="11" style="89"/>
    <col min="6372" max="6372" width="11" style="89"/>
    <col min="6373" max="6373" width="11" style="89"/>
    <col min="6374" max="6374" width="11" style="89"/>
    <col min="6375" max="6375" width="11" style="89"/>
    <col min="6376" max="6376" width="11" style="89"/>
    <col min="6377" max="6377" width="11" style="89"/>
    <col min="6378" max="6378" width="11" style="89"/>
    <col min="6379" max="6379" width="11" style="89"/>
    <col min="6380" max="6380" width="11" style="89"/>
    <col min="6381" max="6381" width="11" style="89"/>
    <col min="6382" max="6382" width="11" style="89"/>
    <col min="6383" max="6383" width="11" style="89"/>
    <col min="6384" max="6384" width="11" style="89"/>
    <col min="6385" max="6385" width="11" style="89"/>
    <col min="6386" max="6386" width="11" style="89"/>
    <col min="6387" max="6387" width="11" style="89"/>
    <col min="6388" max="6388" width="11" style="89"/>
    <col min="6389" max="6389" width="11" style="89"/>
    <col min="6390" max="6390" width="11" style="89"/>
    <col min="6391" max="6391" width="11" style="89"/>
    <col min="6392" max="6392" width="11" style="89"/>
    <col min="6393" max="6393" width="11" style="89"/>
    <col min="6394" max="6394" width="11" style="89"/>
    <col min="6395" max="6395" width="11" style="89"/>
    <col min="6396" max="6396" width="11" style="89"/>
    <col min="6397" max="6397" width="11" style="89"/>
    <col min="6398" max="6398" width="11" style="89"/>
    <col min="6399" max="6399" width="11" style="89"/>
    <col min="6400" max="6400" width="11" style="89"/>
    <col min="6401" max="6401" width="10.140625" customWidth="true" style="89"/>
    <col min="6402" max="6402" width="10.140625" customWidth="true" style="89"/>
    <col min="6403" max="6403" width="10.140625" customWidth="true" style="89"/>
    <col min="6404" max="6404" width="10.140625" customWidth="true" style="89"/>
    <col min="6405" max="6405" width="10.140625" customWidth="true" style="89"/>
    <col min="6406" max="6406" width="10.140625" customWidth="true" style="89"/>
    <col min="6407" max="6407" width="10.140625" customWidth="true" style="89"/>
    <col min="6408" max="6408" width="10.140625" customWidth="true" style="89"/>
    <col min="6409" max="6409" width="10.140625" customWidth="true" style="89"/>
    <col min="6410" max="6410" width="11" style="89"/>
    <col min="6411" max="6411" width="11" style="89"/>
    <col min="6412" max="6412" width="11" style="89"/>
    <col min="6413" max="6413" width="11" style="89"/>
    <col min="6414" max="6414" width="11" style="89"/>
    <col min="6415" max="6415" width="11" style="89"/>
    <col min="6416" max="6416" width="11" style="89"/>
    <col min="6417" max="6417" width="11" style="89"/>
    <col min="6418" max="6418" width="11" style="89"/>
    <col min="6419" max="6419" width="11" style="89"/>
    <col min="6420" max="6420" width="11" style="89"/>
    <col min="6421" max="6421" width="11" style="89"/>
    <col min="6422" max="6422" width="11" style="89"/>
    <col min="6423" max="6423" width="11" style="89"/>
    <col min="6424" max="6424" width="11" style="89"/>
    <col min="6425" max="6425" width="11" style="89"/>
    <col min="6426" max="6426" width="11" style="89"/>
    <col min="6427" max="6427" width="11" style="89"/>
    <col min="6428" max="6428" width="11" style="89"/>
    <col min="6429" max="6429" width="11" style="89"/>
    <col min="6430" max="6430" width="11" style="89"/>
    <col min="6431" max="6431" width="11" style="89"/>
    <col min="6432" max="6432" width="11" style="89"/>
    <col min="6433" max="6433" width="11" style="89"/>
    <col min="6434" max="6434" width="11" style="89"/>
    <col min="6435" max="6435" width="11" style="89"/>
    <col min="6436" max="6436" width="11" style="89"/>
    <col min="6437" max="6437" width="11" style="89"/>
    <col min="6438" max="6438" width="11" style="89"/>
    <col min="6439" max="6439" width="11" style="89"/>
    <col min="6440" max="6440" width="11" style="89"/>
    <col min="6441" max="6441" width="11" style="89"/>
    <col min="6442" max="6442" width="11" style="89"/>
    <col min="6443" max="6443" width="11" style="89"/>
    <col min="6444" max="6444" width="11" style="89"/>
    <col min="6445" max="6445" width="11" style="89"/>
    <col min="6446" max="6446" width="11" style="89"/>
    <col min="6447" max="6447" width="11" style="89"/>
    <col min="6448" max="6448" width="11" style="89"/>
    <col min="6449" max="6449" width="11" style="89"/>
    <col min="6450" max="6450" width="11" style="89"/>
    <col min="6451" max="6451" width="11" style="89"/>
    <col min="6452" max="6452" width="11" style="89"/>
    <col min="6453" max="6453" width="11" style="89"/>
    <col min="6454" max="6454" width="11" style="89"/>
    <col min="6455" max="6455" width="11" style="89"/>
    <col min="6456" max="6456" width="11" style="89"/>
    <col min="6457" max="6457" width="11" style="89"/>
    <col min="6458" max="6458" width="11" style="89"/>
    <col min="6459" max="6459" width="11" style="89"/>
    <col min="6460" max="6460" width="11" style="89"/>
    <col min="6461" max="6461" width="11" style="89"/>
    <col min="6462" max="6462" width="11" style="89"/>
    <col min="6463" max="6463" width="11" style="89"/>
    <col min="6464" max="6464" width="11" style="89"/>
    <col min="6465" max="6465" width="11" style="89"/>
    <col min="6466" max="6466" width="11" style="89"/>
    <col min="6467" max="6467" width="11" style="89"/>
    <col min="6468" max="6468" width="11" style="89"/>
    <col min="6469" max="6469" width="11" style="89"/>
    <col min="6470" max="6470" width="11" style="89"/>
    <col min="6471" max="6471" width="11" style="89"/>
    <col min="6472" max="6472" width="11" style="89"/>
    <col min="6473" max="6473" width="11" style="89"/>
    <col min="6474" max="6474" width="11" style="89"/>
    <col min="6475" max="6475" width="11" style="89"/>
    <col min="6476" max="6476" width="11" style="89"/>
    <col min="6477" max="6477" width="11" style="89"/>
    <col min="6478" max="6478" width="11" style="89"/>
    <col min="6479" max="6479" width="11" style="89"/>
    <col min="6480" max="6480" width="11" style="89"/>
    <col min="6481" max="6481" width="11" style="89"/>
    <col min="6482" max="6482" width="11" style="89"/>
    <col min="6483" max="6483" width="11" style="89"/>
    <col min="6484" max="6484" width="11" style="89"/>
    <col min="6485" max="6485" width="11" style="89"/>
    <col min="6486" max="6486" width="11" style="89"/>
    <col min="6487" max="6487" width="11" style="89"/>
    <col min="6488" max="6488" width="11" style="89"/>
    <col min="6489" max="6489" width="11" style="89"/>
    <col min="6490" max="6490" width="11" style="89"/>
    <col min="6491" max="6491" width="11" style="89"/>
    <col min="6492" max="6492" width="11" style="89"/>
    <col min="6493" max="6493" width="11" style="89"/>
    <col min="6494" max="6494" width="11" style="89"/>
    <col min="6495" max="6495" width="11" style="89"/>
    <col min="6496" max="6496" width="11" style="89"/>
    <col min="6497" max="6497" width="11" style="89"/>
    <col min="6498" max="6498" width="11" style="89"/>
    <col min="6499" max="6499" width="11" style="89"/>
    <col min="6500" max="6500" width="11" style="89"/>
    <col min="6501" max="6501" width="11" style="89"/>
    <col min="6502" max="6502" width="11" style="89"/>
    <col min="6503" max="6503" width="11" style="89"/>
    <col min="6504" max="6504" width="11" style="89"/>
    <col min="6505" max="6505" width="11" style="89"/>
    <col min="6506" max="6506" width="11" style="89"/>
    <col min="6507" max="6507" width="11" style="89"/>
    <col min="6508" max="6508" width="11" style="89"/>
    <col min="6509" max="6509" width="11" style="89"/>
    <col min="6510" max="6510" width="11" style="89"/>
    <col min="6511" max="6511" width="11" style="89"/>
    <col min="6512" max="6512" width="11" style="89"/>
    <col min="6513" max="6513" width="11" style="89"/>
    <col min="6514" max="6514" width="11" style="89"/>
    <col min="6515" max="6515" width="11" style="89"/>
    <col min="6516" max="6516" width="11" style="89"/>
    <col min="6517" max="6517" width="11" style="89"/>
    <col min="6518" max="6518" width="11" style="89"/>
    <col min="6519" max="6519" width="11" style="89"/>
    <col min="6520" max="6520" width="11" style="89"/>
    <col min="6521" max="6521" width="11" style="89"/>
    <col min="6522" max="6522" width="11" style="89"/>
    <col min="6523" max="6523" width="11" style="89"/>
    <col min="6524" max="6524" width="11" style="89"/>
    <col min="6525" max="6525" width="11" style="89"/>
    <col min="6526" max="6526" width="11" style="89"/>
    <col min="6527" max="6527" width="11" style="89"/>
    <col min="6528" max="6528" width="11" style="89"/>
    <col min="6529" max="6529" width="11" style="89"/>
    <col min="6530" max="6530" width="11" style="89"/>
    <col min="6531" max="6531" width="11" style="89"/>
    <col min="6532" max="6532" width="11" style="89"/>
    <col min="6533" max="6533" width="11" style="89"/>
    <col min="6534" max="6534" width="11" style="89"/>
    <col min="6535" max="6535" width="11" style="89"/>
    <col min="6536" max="6536" width="11" style="89"/>
    <col min="6537" max="6537" width="11" style="89"/>
    <col min="6538" max="6538" width="11" style="89"/>
    <col min="6539" max="6539" width="11" style="89"/>
    <col min="6540" max="6540" width="11" style="89"/>
    <col min="6541" max="6541" width="11" style="89"/>
    <col min="6542" max="6542" width="11" style="89"/>
    <col min="6543" max="6543" width="11" style="89"/>
    <col min="6544" max="6544" width="11" style="89"/>
    <col min="6545" max="6545" width="11" style="89"/>
    <col min="6546" max="6546" width="11" style="89"/>
    <col min="6547" max="6547" width="11" style="89"/>
    <col min="6548" max="6548" width="11" style="89"/>
    <col min="6549" max="6549" width="11" style="89"/>
    <col min="6550" max="6550" width="11" style="89"/>
    <col min="6551" max="6551" width="11" style="89"/>
    <col min="6552" max="6552" width="11" style="89"/>
    <col min="6553" max="6553" width="11" style="89"/>
    <col min="6554" max="6554" width="11" style="89"/>
    <col min="6555" max="6555" width="11" style="89"/>
    <col min="6556" max="6556" width="11" style="89"/>
    <col min="6557" max="6557" width="11" style="89"/>
    <col min="6558" max="6558" width="11" style="89"/>
    <col min="6559" max="6559" width="11" style="89"/>
    <col min="6560" max="6560" width="11" style="89"/>
    <col min="6561" max="6561" width="11" style="89"/>
    <col min="6562" max="6562" width="11" style="89"/>
    <col min="6563" max="6563" width="11" style="89"/>
    <col min="6564" max="6564" width="11" style="89"/>
    <col min="6565" max="6565" width="11" style="89"/>
    <col min="6566" max="6566" width="11" style="89"/>
    <col min="6567" max="6567" width="11" style="89"/>
    <col min="6568" max="6568" width="11" style="89"/>
    <col min="6569" max="6569" width="11" style="89"/>
    <col min="6570" max="6570" width="11" style="89"/>
    <col min="6571" max="6571" width="11" style="89"/>
    <col min="6572" max="6572" width="11" style="89"/>
    <col min="6573" max="6573" width="11" style="89"/>
    <col min="6574" max="6574" width="11" style="89"/>
    <col min="6575" max="6575" width="11" style="89"/>
    <col min="6576" max="6576" width="11" style="89"/>
    <col min="6577" max="6577" width="11" style="89"/>
    <col min="6578" max="6578" width="11" style="89"/>
    <col min="6579" max="6579" width="11" style="89"/>
    <col min="6580" max="6580" width="11" style="89"/>
    <col min="6581" max="6581" width="11" style="89"/>
    <col min="6582" max="6582" width="11" style="89"/>
    <col min="6583" max="6583" width="11" style="89"/>
    <col min="6584" max="6584" width="11" style="89"/>
    <col min="6585" max="6585" width="11" style="89"/>
    <col min="6586" max="6586" width="11" style="89"/>
    <col min="6587" max="6587" width="11" style="89"/>
    <col min="6588" max="6588" width="11" style="89"/>
    <col min="6589" max="6589" width="11" style="89"/>
    <col min="6590" max="6590" width="11" style="89"/>
    <col min="6591" max="6591" width="11" style="89"/>
    <col min="6592" max="6592" width="11" style="89"/>
    <col min="6593" max="6593" width="11" style="89"/>
    <col min="6594" max="6594" width="11" style="89"/>
    <col min="6595" max="6595" width="11" style="89"/>
    <col min="6596" max="6596" width="11" style="89"/>
    <col min="6597" max="6597" width="11" style="89"/>
    <col min="6598" max="6598" width="11" style="89"/>
    <col min="6599" max="6599" width="11" style="89"/>
    <col min="6600" max="6600" width="11" style="89"/>
    <col min="6601" max="6601" width="11" style="89"/>
    <col min="6602" max="6602" width="11" style="89"/>
    <col min="6603" max="6603" width="11" style="89"/>
    <col min="6604" max="6604" width="11" style="89"/>
    <col min="6605" max="6605" width="11" style="89"/>
    <col min="6606" max="6606" width="11" style="89"/>
    <col min="6607" max="6607" width="11" style="89"/>
    <col min="6608" max="6608" width="11" style="89"/>
    <col min="6609" max="6609" width="11" style="89"/>
    <col min="6610" max="6610" width="11" style="89"/>
    <col min="6611" max="6611" width="11" style="89"/>
    <col min="6612" max="6612" width="11" style="89"/>
    <col min="6613" max="6613" width="11" style="89"/>
    <col min="6614" max="6614" width="11" style="89"/>
    <col min="6615" max="6615" width="11" style="89"/>
    <col min="6616" max="6616" width="11" style="89"/>
    <col min="6617" max="6617" width="11" style="89"/>
    <col min="6618" max="6618" width="11" style="89"/>
    <col min="6619" max="6619" width="11" style="89"/>
    <col min="6620" max="6620" width="11" style="89"/>
    <col min="6621" max="6621" width="11" style="89"/>
    <col min="6622" max="6622" width="11" style="89"/>
    <col min="6623" max="6623" width="11" style="89"/>
    <col min="6624" max="6624" width="11" style="89"/>
    <col min="6625" max="6625" width="11" style="89"/>
    <col min="6626" max="6626" width="11" style="89"/>
    <col min="6627" max="6627" width="11" style="89"/>
    <col min="6628" max="6628" width="11" style="89"/>
    <col min="6629" max="6629" width="11" style="89"/>
    <col min="6630" max="6630" width="11" style="89"/>
    <col min="6631" max="6631" width="11" style="89"/>
    <col min="6632" max="6632" width="11" style="89"/>
    <col min="6633" max="6633" width="11" style="89"/>
    <col min="6634" max="6634" width="11" style="89"/>
    <col min="6635" max="6635" width="11" style="89"/>
    <col min="6636" max="6636" width="11" style="89"/>
    <col min="6637" max="6637" width="11" style="89"/>
    <col min="6638" max="6638" width="11" style="89"/>
    <col min="6639" max="6639" width="11" style="89"/>
    <col min="6640" max="6640" width="11" style="89"/>
    <col min="6641" max="6641" width="11" style="89"/>
    <col min="6642" max="6642" width="11" style="89"/>
    <col min="6643" max="6643" width="11" style="89"/>
    <col min="6644" max="6644" width="11" style="89"/>
    <col min="6645" max="6645" width="11" style="89"/>
    <col min="6646" max="6646" width="11" style="89"/>
    <col min="6647" max="6647" width="11" style="89"/>
    <col min="6648" max="6648" width="11" style="89"/>
    <col min="6649" max="6649" width="11" style="89"/>
    <col min="6650" max="6650" width="11" style="89"/>
    <col min="6651" max="6651" width="11" style="89"/>
    <col min="6652" max="6652" width="11" style="89"/>
    <col min="6653" max="6653" width="11" style="89"/>
    <col min="6654" max="6654" width="11" style="89"/>
    <col min="6655" max="6655" width="11" style="89"/>
    <col min="6656" max="6656" width="11" style="89"/>
    <col min="6657" max="6657" width="10.140625" customWidth="true" style="89"/>
    <col min="6658" max="6658" width="10.140625" customWidth="true" style="89"/>
    <col min="6659" max="6659" width="10.140625" customWidth="true" style="89"/>
    <col min="6660" max="6660" width="10.140625" customWidth="true" style="89"/>
    <col min="6661" max="6661" width="10.140625" customWidth="true" style="89"/>
    <col min="6662" max="6662" width="10.140625" customWidth="true" style="89"/>
    <col min="6663" max="6663" width="10.140625" customWidth="true" style="89"/>
    <col min="6664" max="6664" width="10.140625" customWidth="true" style="89"/>
    <col min="6665" max="6665" width="10.140625" customWidth="true" style="89"/>
    <col min="6666" max="6666" width="11" style="89"/>
    <col min="6667" max="6667" width="11" style="89"/>
    <col min="6668" max="6668" width="11" style="89"/>
    <col min="6669" max="6669" width="11" style="89"/>
    <col min="6670" max="6670" width="11" style="89"/>
    <col min="6671" max="6671" width="11" style="89"/>
    <col min="6672" max="6672" width="11" style="89"/>
    <col min="6673" max="6673" width="11" style="89"/>
    <col min="6674" max="6674" width="11" style="89"/>
    <col min="6675" max="6675" width="11" style="89"/>
    <col min="6676" max="6676" width="11" style="89"/>
    <col min="6677" max="6677" width="11" style="89"/>
    <col min="6678" max="6678" width="11" style="89"/>
    <col min="6679" max="6679" width="11" style="89"/>
    <col min="6680" max="6680" width="11" style="89"/>
    <col min="6681" max="6681" width="11" style="89"/>
    <col min="6682" max="6682" width="11" style="89"/>
    <col min="6683" max="6683" width="11" style="89"/>
    <col min="6684" max="6684" width="11" style="89"/>
    <col min="6685" max="6685" width="11" style="89"/>
    <col min="6686" max="6686" width="11" style="89"/>
    <col min="6687" max="6687" width="11" style="89"/>
    <col min="6688" max="6688" width="11" style="89"/>
    <col min="6689" max="6689" width="11" style="89"/>
    <col min="6690" max="6690" width="11" style="89"/>
    <col min="6691" max="6691" width="11" style="89"/>
    <col min="6692" max="6692" width="11" style="89"/>
    <col min="6693" max="6693" width="11" style="89"/>
    <col min="6694" max="6694" width="11" style="89"/>
    <col min="6695" max="6695" width="11" style="89"/>
    <col min="6696" max="6696" width="11" style="89"/>
    <col min="6697" max="6697" width="11" style="89"/>
    <col min="6698" max="6698" width="11" style="89"/>
    <col min="6699" max="6699" width="11" style="89"/>
    <col min="6700" max="6700" width="11" style="89"/>
    <col min="6701" max="6701" width="11" style="89"/>
    <col min="6702" max="6702" width="11" style="89"/>
    <col min="6703" max="6703" width="11" style="89"/>
    <col min="6704" max="6704" width="11" style="89"/>
    <col min="6705" max="6705" width="11" style="89"/>
    <col min="6706" max="6706" width="11" style="89"/>
    <col min="6707" max="6707" width="11" style="89"/>
    <col min="6708" max="6708" width="11" style="89"/>
    <col min="6709" max="6709" width="11" style="89"/>
    <col min="6710" max="6710" width="11" style="89"/>
    <col min="6711" max="6711" width="11" style="89"/>
    <col min="6712" max="6712" width="11" style="89"/>
    <col min="6713" max="6713" width="11" style="89"/>
    <col min="6714" max="6714" width="11" style="89"/>
    <col min="6715" max="6715" width="11" style="89"/>
    <col min="6716" max="6716" width="11" style="89"/>
    <col min="6717" max="6717" width="11" style="89"/>
    <col min="6718" max="6718" width="11" style="89"/>
    <col min="6719" max="6719" width="11" style="89"/>
    <col min="6720" max="6720" width="11" style="89"/>
    <col min="6721" max="6721" width="11" style="89"/>
    <col min="6722" max="6722" width="11" style="89"/>
    <col min="6723" max="6723" width="11" style="89"/>
    <col min="6724" max="6724" width="11" style="89"/>
    <col min="6725" max="6725" width="11" style="89"/>
    <col min="6726" max="6726" width="11" style="89"/>
    <col min="6727" max="6727" width="11" style="89"/>
    <col min="6728" max="6728" width="11" style="89"/>
    <col min="6729" max="6729" width="11" style="89"/>
    <col min="6730" max="6730" width="11" style="89"/>
    <col min="6731" max="6731" width="11" style="89"/>
    <col min="6732" max="6732" width="11" style="89"/>
    <col min="6733" max="6733" width="11" style="89"/>
    <col min="6734" max="6734" width="11" style="89"/>
    <col min="6735" max="6735" width="11" style="89"/>
    <col min="6736" max="6736" width="11" style="89"/>
    <col min="6737" max="6737" width="11" style="89"/>
    <col min="6738" max="6738" width="11" style="89"/>
    <col min="6739" max="6739" width="11" style="89"/>
    <col min="6740" max="6740" width="11" style="89"/>
    <col min="6741" max="6741" width="11" style="89"/>
    <col min="6742" max="6742" width="11" style="89"/>
    <col min="6743" max="6743" width="11" style="89"/>
    <col min="6744" max="6744" width="11" style="89"/>
    <col min="6745" max="6745" width="11" style="89"/>
    <col min="6746" max="6746" width="11" style="89"/>
    <col min="6747" max="6747" width="11" style="89"/>
    <col min="6748" max="6748" width="11" style="89"/>
    <col min="6749" max="6749" width="11" style="89"/>
    <col min="6750" max="6750" width="11" style="89"/>
    <col min="6751" max="6751" width="11" style="89"/>
    <col min="6752" max="6752" width="11" style="89"/>
    <col min="6753" max="6753" width="11" style="89"/>
    <col min="6754" max="6754" width="11" style="89"/>
    <col min="6755" max="6755" width="11" style="89"/>
    <col min="6756" max="6756" width="11" style="89"/>
    <col min="6757" max="6757" width="11" style="89"/>
    <col min="6758" max="6758" width="11" style="89"/>
    <col min="6759" max="6759" width="11" style="89"/>
    <col min="6760" max="6760" width="11" style="89"/>
    <col min="6761" max="6761" width="11" style="89"/>
    <col min="6762" max="6762" width="11" style="89"/>
    <col min="6763" max="6763" width="11" style="89"/>
    <col min="6764" max="6764" width="11" style="89"/>
    <col min="6765" max="6765" width="11" style="89"/>
    <col min="6766" max="6766" width="11" style="89"/>
    <col min="6767" max="6767" width="11" style="89"/>
    <col min="6768" max="6768" width="11" style="89"/>
    <col min="6769" max="6769" width="11" style="89"/>
    <col min="6770" max="6770" width="11" style="89"/>
    <col min="6771" max="6771" width="11" style="89"/>
    <col min="6772" max="6772" width="11" style="89"/>
    <col min="6773" max="6773" width="11" style="89"/>
    <col min="6774" max="6774" width="11" style="89"/>
    <col min="6775" max="6775" width="11" style="89"/>
    <col min="6776" max="6776" width="11" style="89"/>
    <col min="6777" max="6777" width="11" style="89"/>
    <col min="6778" max="6778" width="11" style="89"/>
    <col min="6779" max="6779" width="11" style="89"/>
    <col min="6780" max="6780" width="11" style="89"/>
    <col min="6781" max="6781" width="11" style="89"/>
    <col min="6782" max="6782" width="11" style="89"/>
    <col min="6783" max="6783" width="11" style="89"/>
    <col min="6784" max="6784" width="11" style="89"/>
    <col min="6785" max="6785" width="11" style="89"/>
    <col min="6786" max="6786" width="11" style="89"/>
    <col min="6787" max="6787" width="11" style="89"/>
    <col min="6788" max="6788" width="11" style="89"/>
    <col min="6789" max="6789" width="11" style="89"/>
    <col min="6790" max="6790" width="11" style="89"/>
    <col min="6791" max="6791" width="11" style="89"/>
    <col min="6792" max="6792" width="11" style="89"/>
    <col min="6793" max="6793" width="11" style="89"/>
    <col min="6794" max="6794" width="11" style="89"/>
    <col min="6795" max="6795" width="11" style="89"/>
    <col min="6796" max="6796" width="11" style="89"/>
    <col min="6797" max="6797" width="11" style="89"/>
    <col min="6798" max="6798" width="11" style="89"/>
    <col min="6799" max="6799" width="11" style="89"/>
    <col min="6800" max="6800" width="11" style="89"/>
    <col min="6801" max="6801" width="11" style="89"/>
    <col min="6802" max="6802" width="11" style="89"/>
    <col min="6803" max="6803" width="11" style="89"/>
    <col min="6804" max="6804" width="11" style="89"/>
    <col min="6805" max="6805" width="11" style="89"/>
    <col min="6806" max="6806" width="11" style="89"/>
    <col min="6807" max="6807" width="11" style="89"/>
    <col min="6808" max="6808" width="11" style="89"/>
    <col min="6809" max="6809" width="11" style="89"/>
    <col min="6810" max="6810" width="11" style="89"/>
    <col min="6811" max="6811" width="11" style="89"/>
    <col min="6812" max="6812" width="11" style="89"/>
    <col min="6813" max="6813" width="11" style="89"/>
    <col min="6814" max="6814" width="11" style="89"/>
    <col min="6815" max="6815" width="11" style="89"/>
    <col min="6816" max="6816" width="11" style="89"/>
    <col min="6817" max="6817" width="11" style="89"/>
    <col min="6818" max="6818" width="11" style="89"/>
    <col min="6819" max="6819" width="11" style="89"/>
    <col min="6820" max="6820" width="11" style="89"/>
    <col min="6821" max="6821" width="11" style="89"/>
    <col min="6822" max="6822" width="11" style="89"/>
    <col min="6823" max="6823" width="11" style="89"/>
    <col min="6824" max="6824" width="11" style="89"/>
    <col min="6825" max="6825" width="11" style="89"/>
    <col min="6826" max="6826" width="11" style="89"/>
    <col min="6827" max="6827" width="11" style="89"/>
    <col min="6828" max="6828" width="11" style="89"/>
    <col min="6829" max="6829" width="11" style="89"/>
    <col min="6830" max="6830" width="11" style="89"/>
    <col min="6831" max="6831" width="11" style="89"/>
    <col min="6832" max="6832" width="11" style="89"/>
    <col min="6833" max="6833" width="11" style="89"/>
    <col min="6834" max="6834" width="11" style="89"/>
    <col min="6835" max="6835" width="11" style="89"/>
    <col min="6836" max="6836" width="11" style="89"/>
    <col min="6837" max="6837" width="11" style="89"/>
    <col min="6838" max="6838" width="11" style="89"/>
    <col min="6839" max="6839" width="11" style="89"/>
    <col min="6840" max="6840" width="11" style="89"/>
    <col min="6841" max="6841" width="11" style="89"/>
    <col min="6842" max="6842" width="11" style="89"/>
    <col min="6843" max="6843" width="11" style="89"/>
    <col min="6844" max="6844" width="11" style="89"/>
    <col min="6845" max="6845" width="11" style="89"/>
    <col min="6846" max="6846" width="11" style="89"/>
    <col min="6847" max="6847" width="11" style="89"/>
    <col min="6848" max="6848" width="11" style="89"/>
    <col min="6849" max="6849" width="11" style="89"/>
    <col min="6850" max="6850" width="11" style="89"/>
    <col min="6851" max="6851" width="11" style="89"/>
    <col min="6852" max="6852" width="11" style="89"/>
    <col min="6853" max="6853" width="11" style="89"/>
    <col min="6854" max="6854" width="11" style="89"/>
    <col min="6855" max="6855" width="11" style="89"/>
    <col min="6856" max="6856" width="11" style="89"/>
    <col min="6857" max="6857" width="11" style="89"/>
    <col min="6858" max="6858" width="11" style="89"/>
    <col min="6859" max="6859" width="11" style="89"/>
    <col min="6860" max="6860" width="11" style="89"/>
    <col min="6861" max="6861" width="11" style="89"/>
    <col min="6862" max="6862" width="11" style="89"/>
    <col min="6863" max="6863" width="11" style="89"/>
    <col min="6864" max="6864" width="11" style="89"/>
    <col min="6865" max="6865" width="11" style="89"/>
    <col min="6866" max="6866" width="11" style="89"/>
    <col min="6867" max="6867" width="11" style="89"/>
    <col min="6868" max="6868" width="11" style="89"/>
    <col min="6869" max="6869" width="11" style="89"/>
    <col min="6870" max="6870" width="11" style="89"/>
    <col min="6871" max="6871" width="11" style="89"/>
    <col min="6872" max="6872" width="11" style="89"/>
    <col min="6873" max="6873" width="11" style="89"/>
    <col min="6874" max="6874" width="11" style="89"/>
    <col min="6875" max="6875" width="11" style="89"/>
    <col min="6876" max="6876" width="11" style="89"/>
    <col min="6877" max="6877" width="11" style="89"/>
    <col min="6878" max="6878" width="11" style="89"/>
    <col min="6879" max="6879" width="11" style="89"/>
    <col min="6880" max="6880" width="11" style="89"/>
    <col min="6881" max="6881" width="11" style="89"/>
    <col min="6882" max="6882" width="11" style="89"/>
    <col min="6883" max="6883" width="11" style="89"/>
    <col min="6884" max="6884" width="11" style="89"/>
    <col min="6885" max="6885" width="11" style="89"/>
    <col min="6886" max="6886" width="11" style="89"/>
    <col min="6887" max="6887" width="11" style="89"/>
    <col min="6888" max="6888" width="11" style="89"/>
    <col min="6889" max="6889" width="11" style="89"/>
    <col min="6890" max="6890" width="11" style="89"/>
    <col min="6891" max="6891" width="11" style="89"/>
    <col min="6892" max="6892" width="11" style="89"/>
    <col min="6893" max="6893" width="11" style="89"/>
    <col min="6894" max="6894" width="11" style="89"/>
    <col min="6895" max="6895" width="11" style="89"/>
    <col min="6896" max="6896" width="11" style="89"/>
    <col min="6897" max="6897" width="11" style="89"/>
    <col min="6898" max="6898" width="11" style="89"/>
    <col min="6899" max="6899" width="11" style="89"/>
    <col min="6900" max="6900" width="11" style="89"/>
    <col min="6901" max="6901" width="11" style="89"/>
    <col min="6902" max="6902" width="11" style="89"/>
    <col min="6903" max="6903" width="11" style="89"/>
    <col min="6904" max="6904" width="11" style="89"/>
    <col min="6905" max="6905" width="11" style="89"/>
    <col min="6906" max="6906" width="11" style="89"/>
    <col min="6907" max="6907" width="11" style="89"/>
    <col min="6908" max="6908" width="11" style="89"/>
    <col min="6909" max="6909" width="11" style="89"/>
    <col min="6910" max="6910" width="11" style="89"/>
    <col min="6911" max="6911" width="11" style="89"/>
    <col min="6912" max="6912" width="11" style="89"/>
    <col min="6913" max="6913" width="10.140625" customWidth="true" style="89"/>
    <col min="6914" max="6914" width="10.140625" customWidth="true" style="89"/>
    <col min="6915" max="6915" width="10.140625" customWidth="true" style="89"/>
    <col min="6916" max="6916" width="10.140625" customWidth="true" style="89"/>
    <col min="6917" max="6917" width="10.140625" customWidth="true" style="89"/>
    <col min="6918" max="6918" width="10.140625" customWidth="true" style="89"/>
    <col min="6919" max="6919" width="10.140625" customWidth="true" style="89"/>
    <col min="6920" max="6920" width="10.140625" customWidth="true" style="89"/>
    <col min="6921" max="6921" width="10.140625" customWidth="true" style="89"/>
    <col min="6922" max="6922" width="11" style="89"/>
    <col min="6923" max="6923" width="11" style="89"/>
    <col min="6924" max="6924" width="11" style="89"/>
    <col min="6925" max="6925" width="11" style="89"/>
    <col min="6926" max="6926" width="11" style="89"/>
    <col min="6927" max="6927" width="11" style="89"/>
    <col min="6928" max="6928" width="11" style="89"/>
    <col min="6929" max="6929" width="11" style="89"/>
    <col min="6930" max="6930" width="11" style="89"/>
    <col min="6931" max="6931" width="11" style="89"/>
    <col min="6932" max="6932" width="11" style="89"/>
    <col min="6933" max="6933" width="11" style="89"/>
    <col min="6934" max="6934" width="11" style="89"/>
    <col min="6935" max="6935" width="11" style="89"/>
    <col min="6936" max="6936" width="11" style="89"/>
    <col min="6937" max="6937" width="11" style="89"/>
    <col min="6938" max="6938" width="11" style="89"/>
    <col min="6939" max="6939" width="11" style="89"/>
    <col min="6940" max="6940" width="11" style="89"/>
    <col min="6941" max="6941" width="11" style="89"/>
    <col min="6942" max="6942" width="11" style="89"/>
    <col min="6943" max="6943" width="11" style="89"/>
    <col min="6944" max="6944" width="11" style="89"/>
    <col min="6945" max="6945" width="11" style="89"/>
    <col min="6946" max="6946" width="11" style="89"/>
    <col min="6947" max="6947" width="11" style="89"/>
    <col min="6948" max="6948" width="11" style="89"/>
    <col min="6949" max="6949" width="11" style="89"/>
    <col min="6950" max="6950" width="11" style="89"/>
    <col min="6951" max="6951" width="11" style="89"/>
    <col min="6952" max="6952" width="11" style="89"/>
    <col min="6953" max="6953" width="11" style="89"/>
    <col min="6954" max="6954" width="11" style="89"/>
    <col min="6955" max="6955" width="11" style="89"/>
    <col min="6956" max="6956" width="11" style="89"/>
    <col min="6957" max="6957" width="11" style="89"/>
    <col min="6958" max="6958" width="11" style="89"/>
    <col min="6959" max="6959" width="11" style="89"/>
    <col min="6960" max="6960" width="11" style="89"/>
    <col min="6961" max="6961" width="11" style="89"/>
    <col min="6962" max="6962" width="11" style="89"/>
    <col min="6963" max="6963" width="11" style="89"/>
    <col min="6964" max="6964" width="11" style="89"/>
    <col min="6965" max="6965" width="11" style="89"/>
    <col min="6966" max="6966" width="11" style="89"/>
    <col min="6967" max="6967" width="11" style="89"/>
    <col min="6968" max="6968" width="11" style="89"/>
    <col min="6969" max="6969" width="11" style="89"/>
    <col min="6970" max="6970" width="11" style="89"/>
    <col min="6971" max="6971" width="11" style="89"/>
    <col min="6972" max="6972" width="11" style="89"/>
    <col min="6973" max="6973" width="11" style="89"/>
    <col min="6974" max="6974" width="11" style="89"/>
    <col min="6975" max="6975" width="11" style="89"/>
    <col min="6976" max="6976" width="11" style="89"/>
    <col min="6977" max="6977" width="11" style="89"/>
    <col min="6978" max="6978" width="11" style="89"/>
    <col min="6979" max="6979" width="11" style="89"/>
    <col min="6980" max="6980" width="11" style="89"/>
    <col min="6981" max="6981" width="11" style="89"/>
    <col min="6982" max="6982" width="11" style="89"/>
    <col min="6983" max="6983" width="11" style="89"/>
    <col min="6984" max="6984" width="11" style="89"/>
    <col min="6985" max="6985" width="11" style="89"/>
    <col min="6986" max="6986" width="11" style="89"/>
    <col min="6987" max="6987" width="11" style="89"/>
    <col min="6988" max="6988" width="11" style="89"/>
    <col min="6989" max="6989" width="11" style="89"/>
    <col min="6990" max="6990" width="11" style="89"/>
    <col min="6991" max="6991" width="11" style="89"/>
    <col min="6992" max="6992" width="11" style="89"/>
    <col min="6993" max="6993" width="11" style="89"/>
    <col min="6994" max="6994" width="11" style="89"/>
    <col min="6995" max="6995" width="11" style="89"/>
    <col min="6996" max="6996" width="11" style="89"/>
    <col min="6997" max="6997" width="11" style="89"/>
    <col min="6998" max="6998" width="11" style="89"/>
    <col min="6999" max="6999" width="11" style="89"/>
    <col min="7000" max="7000" width="11" style="89"/>
    <col min="7001" max="7001" width="11" style="89"/>
    <col min="7002" max="7002" width="11" style="89"/>
    <col min="7003" max="7003" width="11" style="89"/>
    <col min="7004" max="7004" width="11" style="89"/>
    <col min="7005" max="7005" width="11" style="89"/>
    <col min="7006" max="7006" width="11" style="89"/>
    <col min="7007" max="7007" width="11" style="89"/>
    <col min="7008" max="7008" width="11" style="89"/>
    <col min="7009" max="7009" width="11" style="89"/>
    <col min="7010" max="7010" width="11" style="89"/>
    <col min="7011" max="7011" width="11" style="89"/>
    <col min="7012" max="7012" width="11" style="89"/>
    <col min="7013" max="7013" width="11" style="89"/>
    <col min="7014" max="7014" width="11" style="89"/>
    <col min="7015" max="7015" width="11" style="89"/>
    <col min="7016" max="7016" width="11" style="89"/>
    <col min="7017" max="7017" width="11" style="89"/>
    <col min="7018" max="7018" width="11" style="89"/>
    <col min="7019" max="7019" width="11" style="89"/>
    <col min="7020" max="7020" width="11" style="89"/>
    <col min="7021" max="7021" width="11" style="89"/>
    <col min="7022" max="7022" width="11" style="89"/>
    <col min="7023" max="7023" width="11" style="89"/>
    <col min="7024" max="7024" width="11" style="89"/>
    <col min="7025" max="7025" width="11" style="89"/>
    <col min="7026" max="7026" width="11" style="89"/>
    <col min="7027" max="7027" width="11" style="89"/>
    <col min="7028" max="7028" width="11" style="89"/>
    <col min="7029" max="7029" width="11" style="89"/>
    <col min="7030" max="7030" width="11" style="89"/>
    <col min="7031" max="7031" width="11" style="89"/>
    <col min="7032" max="7032" width="11" style="89"/>
    <col min="7033" max="7033" width="11" style="89"/>
    <col min="7034" max="7034" width="11" style="89"/>
    <col min="7035" max="7035" width="11" style="89"/>
    <col min="7036" max="7036" width="11" style="89"/>
    <col min="7037" max="7037" width="11" style="89"/>
    <col min="7038" max="7038" width="11" style="89"/>
    <col min="7039" max="7039" width="11" style="89"/>
    <col min="7040" max="7040" width="11" style="89"/>
    <col min="7041" max="7041" width="11" style="89"/>
    <col min="7042" max="7042" width="11" style="89"/>
    <col min="7043" max="7043" width="11" style="89"/>
    <col min="7044" max="7044" width="11" style="89"/>
    <col min="7045" max="7045" width="11" style="89"/>
    <col min="7046" max="7046" width="11" style="89"/>
    <col min="7047" max="7047" width="11" style="89"/>
    <col min="7048" max="7048" width="11" style="89"/>
    <col min="7049" max="7049" width="11" style="89"/>
    <col min="7050" max="7050" width="11" style="89"/>
    <col min="7051" max="7051" width="11" style="89"/>
    <col min="7052" max="7052" width="11" style="89"/>
    <col min="7053" max="7053" width="11" style="89"/>
    <col min="7054" max="7054" width="11" style="89"/>
    <col min="7055" max="7055" width="11" style="89"/>
    <col min="7056" max="7056" width="11" style="89"/>
    <col min="7057" max="7057" width="11" style="89"/>
    <col min="7058" max="7058" width="11" style="89"/>
    <col min="7059" max="7059" width="11" style="89"/>
    <col min="7060" max="7060" width="11" style="89"/>
    <col min="7061" max="7061" width="11" style="89"/>
    <col min="7062" max="7062" width="11" style="89"/>
    <col min="7063" max="7063" width="11" style="89"/>
    <col min="7064" max="7064" width="11" style="89"/>
    <col min="7065" max="7065" width="11" style="89"/>
    <col min="7066" max="7066" width="11" style="89"/>
    <col min="7067" max="7067" width="11" style="89"/>
    <col min="7068" max="7068" width="11" style="89"/>
    <col min="7069" max="7069" width="11" style="89"/>
    <col min="7070" max="7070" width="11" style="89"/>
    <col min="7071" max="7071" width="11" style="89"/>
    <col min="7072" max="7072" width="11" style="89"/>
    <col min="7073" max="7073" width="11" style="89"/>
    <col min="7074" max="7074" width="11" style="89"/>
    <col min="7075" max="7075" width="11" style="89"/>
    <col min="7076" max="7076" width="11" style="89"/>
    <col min="7077" max="7077" width="11" style="89"/>
    <col min="7078" max="7078" width="11" style="89"/>
    <col min="7079" max="7079" width="11" style="89"/>
    <col min="7080" max="7080" width="11" style="89"/>
    <col min="7081" max="7081" width="11" style="89"/>
    <col min="7082" max="7082" width="11" style="89"/>
    <col min="7083" max="7083" width="11" style="89"/>
    <col min="7084" max="7084" width="11" style="89"/>
    <col min="7085" max="7085" width="11" style="89"/>
    <col min="7086" max="7086" width="11" style="89"/>
    <col min="7087" max="7087" width="11" style="89"/>
    <col min="7088" max="7088" width="11" style="89"/>
    <col min="7089" max="7089" width="11" style="89"/>
    <col min="7090" max="7090" width="11" style="89"/>
    <col min="7091" max="7091" width="11" style="89"/>
    <col min="7092" max="7092" width="11" style="89"/>
    <col min="7093" max="7093" width="11" style="89"/>
    <col min="7094" max="7094" width="11" style="89"/>
    <col min="7095" max="7095" width="11" style="89"/>
    <col min="7096" max="7096" width="11" style="89"/>
    <col min="7097" max="7097" width="11" style="89"/>
    <col min="7098" max="7098" width="11" style="89"/>
    <col min="7099" max="7099" width="11" style="89"/>
    <col min="7100" max="7100" width="11" style="89"/>
    <col min="7101" max="7101" width="11" style="89"/>
    <col min="7102" max="7102" width="11" style="89"/>
    <col min="7103" max="7103" width="11" style="89"/>
    <col min="7104" max="7104" width="11" style="89"/>
    <col min="7105" max="7105" width="11" style="89"/>
    <col min="7106" max="7106" width="11" style="89"/>
    <col min="7107" max="7107" width="11" style="89"/>
    <col min="7108" max="7108" width="11" style="89"/>
    <col min="7109" max="7109" width="11" style="89"/>
    <col min="7110" max="7110" width="11" style="89"/>
    <col min="7111" max="7111" width="11" style="89"/>
    <col min="7112" max="7112" width="11" style="89"/>
    <col min="7113" max="7113" width="11" style="89"/>
    <col min="7114" max="7114" width="11" style="89"/>
    <col min="7115" max="7115" width="11" style="89"/>
    <col min="7116" max="7116" width="11" style="89"/>
    <col min="7117" max="7117" width="11" style="89"/>
    <col min="7118" max="7118" width="11" style="89"/>
    <col min="7119" max="7119" width="11" style="89"/>
    <col min="7120" max="7120" width="11" style="89"/>
    <col min="7121" max="7121" width="11" style="89"/>
    <col min="7122" max="7122" width="11" style="89"/>
    <col min="7123" max="7123" width="11" style="89"/>
    <col min="7124" max="7124" width="11" style="89"/>
    <col min="7125" max="7125" width="11" style="89"/>
    <col min="7126" max="7126" width="11" style="89"/>
    <col min="7127" max="7127" width="11" style="89"/>
    <col min="7128" max="7128" width="11" style="89"/>
    <col min="7129" max="7129" width="11" style="89"/>
    <col min="7130" max="7130" width="11" style="89"/>
    <col min="7131" max="7131" width="11" style="89"/>
    <col min="7132" max="7132" width="11" style="89"/>
    <col min="7133" max="7133" width="11" style="89"/>
    <col min="7134" max="7134" width="11" style="89"/>
    <col min="7135" max="7135" width="11" style="89"/>
    <col min="7136" max="7136" width="11" style="89"/>
    <col min="7137" max="7137" width="11" style="89"/>
    <col min="7138" max="7138" width="11" style="89"/>
    <col min="7139" max="7139" width="11" style="89"/>
    <col min="7140" max="7140" width="11" style="89"/>
    <col min="7141" max="7141" width="11" style="89"/>
    <col min="7142" max="7142" width="11" style="89"/>
    <col min="7143" max="7143" width="11" style="89"/>
    <col min="7144" max="7144" width="11" style="89"/>
    <col min="7145" max="7145" width="11" style="89"/>
    <col min="7146" max="7146" width="11" style="89"/>
    <col min="7147" max="7147" width="11" style="89"/>
    <col min="7148" max="7148" width="11" style="89"/>
    <col min="7149" max="7149" width="11" style="89"/>
    <col min="7150" max="7150" width="11" style="89"/>
    <col min="7151" max="7151" width="11" style="89"/>
    <col min="7152" max="7152" width="11" style="89"/>
    <col min="7153" max="7153" width="11" style="89"/>
    <col min="7154" max="7154" width="11" style="89"/>
    <col min="7155" max="7155" width="11" style="89"/>
    <col min="7156" max="7156" width="11" style="89"/>
    <col min="7157" max="7157" width="11" style="89"/>
    <col min="7158" max="7158" width="11" style="89"/>
    <col min="7159" max="7159" width="11" style="89"/>
    <col min="7160" max="7160" width="11" style="89"/>
    <col min="7161" max="7161" width="11" style="89"/>
    <col min="7162" max="7162" width="11" style="89"/>
    <col min="7163" max="7163" width="11" style="89"/>
    <col min="7164" max="7164" width="11" style="89"/>
    <col min="7165" max="7165" width="11" style="89"/>
    <col min="7166" max="7166" width="11" style="89"/>
    <col min="7167" max="7167" width="11" style="89"/>
    <col min="7168" max="7168" width="11" style="89"/>
    <col min="7169" max="7169" width="10.140625" customWidth="true" style="89"/>
    <col min="7170" max="7170" width="10.140625" customWidth="true" style="89"/>
    <col min="7171" max="7171" width="10.140625" customWidth="true" style="89"/>
    <col min="7172" max="7172" width="10.140625" customWidth="true" style="89"/>
    <col min="7173" max="7173" width="10.140625" customWidth="true" style="89"/>
    <col min="7174" max="7174" width="10.140625" customWidth="true" style="89"/>
    <col min="7175" max="7175" width="10.140625" customWidth="true" style="89"/>
    <col min="7176" max="7176" width="10.140625" customWidth="true" style="89"/>
    <col min="7177" max="7177" width="10.140625" customWidth="true" style="89"/>
    <col min="7178" max="7178" width="11" style="89"/>
    <col min="7179" max="7179" width="11" style="89"/>
    <col min="7180" max="7180" width="11" style="89"/>
    <col min="7181" max="7181" width="11" style="89"/>
    <col min="7182" max="7182" width="11" style="89"/>
    <col min="7183" max="7183" width="11" style="89"/>
    <col min="7184" max="7184" width="11" style="89"/>
    <col min="7185" max="7185" width="11" style="89"/>
    <col min="7186" max="7186" width="11" style="89"/>
    <col min="7187" max="7187" width="11" style="89"/>
    <col min="7188" max="7188" width="11" style="89"/>
    <col min="7189" max="7189" width="11" style="89"/>
    <col min="7190" max="7190" width="11" style="89"/>
    <col min="7191" max="7191" width="11" style="89"/>
    <col min="7192" max="7192" width="11" style="89"/>
    <col min="7193" max="7193" width="11" style="89"/>
    <col min="7194" max="7194" width="11" style="89"/>
    <col min="7195" max="7195" width="11" style="89"/>
    <col min="7196" max="7196" width="11" style="89"/>
    <col min="7197" max="7197" width="11" style="89"/>
    <col min="7198" max="7198" width="11" style="89"/>
    <col min="7199" max="7199" width="11" style="89"/>
    <col min="7200" max="7200" width="11" style="89"/>
    <col min="7201" max="7201" width="11" style="89"/>
    <col min="7202" max="7202" width="11" style="89"/>
    <col min="7203" max="7203" width="11" style="89"/>
    <col min="7204" max="7204" width="11" style="89"/>
    <col min="7205" max="7205" width="11" style="89"/>
    <col min="7206" max="7206" width="11" style="89"/>
    <col min="7207" max="7207" width="11" style="89"/>
    <col min="7208" max="7208" width="11" style="89"/>
    <col min="7209" max="7209" width="11" style="89"/>
    <col min="7210" max="7210" width="11" style="89"/>
    <col min="7211" max="7211" width="11" style="89"/>
    <col min="7212" max="7212" width="11" style="89"/>
    <col min="7213" max="7213" width="11" style="89"/>
    <col min="7214" max="7214" width="11" style="89"/>
    <col min="7215" max="7215" width="11" style="89"/>
    <col min="7216" max="7216" width="11" style="89"/>
    <col min="7217" max="7217" width="11" style="89"/>
    <col min="7218" max="7218" width="11" style="89"/>
    <col min="7219" max="7219" width="11" style="89"/>
    <col min="7220" max="7220" width="11" style="89"/>
    <col min="7221" max="7221" width="11" style="89"/>
    <col min="7222" max="7222" width="11" style="89"/>
    <col min="7223" max="7223" width="11" style="89"/>
    <col min="7224" max="7224" width="11" style="89"/>
    <col min="7225" max="7225" width="11" style="89"/>
    <col min="7226" max="7226" width="11" style="89"/>
    <col min="7227" max="7227" width="11" style="89"/>
    <col min="7228" max="7228" width="11" style="89"/>
    <col min="7229" max="7229" width="11" style="89"/>
    <col min="7230" max="7230" width="11" style="89"/>
    <col min="7231" max="7231" width="11" style="89"/>
    <col min="7232" max="7232" width="11" style="89"/>
    <col min="7233" max="7233" width="11" style="89"/>
    <col min="7234" max="7234" width="11" style="89"/>
    <col min="7235" max="7235" width="11" style="89"/>
    <col min="7236" max="7236" width="11" style="89"/>
    <col min="7237" max="7237" width="11" style="89"/>
    <col min="7238" max="7238" width="11" style="89"/>
    <col min="7239" max="7239" width="11" style="89"/>
    <col min="7240" max="7240" width="11" style="89"/>
    <col min="7241" max="7241" width="11" style="89"/>
    <col min="7242" max="7242" width="11" style="89"/>
    <col min="7243" max="7243" width="11" style="89"/>
    <col min="7244" max="7244" width="11" style="89"/>
    <col min="7245" max="7245" width="11" style="89"/>
    <col min="7246" max="7246" width="11" style="89"/>
    <col min="7247" max="7247" width="11" style="89"/>
    <col min="7248" max="7248" width="11" style="89"/>
    <col min="7249" max="7249" width="11" style="89"/>
    <col min="7250" max="7250" width="11" style="89"/>
    <col min="7251" max="7251" width="11" style="89"/>
    <col min="7252" max="7252" width="11" style="89"/>
    <col min="7253" max="7253" width="11" style="89"/>
    <col min="7254" max="7254" width="11" style="89"/>
    <col min="7255" max="7255" width="11" style="89"/>
    <col min="7256" max="7256" width="11" style="89"/>
    <col min="7257" max="7257" width="11" style="89"/>
    <col min="7258" max="7258" width="11" style="89"/>
    <col min="7259" max="7259" width="11" style="89"/>
    <col min="7260" max="7260" width="11" style="89"/>
    <col min="7261" max="7261" width="11" style="89"/>
    <col min="7262" max="7262" width="11" style="89"/>
    <col min="7263" max="7263" width="11" style="89"/>
    <col min="7264" max="7264" width="11" style="89"/>
    <col min="7265" max="7265" width="11" style="89"/>
    <col min="7266" max="7266" width="11" style="89"/>
    <col min="7267" max="7267" width="11" style="89"/>
    <col min="7268" max="7268" width="11" style="89"/>
    <col min="7269" max="7269" width="11" style="89"/>
    <col min="7270" max="7270" width="11" style="89"/>
    <col min="7271" max="7271" width="11" style="89"/>
    <col min="7272" max="7272" width="11" style="89"/>
    <col min="7273" max="7273" width="11" style="89"/>
    <col min="7274" max="7274" width="11" style="89"/>
    <col min="7275" max="7275" width="11" style="89"/>
    <col min="7276" max="7276" width="11" style="89"/>
    <col min="7277" max="7277" width="11" style="89"/>
    <col min="7278" max="7278" width="11" style="89"/>
    <col min="7279" max="7279" width="11" style="89"/>
    <col min="7280" max="7280" width="11" style="89"/>
    <col min="7281" max="7281" width="11" style="89"/>
    <col min="7282" max="7282" width="11" style="89"/>
    <col min="7283" max="7283" width="11" style="89"/>
    <col min="7284" max="7284" width="11" style="89"/>
    <col min="7285" max="7285" width="11" style="89"/>
    <col min="7286" max="7286" width="11" style="89"/>
    <col min="7287" max="7287" width="11" style="89"/>
    <col min="7288" max="7288" width="11" style="89"/>
    <col min="7289" max="7289" width="11" style="89"/>
    <col min="7290" max="7290" width="11" style="89"/>
    <col min="7291" max="7291" width="11" style="89"/>
    <col min="7292" max="7292" width="11" style="89"/>
    <col min="7293" max="7293" width="11" style="89"/>
    <col min="7294" max="7294" width="11" style="89"/>
    <col min="7295" max="7295" width="11" style="89"/>
    <col min="7296" max="7296" width="11" style="89"/>
    <col min="7297" max="7297" width="11" style="89"/>
    <col min="7298" max="7298" width="11" style="89"/>
    <col min="7299" max="7299" width="11" style="89"/>
    <col min="7300" max="7300" width="11" style="89"/>
    <col min="7301" max="7301" width="11" style="89"/>
    <col min="7302" max="7302" width="11" style="89"/>
    <col min="7303" max="7303" width="11" style="89"/>
    <col min="7304" max="7304" width="11" style="89"/>
    <col min="7305" max="7305" width="11" style="89"/>
    <col min="7306" max="7306" width="11" style="89"/>
    <col min="7307" max="7307" width="11" style="89"/>
    <col min="7308" max="7308" width="11" style="89"/>
    <col min="7309" max="7309" width="11" style="89"/>
    <col min="7310" max="7310" width="11" style="89"/>
    <col min="7311" max="7311" width="11" style="89"/>
    <col min="7312" max="7312" width="11" style="89"/>
    <col min="7313" max="7313" width="11" style="89"/>
    <col min="7314" max="7314" width="11" style="89"/>
    <col min="7315" max="7315" width="11" style="89"/>
    <col min="7316" max="7316" width="11" style="89"/>
    <col min="7317" max="7317" width="11" style="89"/>
    <col min="7318" max="7318" width="11" style="89"/>
    <col min="7319" max="7319" width="11" style="89"/>
    <col min="7320" max="7320" width="11" style="89"/>
    <col min="7321" max="7321" width="11" style="89"/>
    <col min="7322" max="7322" width="11" style="89"/>
    <col min="7323" max="7323" width="11" style="89"/>
    <col min="7324" max="7324" width="11" style="89"/>
    <col min="7325" max="7325" width="11" style="89"/>
    <col min="7326" max="7326" width="11" style="89"/>
    <col min="7327" max="7327" width="11" style="89"/>
    <col min="7328" max="7328" width="11" style="89"/>
    <col min="7329" max="7329" width="11" style="89"/>
    <col min="7330" max="7330" width="11" style="89"/>
    <col min="7331" max="7331" width="11" style="89"/>
    <col min="7332" max="7332" width="11" style="89"/>
    <col min="7333" max="7333" width="11" style="89"/>
    <col min="7334" max="7334" width="11" style="89"/>
    <col min="7335" max="7335" width="11" style="89"/>
    <col min="7336" max="7336" width="11" style="89"/>
    <col min="7337" max="7337" width="11" style="89"/>
    <col min="7338" max="7338" width="11" style="89"/>
    <col min="7339" max="7339" width="11" style="89"/>
    <col min="7340" max="7340" width="11" style="89"/>
    <col min="7341" max="7341" width="11" style="89"/>
    <col min="7342" max="7342" width="11" style="89"/>
    <col min="7343" max="7343" width="11" style="89"/>
    <col min="7344" max="7344" width="11" style="89"/>
    <col min="7345" max="7345" width="11" style="89"/>
    <col min="7346" max="7346" width="11" style="89"/>
    <col min="7347" max="7347" width="11" style="89"/>
    <col min="7348" max="7348" width="11" style="89"/>
    <col min="7349" max="7349" width="11" style="89"/>
    <col min="7350" max="7350" width="11" style="89"/>
    <col min="7351" max="7351" width="11" style="89"/>
    <col min="7352" max="7352" width="11" style="89"/>
    <col min="7353" max="7353" width="11" style="89"/>
    <col min="7354" max="7354" width="11" style="89"/>
    <col min="7355" max="7355" width="11" style="89"/>
    <col min="7356" max="7356" width="11" style="89"/>
    <col min="7357" max="7357" width="11" style="89"/>
    <col min="7358" max="7358" width="11" style="89"/>
    <col min="7359" max="7359" width="11" style="89"/>
    <col min="7360" max="7360" width="11" style="89"/>
    <col min="7361" max="7361" width="11" style="89"/>
    <col min="7362" max="7362" width="11" style="89"/>
    <col min="7363" max="7363" width="11" style="89"/>
    <col min="7364" max="7364" width="11" style="89"/>
    <col min="7365" max="7365" width="11" style="89"/>
    <col min="7366" max="7366" width="11" style="89"/>
    <col min="7367" max="7367" width="11" style="89"/>
    <col min="7368" max="7368" width="11" style="89"/>
    <col min="7369" max="7369" width="11" style="89"/>
    <col min="7370" max="7370" width="11" style="89"/>
    <col min="7371" max="7371" width="11" style="89"/>
    <col min="7372" max="7372" width="11" style="89"/>
    <col min="7373" max="7373" width="11" style="89"/>
    <col min="7374" max="7374" width="11" style="89"/>
    <col min="7375" max="7375" width="11" style="89"/>
    <col min="7376" max="7376" width="11" style="89"/>
    <col min="7377" max="7377" width="11" style="89"/>
    <col min="7378" max="7378" width="11" style="89"/>
    <col min="7379" max="7379" width="11" style="89"/>
    <col min="7380" max="7380" width="11" style="89"/>
    <col min="7381" max="7381" width="11" style="89"/>
    <col min="7382" max="7382" width="11" style="89"/>
    <col min="7383" max="7383" width="11" style="89"/>
    <col min="7384" max="7384" width="11" style="89"/>
    <col min="7385" max="7385" width="11" style="89"/>
    <col min="7386" max="7386" width="11" style="89"/>
    <col min="7387" max="7387" width="11" style="89"/>
    <col min="7388" max="7388" width="11" style="89"/>
    <col min="7389" max="7389" width="11" style="89"/>
    <col min="7390" max="7390" width="11" style="89"/>
    <col min="7391" max="7391" width="11" style="89"/>
    <col min="7392" max="7392" width="11" style="89"/>
    <col min="7393" max="7393" width="11" style="89"/>
    <col min="7394" max="7394" width="11" style="89"/>
    <col min="7395" max="7395" width="11" style="89"/>
    <col min="7396" max="7396" width="11" style="89"/>
    <col min="7397" max="7397" width="11" style="89"/>
    <col min="7398" max="7398" width="11" style="89"/>
    <col min="7399" max="7399" width="11" style="89"/>
    <col min="7400" max="7400" width="11" style="89"/>
    <col min="7401" max="7401" width="11" style="89"/>
    <col min="7402" max="7402" width="11" style="89"/>
    <col min="7403" max="7403" width="11" style="89"/>
    <col min="7404" max="7404" width="11" style="89"/>
    <col min="7405" max="7405" width="11" style="89"/>
    <col min="7406" max="7406" width="11" style="89"/>
    <col min="7407" max="7407" width="11" style="89"/>
    <col min="7408" max="7408" width="11" style="89"/>
    <col min="7409" max="7409" width="11" style="89"/>
    <col min="7410" max="7410" width="11" style="89"/>
    <col min="7411" max="7411" width="11" style="89"/>
    <col min="7412" max="7412" width="11" style="89"/>
    <col min="7413" max="7413" width="11" style="89"/>
    <col min="7414" max="7414" width="11" style="89"/>
    <col min="7415" max="7415" width="11" style="89"/>
    <col min="7416" max="7416" width="11" style="89"/>
    <col min="7417" max="7417" width="11" style="89"/>
    <col min="7418" max="7418" width="11" style="89"/>
    <col min="7419" max="7419" width="11" style="89"/>
    <col min="7420" max="7420" width="11" style="89"/>
    <col min="7421" max="7421" width="11" style="89"/>
    <col min="7422" max="7422" width="11" style="89"/>
    <col min="7423" max="7423" width="11" style="89"/>
    <col min="7424" max="7424" width="11" style="89"/>
    <col min="7425" max="7425" width="10.140625" customWidth="true" style="89"/>
    <col min="7426" max="7426" width="10.140625" customWidth="true" style="89"/>
    <col min="7427" max="7427" width="10.140625" customWidth="true" style="89"/>
    <col min="7428" max="7428" width="10.140625" customWidth="true" style="89"/>
    <col min="7429" max="7429" width="10.140625" customWidth="true" style="89"/>
    <col min="7430" max="7430" width="10.140625" customWidth="true" style="89"/>
    <col min="7431" max="7431" width="10.140625" customWidth="true" style="89"/>
    <col min="7432" max="7432" width="10.140625" customWidth="true" style="89"/>
    <col min="7433" max="7433" width="10.140625" customWidth="true" style="89"/>
    <col min="7434" max="7434" width="11" style="89"/>
    <col min="7435" max="7435" width="11" style="89"/>
    <col min="7436" max="7436" width="11" style="89"/>
    <col min="7437" max="7437" width="11" style="89"/>
    <col min="7438" max="7438" width="11" style="89"/>
    <col min="7439" max="7439" width="11" style="89"/>
    <col min="7440" max="7440" width="11" style="89"/>
    <col min="7441" max="7441" width="11" style="89"/>
    <col min="7442" max="7442" width="11" style="89"/>
    <col min="7443" max="7443" width="11" style="89"/>
    <col min="7444" max="7444" width="11" style="89"/>
    <col min="7445" max="7445" width="11" style="89"/>
    <col min="7446" max="7446" width="11" style="89"/>
    <col min="7447" max="7447" width="11" style="89"/>
    <col min="7448" max="7448" width="11" style="89"/>
    <col min="7449" max="7449" width="11" style="89"/>
    <col min="7450" max="7450" width="11" style="89"/>
    <col min="7451" max="7451" width="11" style="89"/>
    <col min="7452" max="7452" width="11" style="89"/>
    <col min="7453" max="7453" width="11" style="89"/>
    <col min="7454" max="7454" width="11" style="89"/>
    <col min="7455" max="7455" width="11" style="89"/>
    <col min="7456" max="7456" width="11" style="89"/>
    <col min="7457" max="7457" width="11" style="89"/>
    <col min="7458" max="7458" width="11" style="89"/>
    <col min="7459" max="7459" width="11" style="89"/>
    <col min="7460" max="7460" width="11" style="89"/>
    <col min="7461" max="7461" width="11" style="89"/>
    <col min="7462" max="7462" width="11" style="89"/>
    <col min="7463" max="7463" width="11" style="89"/>
    <col min="7464" max="7464" width="11" style="89"/>
    <col min="7465" max="7465" width="11" style="89"/>
    <col min="7466" max="7466" width="11" style="89"/>
    <col min="7467" max="7467" width="11" style="89"/>
    <col min="7468" max="7468" width="11" style="89"/>
    <col min="7469" max="7469" width="11" style="89"/>
    <col min="7470" max="7470" width="11" style="89"/>
    <col min="7471" max="7471" width="11" style="89"/>
    <col min="7472" max="7472" width="11" style="89"/>
    <col min="7473" max="7473" width="11" style="89"/>
    <col min="7474" max="7474" width="11" style="89"/>
    <col min="7475" max="7475" width="11" style="89"/>
    <col min="7476" max="7476" width="11" style="89"/>
    <col min="7477" max="7477" width="11" style="89"/>
    <col min="7478" max="7478" width="11" style="89"/>
    <col min="7479" max="7479" width="11" style="89"/>
    <col min="7480" max="7480" width="11" style="89"/>
    <col min="7481" max="7481" width="11" style="89"/>
    <col min="7482" max="7482" width="11" style="89"/>
    <col min="7483" max="7483" width="11" style="89"/>
    <col min="7484" max="7484" width="11" style="89"/>
    <col min="7485" max="7485" width="11" style="89"/>
    <col min="7486" max="7486" width="11" style="89"/>
    <col min="7487" max="7487" width="11" style="89"/>
    <col min="7488" max="7488" width="11" style="89"/>
    <col min="7489" max="7489" width="11" style="89"/>
    <col min="7490" max="7490" width="11" style="89"/>
    <col min="7491" max="7491" width="11" style="89"/>
    <col min="7492" max="7492" width="11" style="89"/>
    <col min="7493" max="7493" width="11" style="89"/>
    <col min="7494" max="7494" width="11" style="89"/>
    <col min="7495" max="7495" width="11" style="89"/>
    <col min="7496" max="7496" width="11" style="89"/>
    <col min="7497" max="7497" width="11" style="89"/>
    <col min="7498" max="7498" width="11" style="89"/>
    <col min="7499" max="7499" width="11" style="89"/>
    <col min="7500" max="7500" width="11" style="89"/>
    <col min="7501" max="7501" width="11" style="89"/>
    <col min="7502" max="7502" width="11" style="89"/>
    <col min="7503" max="7503" width="11" style="89"/>
    <col min="7504" max="7504" width="11" style="89"/>
    <col min="7505" max="7505" width="11" style="89"/>
    <col min="7506" max="7506" width="11" style="89"/>
    <col min="7507" max="7507" width="11" style="89"/>
    <col min="7508" max="7508" width="11" style="89"/>
    <col min="7509" max="7509" width="11" style="89"/>
    <col min="7510" max="7510" width="11" style="89"/>
    <col min="7511" max="7511" width="11" style="89"/>
    <col min="7512" max="7512" width="11" style="89"/>
    <col min="7513" max="7513" width="11" style="89"/>
    <col min="7514" max="7514" width="11" style="89"/>
    <col min="7515" max="7515" width="11" style="89"/>
    <col min="7516" max="7516" width="11" style="89"/>
    <col min="7517" max="7517" width="11" style="89"/>
    <col min="7518" max="7518" width="11" style="89"/>
    <col min="7519" max="7519" width="11" style="89"/>
    <col min="7520" max="7520" width="11" style="89"/>
    <col min="7521" max="7521" width="11" style="89"/>
    <col min="7522" max="7522" width="11" style="89"/>
    <col min="7523" max="7523" width="11" style="89"/>
    <col min="7524" max="7524" width="11" style="89"/>
    <col min="7525" max="7525" width="11" style="89"/>
    <col min="7526" max="7526" width="11" style="89"/>
    <col min="7527" max="7527" width="11" style="89"/>
    <col min="7528" max="7528" width="11" style="89"/>
    <col min="7529" max="7529" width="11" style="89"/>
    <col min="7530" max="7530" width="11" style="89"/>
    <col min="7531" max="7531" width="11" style="89"/>
    <col min="7532" max="7532" width="11" style="89"/>
    <col min="7533" max="7533" width="11" style="89"/>
    <col min="7534" max="7534" width="11" style="89"/>
    <col min="7535" max="7535" width="11" style="89"/>
    <col min="7536" max="7536" width="11" style="89"/>
    <col min="7537" max="7537" width="11" style="89"/>
    <col min="7538" max="7538" width="11" style="89"/>
    <col min="7539" max="7539" width="11" style="89"/>
    <col min="7540" max="7540" width="11" style="89"/>
    <col min="7541" max="7541" width="11" style="89"/>
    <col min="7542" max="7542" width="11" style="89"/>
    <col min="7543" max="7543" width="11" style="89"/>
    <col min="7544" max="7544" width="11" style="89"/>
    <col min="7545" max="7545" width="11" style="89"/>
    <col min="7546" max="7546" width="11" style="89"/>
    <col min="7547" max="7547" width="11" style="89"/>
    <col min="7548" max="7548" width="11" style="89"/>
    <col min="7549" max="7549" width="11" style="89"/>
    <col min="7550" max="7550" width="11" style="89"/>
    <col min="7551" max="7551" width="11" style="89"/>
    <col min="7552" max="7552" width="11" style="89"/>
    <col min="7553" max="7553" width="11" style="89"/>
    <col min="7554" max="7554" width="11" style="89"/>
    <col min="7555" max="7555" width="11" style="89"/>
    <col min="7556" max="7556" width="11" style="89"/>
    <col min="7557" max="7557" width="11" style="89"/>
    <col min="7558" max="7558" width="11" style="89"/>
    <col min="7559" max="7559" width="11" style="89"/>
    <col min="7560" max="7560" width="11" style="89"/>
    <col min="7561" max="7561" width="11" style="89"/>
    <col min="7562" max="7562" width="11" style="89"/>
    <col min="7563" max="7563" width="11" style="89"/>
    <col min="7564" max="7564" width="11" style="89"/>
    <col min="7565" max="7565" width="11" style="89"/>
    <col min="7566" max="7566" width="11" style="89"/>
    <col min="7567" max="7567" width="11" style="89"/>
    <col min="7568" max="7568" width="11" style="89"/>
    <col min="7569" max="7569" width="11" style="89"/>
    <col min="7570" max="7570" width="11" style="89"/>
    <col min="7571" max="7571" width="11" style="89"/>
    <col min="7572" max="7572" width="11" style="89"/>
    <col min="7573" max="7573" width="11" style="89"/>
    <col min="7574" max="7574" width="11" style="89"/>
    <col min="7575" max="7575" width="11" style="89"/>
    <col min="7576" max="7576" width="11" style="89"/>
    <col min="7577" max="7577" width="11" style="89"/>
    <col min="7578" max="7578" width="11" style="89"/>
    <col min="7579" max="7579" width="11" style="89"/>
    <col min="7580" max="7580" width="11" style="89"/>
    <col min="7581" max="7581" width="11" style="89"/>
    <col min="7582" max="7582" width="11" style="89"/>
    <col min="7583" max="7583" width="11" style="89"/>
    <col min="7584" max="7584" width="11" style="89"/>
    <col min="7585" max="7585" width="11" style="89"/>
    <col min="7586" max="7586" width="11" style="89"/>
    <col min="7587" max="7587" width="11" style="89"/>
    <col min="7588" max="7588" width="11" style="89"/>
    <col min="7589" max="7589" width="11" style="89"/>
    <col min="7590" max="7590" width="11" style="89"/>
    <col min="7591" max="7591" width="11" style="89"/>
    <col min="7592" max="7592" width="11" style="89"/>
    <col min="7593" max="7593" width="11" style="89"/>
    <col min="7594" max="7594" width="11" style="89"/>
    <col min="7595" max="7595" width="11" style="89"/>
    <col min="7596" max="7596" width="11" style="89"/>
    <col min="7597" max="7597" width="11" style="89"/>
    <col min="7598" max="7598" width="11" style="89"/>
    <col min="7599" max="7599" width="11" style="89"/>
    <col min="7600" max="7600" width="11" style="89"/>
    <col min="7601" max="7601" width="11" style="89"/>
    <col min="7602" max="7602" width="11" style="89"/>
    <col min="7603" max="7603" width="11" style="89"/>
    <col min="7604" max="7604" width="11" style="89"/>
    <col min="7605" max="7605" width="11" style="89"/>
    <col min="7606" max="7606" width="11" style="89"/>
    <col min="7607" max="7607" width="11" style="89"/>
    <col min="7608" max="7608" width="11" style="89"/>
    <col min="7609" max="7609" width="11" style="89"/>
    <col min="7610" max="7610" width="11" style="89"/>
    <col min="7611" max="7611" width="11" style="89"/>
    <col min="7612" max="7612" width="11" style="89"/>
    <col min="7613" max="7613" width="11" style="89"/>
    <col min="7614" max="7614" width="11" style="89"/>
    <col min="7615" max="7615" width="11" style="89"/>
    <col min="7616" max="7616" width="11" style="89"/>
    <col min="7617" max="7617" width="11" style="89"/>
    <col min="7618" max="7618" width="11" style="89"/>
    <col min="7619" max="7619" width="11" style="89"/>
    <col min="7620" max="7620" width="11" style="89"/>
    <col min="7621" max="7621" width="11" style="89"/>
    <col min="7622" max="7622" width="11" style="89"/>
    <col min="7623" max="7623" width="11" style="89"/>
    <col min="7624" max="7624" width="11" style="89"/>
    <col min="7625" max="7625" width="11" style="89"/>
    <col min="7626" max="7626" width="11" style="89"/>
    <col min="7627" max="7627" width="11" style="89"/>
    <col min="7628" max="7628" width="11" style="89"/>
    <col min="7629" max="7629" width="11" style="89"/>
    <col min="7630" max="7630" width="11" style="89"/>
    <col min="7631" max="7631" width="11" style="89"/>
    <col min="7632" max="7632" width="11" style="89"/>
    <col min="7633" max="7633" width="11" style="89"/>
    <col min="7634" max="7634" width="11" style="89"/>
    <col min="7635" max="7635" width="11" style="89"/>
    <col min="7636" max="7636" width="11" style="89"/>
    <col min="7637" max="7637" width="11" style="89"/>
    <col min="7638" max="7638" width="11" style="89"/>
    <col min="7639" max="7639" width="11" style="89"/>
    <col min="7640" max="7640" width="11" style="89"/>
    <col min="7641" max="7641" width="11" style="89"/>
    <col min="7642" max="7642" width="11" style="89"/>
    <col min="7643" max="7643" width="11" style="89"/>
    <col min="7644" max="7644" width="11" style="89"/>
    <col min="7645" max="7645" width="11" style="89"/>
    <col min="7646" max="7646" width="11" style="89"/>
    <col min="7647" max="7647" width="11" style="89"/>
    <col min="7648" max="7648" width="11" style="89"/>
    <col min="7649" max="7649" width="11" style="89"/>
    <col min="7650" max="7650" width="11" style="89"/>
    <col min="7651" max="7651" width="11" style="89"/>
    <col min="7652" max="7652" width="11" style="89"/>
    <col min="7653" max="7653" width="11" style="89"/>
    <col min="7654" max="7654" width="11" style="89"/>
    <col min="7655" max="7655" width="11" style="89"/>
    <col min="7656" max="7656" width="11" style="89"/>
    <col min="7657" max="7657" width="11" style="89"/>
    <col min="7658" max="7658" width="11" style="89"/>
    <col min="7659" max="7659" width="11" style="89"/>
    <col min="7660" max="7660" width="11" style="89"/>
    <col min="7661" max="7661" width="11" style="89"/>
    <col min="7662" max="7662" width="11" style="89"/>
    <col min="7663" max="7663" width="11" style="89"/>
    <col min="7664" max="7664" width="11" style="89"/>
    <col min="7665" max="7665" width="11" style="89"/>
    <col min="7666" max="7666" width="11" style="89"/>
    <col min="7667" max="7667" width="11" style="89"/>
    <col min="7668" max="7668" width="11" style="89"/>
    <col min="7669" max="7669" width="11" style="89"/>
    <col min="7670" max="7670" width="11" style="89"/>
    <col min="7671" max="7671" width="11" style="89"/>
    <col min="7672" max="7672" width="11" style="89"/>
    <col min="7673" max="7673" width="11" style="89"/>
    <col min="7674" max="7674" width="11" style="89"/>
    <col min="7675" max="7675" width="11" style="89"/>
    <col min="7676" max="7676" width="11" style="89"/>
    <col min="7677" max="7677" width="11" style="89"/>
    <col min="7678" max="7678" width="11" style="89"/>
    <col min="7679" max="7679" width="11" style="89"/>
    <col min="7680" max="7680" width="11" style="89"/>
    <col min="7681" max="7681" width="10.140625" customWidth="true" style="89"/>
    <col min="7682" max="7682" width="10.140625" customWidth="true" style="89"/>
    <col min="7683" max="7683" width="10.140625" customWidth="true" style="89"/>
    <col min="7684" max="7684" width="10.140625" customWidth="true" style="89"/>
    <col min="7685" max="7685" width="10.140625" customWidth="true" style="89"/>
    <col min="7686" max="7686" width="10.140625" customWidth="true" style="89"/>
    <col min="7687" max="7687" width="10.140625" customWidth="true" style="89"/>
    <col min="7688" max="7688" width="10.140625" customWidth="true" style="89"/>
    <col min="7689" max="7689" width="10.140625" customWidth="true" style="89"/>
    <col min="7690" max="7690" width="11" style="89"/>
    <col min="7691" max="7691" width="11" style="89"/>
    <col min="7692" max="7692" width="11" style="89"/>
    <col min="7693" max="7693" width="11" style="89"/>
    <col min="7694" max="7694" width="11" style="89"/>
    <col min="7695" max="7695" width="11" style="89"/>
    <col min="7696" max="7696" width="11" style="89"/>
    <col min="7697" max="7697" width="11" style="89"/>
    <col min="7698" max="7698" width="11" style="89"/>
    <col min="7699" max="7699" width="11" style="89"/>
    <col min="7700" max="7700" width="11" style="89"/>
    <col min="7701" max="7701" width="11" style="89"/>
    <col min="7702" max="7702" width="11" style="89"/>
    <col min="7703" max="7703" width="11" style="89"/>
    <col min="7704" max="7704" width="11" style="89"/>
    <col min="7705" max="7705" width="11" style="89"/>
    <col min="7706" max="7706" width="11" style="89"/>
    <col min="7707" max="7707" width="11" style="89"/>
    <col min="7708" max="7708" width="11" style="89"/>
    <col min="7709" max="7709" width="11" style="89"/>
    <col min="7710" max="7710" width="11" style="89"/>
    <col min="7711" max="7711" width="11" style="89"/>
    <col min="7712" max="7712" width="11" style="89"/>
    <col min="7713" max="7713" width="11" style="89"/>
    <col min="7714" max="7714" width="11" style="89"/>
    <col min="7715" max="7715" width="11" style="89"/>
    <col min="7716" max="7716" width="11" style="89"/>
    <col min="7717" max="7717" width="11" style="89"/>
    <col min="7718" max="7718" width="11" style="89"/>
    <col min="7719" max="7719" width="11" style="89"/>
    <col min="7720" max="7720" width="11" style="89"/>
    <col min="7721" max="7721" width="11" style="89"/>
    <col min="7722" max="7722" width="11" style="89"/>
    <col min="7723" max="7723" width="11" style="89"/>
    <col min="7724" max="7724" width="11" style="89"/>
    <col min="7725" max="7725" width="11" style="89"/>
    <col min="7726" max="7726" width="11" style="89"/>
    <col min="7727" max="7727" width="11" style="89"/>
    <col min="7728" max="7728" width="11" style="89"/>
    <col min="7729" max="7729" width="11" style="89"/>
    <col min="7730" max="7730" width="11" style="89"/>
    <col min="7731" max="7731" width="11" style="89"/>
    <col min="7732" max="7732" width="11" style="89"/>
    <col min="7733" max="7733" width="11" style="89"/>
    <col min="7734" max="7734" width="11" style="89"/>
    <col min="7735" max="7735" width="11" style="89"/>
    <col min="7736" max="7736" width="11" style="89"/>
    <col min="7737" max="7737" width="11" style="89"/>
    <col min="7738" max="7738" width="11" style="89"/>
    <col min="7739" max="7739" width="11" style="89"/>
    <col min="7740" max="7740" width="11" style="89"/>
    <col min="7741" max="7741" width="11" style="89"/>
    <col min="7742" max="7742" width="11" style="89"/>
    <col min="7743" max="7743" width="11" style="89"/>
    <col min="7744" max="7744" width="11" style="89"/>
    <col min="7745" max="7745" width="11" style="89"/>
    <col min="7746" max="7746" width="11" style="89"/>
    <col min="7747" max="7747" width="11" style="89"/>
    <col min="7748" max="7748" width="11" style="89"/>
    <col min="7749" max="7749" width="11" style="89"/>
    <col min="7750" max="7750" width="11" style="89"/>
    <col min="7751" max="7751" width="11" style="89"/>
    <col min="7752" max="7752" width="11" style="89"/>
    <col min="7753" max="7753" width="11" style="89"/>
    <col min="7754" max="7754" width="11" style="89"/>
    <col min="7755" max="7755" width="11" style="89"/>
    <col min="7756" max="7756" width="11" style="89"/>
    <col min="7757" max="7757" width="11" style="89"/>
    <col min="7758" max="7758" width="11" style="89"/>
    <col min="7759" max="7759" width="11" style="89"/>
    <col min="7760" max="7760" width="11" style="89"/>
    <col min="7761" max="7761" width="11" style="89"/>
    <col min="7762" max="7762" width="11" style="89"/>
    <col min="7763" max="7763" width="11" style="89"/>
    <col min="7764" max="7764" width="11" style="89"/>
    <col min="7765" max="7765" width="11" style="89"/>
    <col min="7766" max="7766" width="11" style="89"/>
    <col min="7767" max="7767" width="11" style="89"/>
    <col min="7768" max="7768" width="11" style="89"/>
    <col min="7769" max="7769" width="11" style="89"/>
    <col min="7770" max="7770" width="11" style="89"/>
    <col min="7771" max="7771" width="11" style="89"/>
    <col min="7772" max="7772" width="11" style="89"/>
    <col min="7773" max="7773" width="11" style="89"/>
    <col min="7774" max="7774" width="11" style="89"/>
    <col min="7775" max="7775" width="11" style="89"/>
    <col min="7776" max="7776" width="11" style="89"/>
    <col min="7777" max="7777" width="11" style="89"/>
    <col min="7778" max="7778" width="11" style="89"/>
    <col min="7779" max="7779" width="11" style="89"/>
    <col min="7780" max="7780" width="11" style="89"/>
    <col min="7781" max="7781" width="11" style="89"/>
    <col min="7782" max="7782" width="11" style="89"/>
    <col min="7783" max="7783" width="11" style="89"/>
    <col min="7784" max="7784" width="11" style="89"/>
    <col min="7785" max="7785" width="11" style="89"/>
    <col min="7786" max="7786" width="11" style="89"/>
    <col min="7787" max="7787" width="11" style="89"/>
    <col min="7788" max="7788" width="11" style="89"/>
    <col min="7789" max="7789" width="11" style="89"/>
    <col min="7790" max="7790" width="11" style="89"/>
    <col min="7791" max="7791" width="11" style="89"/>
    <col min="7792" max="7792" width="11" style="89"/>
    <col min="7793" max="7793" width="11" style="89"/>
    <col min="7794" max="7794" width="11" style="89"/>
    <col min="7795" max="7795" width="11" style="89"/>
    <col min="7796" max="7796" width="11" style="89"/>
    <col min="7797" max="7797" width="11" style="89"/>
    <col min="7798" max="7798" width="11" style="89"/>
    <col min="7799" max="7799" width="11" style="89"/>
    <col min="7800" max="7800" width="11" style="89"/>
    <col min="7801" max="7801" width="11" style="89"/>
    <col min="7802" max="7802" width="11" style="89"/>
    <col min="7803" max="7803" width="11" style="89"/>
    <col min="7804" max="7804" width="11" style="89"/>
    <col min="7805" max="7805" width="11" style="89"/>
    <col min="7806" max="7806" width="11" style="89"/>
    <col min="7807" max="7807" width="11" style="89"/>
    <col min="7808" max="7808" width="11" style="89"/>
    <col min="7809" max="7809" width="11" style="89"/>
    <col min="7810" max="7810" width="11" style="89"/>
    <col min="7811" max="7811" width="11" style="89"/>
    <col min="7812" max="7812" width="11" style="89"/>
    <col min="7813" max="7813" width="11" style="89"/>
    <col min="7814" max="7814" width="11" style="89"/>
    <col min="7815" max="7815" width="11" style="89"/>
    <col min="7816" max="7816" width="11" style="89"/>
    <col min="7817" max="7817" width="11" style="89"/>
    <col min="7818" max="7818" width="11" style="89"/>
    <col min="7819" max="7819" width="11" style="89"/>
    <col min="7820" max="7820" width="11" style="89"/>
    <col min="7821" max="7821" width="11" style="89"/>
    <col min="7822" max="7822" width="11" style="89"/>
    <col min="7823" max="7823" width="11" style="89"/>
    <col min="7824" max="7824" width="11" style="89"/>
    <col min="7825" max="7825" width="11" style="89"/>
    <col min="7826" max="7826" width="11" style="89"/>
    <col min="7827" max="7827" width="11" style="89"/>
    <col min="7828" max="7828" width="11" style="89"/>
    <col min="7829" max="7829" width="11" style="89"/>
    <col min="7830" max="7830" width="11" style="89"/>
    <col min="7831" max="7831" width="11" style="89"/>
    <col min="7832" max="7832" width="11" style="89"/>
    <col min="7833" max="7833" width="11" style="89"/>
    <col min="7834" max="7834" width="11" style="89"/>
    <col min="7835" max="7835" width="11" style="89"/>
    <col min="7836" max="7836" width="11" style="89"/>
    <col min="7837" max="7837" width="11" style="89"/>
    <col min="7838" max="7838" width="11" style="89"/>
    <col min="7839" max="7839" width="11" style="89"/>
    <col min="7840" max="7840" width="11" style="89"/>
    <col min="7841" max="7841" width="11" style="89"/>
    <col min="7842" max="7842" width="11" style="89"/>
    <col min="7843" max="7843" width="11" style="89"/>
    <col min="7844" max="7844" width="11" style="89"/>
    <col min="7845" max="7845" width="11" style="89"/>
    <col min="7846" max="7846" width="11" style="89"/>
    <col min="7847" max="7847" width="11" style="89"/>
    <col min="7848" max="7848" width="11" style="89"/>
    <col min="7849" max="7849" width="11" style="89"/>
    <col min="7850" max="7850" width="11" style="89"/>
    <col min="7851" max="7851" width="11" style="89"/>
    <col min="7852" max="7852" width="11" style="89"/>
    <col min="7853" max="7853" width="11" style="89"/>
    <col min="7854" max="7854" width="11" style="89"/>
    <col min="7855" max="7855" width="11" style="89"/>
    <col min="7856" max="7856" width="11" style="89"/>
    <col min="7857" max="7857" width="11" style="89"/>
    <col min="7858" max="7858" width="11" style="89"/>
    <col min="7859" max="7859" width="11" style="89"/>
    <col min="7860" max="7860" width="11" style="89"/>
    <col min="7861" max="7861" width="11" style="89"/>
    <col min="7862" max="7862" width="11" style="89"/>
    <col min="7863" max="7863" width="11" style="89"/>
    <col min="7864" max="7864" width="11" style="89"/>
    <col min="7865" max="7865" width="11" style="89"/>
    <col min="7866" max="7866" width="11" style="89"/>
    <col min="7867" max="7867" width="11" style="89"/>
    <col min="7868" max="7868" width="11" style="89"/>
    <col min="7869" max="7869" width="11" style="89"/>
    <col min="7870" max="7870" width="11" style="89"/>
    <col min="7871" max="7871" width="11" style="89"/>
    <col min="7872" max="7872" width="11" style="89"/>
    <col min="7873" max="7873" width="11" style="89"/>
    <col min="7874" max="7874" width="11" style="89"/>
    <col min="7875" max="7875" width="11" style="89"/>
    <col min="7876" max="7876" width="11" style="89"/>
    <col min="7877" max="7877" width="11" style="89"/>
    <col min="7878" max="7878" width="11" style="89"/>
    <col min="7879" max="7879" width="11" style="89"/>
    <col min="7880" max="7880" width="11" style="89"/>
    <col min="7881" max="7881" width="11" style="89"/>
    <col min="7882" max="7882" width="11" style="89"/>
    <col min="7883" max="7883" width="11" style="89"/>
    <col min="7884" max="7884" width="11" style="89"/>
    <col min="7885" max="7885" width="11" style="89"/>
    <col min="7886" max="7886" width="11" style="89"/>
    <col min="7887" max="7887" width="11" style="89"/>
    <col min="7888" max="7888" width="11" style="89"/>
    <col min="7889" max="7889" width="11" style="89"/>
    <col min="7890" max="7890" width="11" style="89"/>
    <col min="7891" max="7891" width="11" style="89"/>
    <col min="7892" max="7892" width="11" style="89"/>
    <col min="7893" max="7893" width="11" style="89"/>
    <col min="7894" max="7894" width="11" style="89"/>
    <col min="7895" max="7895" width="11" style="89"/>
    <col min="7896" max="7896" width="11" style="89"/>
    <col min="7897" max="7897" width="11" style="89"/>
    <col min="7898" max="7898" width="11" style="89"/>
    <col min="7899" max="7899" width="11" style="89"/>
    <col min="7900" max="7900" width="11" style="89"/>
    <col min="7901" max="7901" width="11" style="89"/>
    <col min="7902" max="7902" width="11" style="89"/>
    <col min="7903" max="7903" width="11" style="89"/>
    <col min="7904" max="7904" width="11" style="89"/>
    <col min="7905" max="7905" width="11" style="89"/>
    <col min="7906" max="7906" width="11" style="89"/>
    <col min="7907" max="7907" width="11" style="89"/>
    <col min="7908" max="7908" width="11" style="89"/>
    <col min="7909" max="7909" width="11" style="89"/>
    <col min="7910" max="7910" width="11" style="89"/>
    <col min="7911" max="7911" width="11" style="89"/>
    <col min="7912" max="7912" width="11" style="89"/>
    <col min="7913" max="7913" width="11" style="89"/>
    <col min="7914" max="7914" width="11" style="89"/>
    <col min="7915" max="7915" width="11" style="89"/>
    <col min="7916" max="7916" width="11" style="89"/>
    <col min="7917" max="7917" width="11" style="89"/>
    <col min="7918" max="7918" width="11" style="89"/>
    <col min="7919" max="7919" width="11" style="89"/>
    <col min="7920" max="7920" width="11" style="89"/>
    <col min="7921" max="7921" width="11" style="89"/>
    <col min="7922" max="7922" width="11" style="89"/>
    <col min="7923" max="7923" width="11" style="89"/>
    <col min="7924" max="7924" width="11" style="89"/>
    <col min="7925" max="7925" width="11" style="89"/>
    <col min="7926" max="7926" width="11" style="89"/>
    <col min="7927" max="7927" width="11" style="89"/>
    <col min="7928" max="7928" width="11" style="89"/>
    <col min="7929" max="7929" width="11" style="89"/>
    <col min="7930" max="7930" width="11" style="89"/>
    <col min="7931" max="7931" width="11" style="89"/>
    <col min="7932" max="7932" width="11" style="89"/>
    <col min="7933" max="7933" width="11" style="89"/>
    <col min="7934" max="7934" width="11" style="89"/>
    <col min="7935" max="7935" width="11" style="89"/>
    <col min="7936" max="7936" width="11" style="89"/>
    <col min="7937" max="7937" width="10.140625" customWidth="true" style="89"/>
    <col min="7938" max="7938" width="10.140625" customWidth="true" style="89"/>
    <col min="7939" max="7939" width="10.140625" customWidth="true" style="89"/>
    <col min="7940" max="7940" width="10.140625" customWidth="true" style="89"/>
    <col min="7941" max="7941" width="10.140625" customWidth="true" style="89"/>
    <col min="7942" max="7942" width="10.140625" customWidth="true" style="89"/>
    <col min="7943" max="7943" width="10.140625" customWidth="true" style="89"/>
    <col min="7944" max="7944" width="10.140625" customWidth="true" style="89"/>
    <col min="7945" max="7945" width="10.140625" customWidth="true" style="89"/>
    <col min="7946" max="7946" width="11" style="89"/>
    <col min="7947" max="7947" width="11" style="89"/>
    <col min="7948" max="7948" width="11" style="89"/>
    <col min="7949" max="7949" width="11" style="89"/>
    <col min="7950" max="7950" width="11" style="89"/>
    <col min="7951" max="7951" width="11" style="89"/>
    <col min="7952" max="7952" width="11" style="89"/>
    <col min="7953" max="7953" width="11" style="89"/>
    <col min="7954" max="7954" width="11" style="89"/>
    <col min="7955" max="7955" width="11" style="89"/>
    <col min="7956" max="7956" width="11" style="89"/>
    <col min="7957" max="7957" width="11" style="89"/>
    <col min="7958" max="7958" width="11" style="89"/>
    <col min="7959" max="7959" width="11" style="89"/>
    <col min="7960" max="7960" width="11" style="89"/>
    <col min="7961" max="7961" width="11" style="89"/>
    <col min="7962" max="7962" width="11" style="89"/>
    <col min="7963" max="7963" width="11" style="89"/>
    <col min="7964" max="7964" width="11" style="89"/>
    <col min="7965" max="7965" width="11" style="89"/>
    <col min="7966" max="7966" width="11" style="89"/>
    <col min="7967" max="7967" width="11" style="89"/>
    <col min="7968" max="7968" width="11" style="89"/>
    <col min="7969" max="7969" width="11" style="89"/>
    <col min="7970" max="7970" width="11" style="89"/>
    <col min="7971" max="7971" width="11" style="89"/>
    <col min="7972" max="7972" width="11" style="89"/>
    <col min="7973" max="7973" width="11" style="89"/>
    <col min="7974" max="7974" width="11" style="89"/>
    <col min="7975" max="7975" width="11" style="89"/>
    <col min="7976" max="7976" width="11" style="89"/>
    <col min="7977" max="7977" width="11" style="89"/>
    <col min="7978" max="7978" width="11" style="89"/>
    <col min="7979" max="7979" width="11" style="89"/>
    <col min="7980" max="7980" width="11" style="89"/>
    <col min="7981" max="7981" width="11" style="89"/>
    <col min="7982" max="7982" width="11" style="89"/>
    <col min="7983" max="7983" width="11" style="89"/>
    <col min="7984" max="7984" width="11" style="89"/>
    <col min="7985" max="7985" width="11" style="89"/>
    <col min="7986" max="7986" width="11" style="89"/>
    <col min="7987" max="7987" width="11" style="89"/>
    <col min="7988" max="7988" width="11" style="89"/>
    <col min="7989" max="7989" width="11" style="89"/>
    <col min="7990" max="7990" width="11" style="89"/>
    <col min="7991" max="7991" width="11" style="89"/>
    <col min="7992" max="7992" width="11" style="89"/>
    <col min="7993" max="7993" width="11" style="89"/>
    <col min="7994" max="7994" width="11" style="89"/>
    <col min="7995" max="7995" width="11" style="89"/>
    <col min="7996" max="7996" width="11" style="89"/>
    <col min="7997" max="7997" width="11" style="89"/>
    <col min="7998" max="7998" width="11" style="89"/>
    <col min="7999" max="7999" width="11" style="89"/>
    <col min="8000" max="8000" width="11" style="89"/>
    <col min="8001" max="8001" width="11" style="89"/>
    <col min="8002" max="8002" width="11" style="89"/>
    <col min="8003" max="8003" width="11" style="89"/>
    <col min="8004" max="8004" width="11" style="89"/>
    <col min="8005" max="8005" width="11" style="89"/>
    <col min="8006" max="8006" width="11" style="89"/>
    <col min="8007" max="8007" width="11" style="89"/>
    <col min="8008" max="8008" width="11" style="89"/>
    <col min="8009" max="8009" width="11" style="89"/>
    <col min="8010" max="8010" width="11" style="89"/>
    <col min="8011" max="8011" width="11" style="89"/>
    <col min="8012" max="8012" width="11" style="89"/>
    <col min="8013" max="8013" width="11" style="89"/>
    <col min="8014" max="8014" width="11" style="89"/>
    <col min="8015" max="8015" width="11" style="89"/>
    <col min="8016" max="8016" width="11" style="89"/>
    <col min="8017" max="8017" width="11" style="89"/>
    <col min="8018" max="8018" width="11" style="89"/>
    <col min="8019" max="8019" width="11" style="89"/>
    <col min="8020" max="8020" width="11" style="89"/>
    <col min="8021" max="8021" width="11" style="89"/>
    <col min="8022" max="8022" width="11" style="89"/>
    <col min="8023" max="8023" width="11" style="89"/>
    <col min="8024" max="8024" width="11" style="89"/>
    <col min="8025" max="8025" width="11" style="89"/>
    <col min="8026" max="8026" width="11" style="89"/>
    <col min="8027" max="8027" width="11" style="89"/>
    <col min="8028" max="8028" width="11" style="89"/>
    <col min="8029" max="8029" width="11" style="89"/>
    <col min="8030" max="8030" width="11" style="89"/>
    <col min="8031" max="8031" width="11" style="89"/>
    <col min="8032" max="8032" width="11" style="89"/>
    <col min="8033" max="8033" width="11" style="89"/>
    <col min="8034" max="8034" width="11" style="89"/>
    <col min="8035" max="8035" width="11" style="89"/>
    <col min="8036" max="8036" width="11" style="89"/>
    <col min="8037" max="8037" width="11" style="89"/>
    <col min="8038" max="8038" width="11" style="89"/>
    <col min="8039" max="8039" width="11" style="89"/>
    <col min="8040" max="8040" width="11" style="89"/>
    <col min="8041" max="8041" width="11" style="89"/>
    <col min="8042" max="8042" width="11" style="89"/>
    <col min="8043" max="8043" width="11" style="89"/>
    <col min="8044" max="8044" width="11" style="89"/>
    <col min="8045" max="8045" width="11" style="89"/>
    <col min="8046" max="8046" width="11" style="89"/>
    <col min="8047" max="8047" width="11" style="89"/>
    <col min="8048" max="8048" width="11" style="89"/>
    <col min="8049" max="8049" width="11" style="89"/>
    <col min="8050" max="8050" width="11" style="89"/>
    <col min="8051" max="8051" width="11" style="89"/>
    <col min="8052" max="8052" width="11" style="89"/>
    <col min="8053" max="8053" width="11" style="89"/>
    <col min="8054" max="8054" width="11" style="89"/>
    <col min="8055" max="8055" width="11" style="89"/>
    <col min="8056" max="8056" width="11" style="89"/>
    <col min="8057" max="8057" width="11" style="89"/>
    <col min="8058" max="8058" width="11" style="89"/>
    <col min="8059" max="8059" width="11" style="89"/>
    <col min="8060" max="8060" width="11" style="89"/>
    <col min="8061" max="8061" width="11" style="89"/>
    <col min="8062" max="8062" width="11" style="89"/>
    <col min="8063" max="8063" width="11" style="89"/>
    <col min="8064" max="8064" width="11" style="89"/>
    <col min="8065" max="8065" width="11" style="89"/>
    <col min="8066" max="8066" width="11" style="89"/>
    <col min="8067" max="8067" width="11" style="89"/>
    <col min="8068" max="8068" width="11" style="89"/>
    <col min="8069" max="8069" width="11" style="89"/>
    <col min="8070" max="8070" width="11" style="89"/>
    <col min="8071" max="8071" width="11" style="89"/>
    <col min="8072" max="8072" width="11" style="89"/>
    <col min="8073" max="8073" width="11" style="89"/>
    <col min="8074" max="8074" width="11" style="89"/>
    <col min="8075" max="8075" width="11" style="89"/>
    <col min="8076" max="8076" width="11" style="89"/>
    <col min="8077" max="8077" width="11" style="89"/>
    <col min="8078" max="8078" width="11" style="89"/>
    <col min="8079" max="8079" width="11" style="89"/>
    <col min="8080" max="8080" width="11" style="89"/>
    <col min="8081" max="8081" width="11" style="89"/>
    <col min="8082" max="8082" width="11" style="89"/>
    <col min="8083" max="8083" width="11" style="89"/>
    <col min="8084" max="8084" width="11" style="89"/>
    <col min="8085" max="8085" width="11" style="89"/>
    <col min="8086" max="8086" width="11" style="89"/>
    <col min="8087" max="8087" width="11" style="89"/>
    <col min="8088" max="8088" width="11" style="89"/>
    <col min="8089" max="8089" width="11" style="89"/>
    <col min="8090" max="8090" width="11" style="89"/>
    <col min="8091" max="8091" width="11" style="89"/>
    <col min="8092" max="8092" width="11" style="89"/>
    <col min="8093" max="8093" width="11" style="89"/>
    <col min="8094" max="8094" width="11" style="89"/>
    <col min="8095" max="8095" width="11" style="89"/>
    <col min="8096" max="8096" width="11" style="89"/>
    <col min="8097" max="8097" width="11" style="89"/>
    <col min="8098" max="8098" width="11" style="89"/>
    <col min="8099" max="8099" width="11" style="89"/>
    <col min="8100" max="8100" width="11" style="89"/>
    <col min="8101" max="8101" width="11" style="89"/>
    <col min="8102" max="8102" width="11" style="89"/>
    <col min="8103" max="8103" width="11" style="89"/>
    <col min="8104" max="8104" width="11" style="89"/>
    <col min="8105" max="8105" width="11" style="89"/>
    <col min="8106" max="8106" width="11" style="89"/>
    <col min="8107" max="8107" width="11" style="89"/>
    <col min="8108" max="8108" width="11" style="89"/>
    <col min="8109" max="8109" width="11" style="89"/>
    <col min="8110" max="8110" width="11" style="89"/>
    <col min="8111" max="8111" width="11" style="89"/>
    <col min="8112" max="8112" width="11" style="89"/>
    <col min="8113" max="8113" width="11" style="89"/>
    <col min="8114" max="8114" width="11" style="89"/>
    <col min="8115" max="8115" width="11" style="89"/>
    <col min="8116" max="8116" width="11" style="89"/>
    <col min="8117" max="8117" width="11" style="89"/>
    <col min="8118" max="8118" width="11" style="89"/>
    <col min="8119" max="8119" width="11" style="89"/>
    <col min="8120" max="8120" width="11" style="89"/>
    <col min="8121" max="8121" width="11" style="89"/>
    <col min="8122" max="8122" width="11" style="89"/>
    <col min="8123" max="8123" width="11" style="89"/>
    <col min="8124" max="8124" width="11" style="89"/>
    <col min="8125" max="8125" width="11" style="89"/>
    <col min="8126" max="8126" width="11" style="89"/>
    <col min="8127" max="8127" width="11" style="89"/>
    <col min="8128" max="8128" width="11" style="89"/>
    <col min="8129" max="8129" width="11" style="89"/>
    <col min="8130" max="8130" width="11" style="89"/>
    <col min="8131" max="8131" width="11" style="89"/>
    <col min="8132" max="8132" width="11" style="89"/>
    <col min="8133" max="8133" width="11" style="89"/>
    <col min="8134" max="8134" width="11" style="89"/>
    <col min="8135" max="8135" width="11" style="89"/>
    <col min="8136" max="8136" width="11" style="89"/>
    <col min="8137" max="8137" width="11" style="89"/>
    <col min="8138" max="8138" width="11" style="89"/>
    <col min="8139" max="8139" width="11" style="89"/>
    <col min="8140" max="8140" width="11" style="89"/>
    <col min="8141" max="8141" width="11" style="89"/>
    <col min="8142" max="8142" width="11" style="89"/>
    <col min="8143" max="8143" width="11" style="89"/>
    <col min="8144" max="8144" width="11" style="89"/>
    <col min="8145" max="8145" width="11" style="89"/>
    <col min="8146" max="8146" width="11" style="89"/>
    <col min="8147" max="8147" width="11" style="89"/>
    <col min="8148" max="8148" width="11" style="89"/>
    <col min="8149" max="8149" width="11" style="89"/>
    <col min="8150" max="8150" width="11" style="89"/>
    <col min="8151" max="8151" width="11" style="89"/>
    <col min="8152" max="8152" width="11" style="89"/>
    <col min="8153" max="8153" width="11" style="89"/>
    <col min="8154" max="8154" width="11" style="89"/>
    <col min="8155" max="8155" width="11" style="89"/>
    <col min="8156" max="8156" width="11" style="89"/>
    <col min="8157" max="8157" width="11" style="89"/>
    <col min="8158" max="8158" width="11" style="89"/>
    <col min="8159" max="8159" width="11" style="89"/>
    <col min="8160" max="8160" width="11" style="89"/>
    <col min="8161" max="8161" width="11" style="89"/>
    <col min="8162" max="8162" width="11" style="89"/>
    <col min="8163" max="8163" width="11" style="89"/>
    <col min="8164" max="8164" width="11" style="89"/>
    <col min="8165" max="8165" width="11" style="89"/>
    <col min="8166" max="8166" width="11" style="89"/>
    <col min="8167" max="8167" width="11" style="89"/>
    <col min="8168" max="8168" width="11" style="89"/>
    <col min="8169" max="8169" width="11" style="89"/>
    <col min="8170" max="8170" width="11" style="89"/>
    <col min="8171" max="8171" width="11" style="89"/>
    <col min="8172" max="8172" width="11" style="89"/>
    <col min="8173" max="8173" width="11" style="89"/>
    <col min="8174" max="8174" width="11" style="89"/>
    <col min="8175" max="8175" width="11" style="89"/>
    <col min="8176" max="8176" width="11" style="89"/>
    <col min="8177" max="8177" width="11" style="89"/>
    <col min="8178" max="8178" width="11" style="89"/>
    <col min="8179" max="8179" width="11" style="89"/>
    <col min="8180" max="8180" width="11" style="89"/>
    <col min="8181" max="8181" width="11" style="89"/>
    <col min="8182" max="8182" width="11" style="89"/>
    <col min="8183" max="8183" width="11" style="89"/>
    <col min="8184" max="8184" width="11" style="89"/>
    <col min="8185" max="8185" width="11" style="89"/>
    <col min="8186" max="8186" width="11" style="89"/>
    <col min="8187" max="8187" width="11" style="89"/>
    <col min="8188" max="8188" width="11" style="89"/>
    <col min="8189" max="8189" width="11" style="89"/>
    <col min="8190" max="8190" width="11" style="89"/>
    <col min="8191" max="8191" width="11" style="89"/>
    <col min="8192" max="8192" width="11" style="89"/>
    <col min="8193" max="8193" width="10.140625" customWidth="true" style="89"/>
    <col min="8194" max="8194" width="10.140625" customWidth="true" style="89"/>
    <col min="8195" max="8195" width="10.140625" customWidth="true" style="89"/>
    <col min="8196" max="8196" width="10.140625" customWidth="true" style="89"/>
    <col min="8197" max="8197" width="10.140625" customWidth="true" style="89"/>
    <col min="8198" max="8198" width="10.140625" customWidth="true" style="89"/>
    <col min="8199" max="8199" width="10.140625" customWidth="true" style="89"/>
    <col min="8200" max="8200" width="10.140625" customWidth="true" style="89"/>
    <col min="8201" max="8201" width="10.140625" customWidth="true" style="89"/>
    <col min="8202" max="8202" width="11" style="89"/>
    <col min="8203" max="8203" width="11" style="89"/>
    <col min="8204" max="8204" width="11" style="89"/>
    <col min="8205" max="8205" width="11" style="89"/>
    <col min="8206" max="8206" width="11" style="89"/>
    <col min="8207" max="8207" width="11" style="89"/>
    <col min="8208" max="8208" width="11" style="89"/>
    <col min="8209" max="8209" width="11" style="89"/>
    <col min="8210" max="8210" width="11" style="89"/>
    <col min="8211" max="8211" width="11" style="89"/>
    <col min="8212" max="8212" width="11" style="89"/>
    <col min="8213" max="8213" width="11" style="89"/>
    <col min="8214" max="8214" width="11" style="89"/>
    <col min="8215" max="8215" width="11" style="89"/>
    <col min="8216" max="8216" width="11" style="89"/>
    <col min="8217" max="8217" width="11" style="89"/>
    <col min="8218" max="8218" width="11" style="89"/>
    <col min="8219" max="8219" width="11" style="89"/>
    <col min="8220" max="8220" width="11" style="89"/>
    <col min="8221" max="8221" width="11" style="89"/>
    <col min="8222" max="8222" width="11" style="89"/>
    <col min="8223" max="8223" width="11" style="89"/>
    <col min="8224" max="8224" width="11" style="89"/>
    <col min="8225" max="8225" width="11" style="89"/>
    <col min="8226" max="8226" width="11" style="89"/>
    <col min="8227" max="8227" width="11" style="89"/>
    <col min="8228" max="8228" width="11" style="89"/>
    <col min="8229" max="8229" width="11" style="89"/>
    <col min="8230" max="8230" width="11" style="89"/>
    <col min="8231" max="8231" width="11" style="89"/>
    <col min="8232" max="8232" width="11" style="89"/>
    <col min="8233" max="8233" width="11" style="89"/>
    <col min="8234" max="8234" width="11" style="89"/>
    <col min="8235" max="8235" width="11" style="89"/>
    <col min="8236" max="8236" width="11" style="89"/>
    <col min="8237" max="8237" width="11" style="89"/>
    <col min="8238" max="8238" width="11" style="89"/>
    <col min="8239" max="8239" width="11" style="89"/>
    <col min="8240" max="8240" width="11" style="89"/>
    <col min="8241" max="8241" width="11" style="89"/>
    <col min="8242" max="8242" width="11" style="89"/>
    <col min="8243" max="8243" width="11" style="89"/>
    <col min="8244" max="8244" width="11" style="89"/>
    <col min="8245" max="8245" width="11" style="89"/>
    <col min="8246" max="8246" width="11" style="89"/>
    <col min="8247" max="8247" width="11" style="89"/>
    <col min="8248" max="8248" width="11" style="89"/>
    <col min="8249" max="8249" width="11" style="89"/>
    <col min="8250" max="8250" width="11" style="89"/>
    <col min="8251" max="8251" width="11" style="89"/>
    <col min="8252" max="8252" width="11" style="89"/>
    <col min="8253" max="8253" width="11" style="89"/>
    <col min="8254" max="8254" width="11" style="89"/>
    <col min="8255" max="8255" width="11" style="89"/>
    <col min="8256" max="8256" width="11" style="89"/>
    <col min="8257" max="8257" width="11" style="89"/>
    <col min="8258" max="8258" width="11" style="89"/>
    <col min="8259" max="8259" width="11" style="89"/>
    <col min="8260" max="8260" width="11" style="89"/>
    <col min="8261" max="8261" width="11" style="89"/>
    <col min="8262" max="8262" width="11" style="89"/>
    <col min="8263" max="8263" width="11" style="89"/>
    <col min="8264" max="8264" width="11" style="89"/>
    <col min="8265" max="8265" width="11" style="89"/>
    <col min="8266" max="8266" width="11" style="89"/>
    <col min="8267" max="8267" width="11" style="89"/>
    <col min="8268" max="8268" width="11" style="89"/>
    <col min="8269" max="8269" width="11" style="89"/>
    <col min="8270" max="8270" width="11" style="89"/>
    <col min="8271" max="8271" width="11" style="89"/>
    <col min="8272" max="8272" width="11" style="89"/>
    <col min="8273" max="8273" width="11" style="89"/>
    <col min="8274" max="8274" width="11" style="89"/>
    <col min="8275" max="8275" width="11" style="89"/>
    <col min="8276" max="8276" width="11" style="89"/>
    <col min="8277" max="8277" width="11" style="89"/>
    <col min="8278" max="8278" width="11" style="89"/>
    <col min="8279" max="8279" width="11" style="89"/>
    <col min="8280" max="8280" width="11" style="89"/>
    <col min="8281" max="8281" width="11" style="89"/>
    <col min="8282" max="8282" width="11" style="89"/>
    <col min="8283" max="8283" width="11" style="89"/>
    <col min="8284" max="8284" width="11" style="89"/>
    <col min="8285" max="8285" width="11" style="89"/>
    <col min="8286" max="8286" width="11" style="89"/>
    <col min="8287" max="8287" width="11" style="89"/>
    <col min="8288" max="8288" width="11" style="89"/>
    <col min="8289" max="8289" width="11" style="89"/>
    <col min="8290" max="8290" width="11" style="89"/>
    <col min="8291" max="8291" width="11" style="89"/>
    <col min="8292" max="8292" width="11" style="89"/>
    <col min="8293" max="8293" width="11" style="89"/>
    <col min="8294" max="8294" width="11" style="89"/>
    <col min="8295" max="8295" width="11" style="89"/>
    <col min="8296" max="8296" width="11" style="89"/>
    <col min="8297" max="8297" width="11" style="89"/>
    <col min="8298" max="8298" width="11" style="89"/>
    <col min="8299" max="8299" width="11" style="89"/>
    <col min="8300" max="8300" width="11" style="89"/>
    <col min="8301" max="8301" width="11" style="89"/>
    <col min="8302" max="8302" width="11" style="89"/>
    <col min="8303" max="8303" width="11" style="89"/>
    <col min="8304" max="8304" width="11" style="89"/>
    <col min="8305" max="8305" width="11" style="89"/>
    <col min="8306" max="8306" width="11" style="89"/>
    <col min="8307" max="8307" width="11" style="89"/>
    <col min="8308" max="8308" width="11" style="89"/>
    <col min="8309" max="8309" width="11" style="89"/>
    <col min="8310" max="8310" width="11" style="89"/>
    <col min="8311" max="8311" width="11" style="89"/>
    <col min="8312" max="8312" width="11" style="89"/>
    <col min="8313" max="8313" width="11" style="89"/>
    <col min="8314" max="8314" width="11" style="89"/>
    <col min="8315" max="8315" width="11" style="89"/>
    <col min="8316" max="8316" width="11" style="89"/>
    <col min="8317" max="8317" width="11" style="89"/>
    <col min="8318" max="8318" width="11" style="89"/>
    <col min="8319" max="8319" width="11" style="89"/>
    <col min="8320" max="8320" width="11" style="89"/>
    <col min="8321" max="8321" width="11" style="89"/>
    <col min="8322" max="8322" width="11" style="89"/>
    <col min="8323" max="8323" width="11" style="89"/>
    <col min="8324" max="8324" width="11" style="89"/>
    <col min="8325" max="8325" width="11" style="89"/>
    <col min="8326" max="8326" width="11" style="89"/>
    <col min="8327" max="8327" width="11" style="89"/>
    <col min="8328" max="8328" width="11" style="89"/>
    <col min="8329" max="8329" width="11" style="89"/>
    <col min="8330" max="8330" width="11" style="89"/>
    <col min="8331" max="8331" width="11" style="89"/>
    <col min="8332" max="8332" width="11" style="89"/>
    <col min="8333" max="8333" width="11" style="89"/>
    <col min="8334" max="8334" width="11" style="89"/>
    <col min="8335" max="8335" width="11" style="89"/>
    <col min="8336" max="8336" width="11" style="89"/>
    <col min="8337" max="8337" width="11" style="89"/>
    <col min="8338" max="8338" width="11" style="89"/>
    <col min="8339" max="8339" width="11" style="89"/>
    <col min="8340" max="8340" width="11" style="89"/>
    <col min="8341" max="8341" width="11" style="89"/>
    <col min="8342" max="8342" width="11" style="89"/>
    <col min="8343" max="8343" width="11" style="89"/>
    <col min="8344" max="8344" width="11" style="89"/>
    <col min="8345" max="8345" width="11" style="89"/>
    <col min="8346" max="8346" width="11" style="89"/>
    <col min="8347" max="8347" width="11" style="89"/>
    <col min="8348" max="8348" width="11" style="89"/>
    <col min="8349" max="8349" width="11" style="89"/>
    <col min="8350" max="8350" width="11" style="89"/>
    <col min="8351" max="8351" width="11" style="89"/>
    <col min="8352" max="8352" width="11" style="89"/>
    <col min="8353" max="8353" width="11" style="89"/>
    <col min="8354" max="8354" width="11" style="89"/>
    <col min="8355" max="8355" width="11" style="89"/>
    <col min="8356" max="8356" width="11" style="89"/>
    <col min="8357" max="8357" width="11" style="89"/>
    <col min="8358" max="8358" width="11" style="89"/>
    <col min="8359" max="8359" width="11" style="89"/>
    <col min="8360" max="8360" width="11" style="89"/>
    <col min="8361" max="8361" width="11" style="89"/>
    <col min="8362" max="8362" width="11" style="89"/>
    <col min="8363" max="8363" width="11" style="89"/>
    <col min="8364" max="8364" width="11" style="89"/>
    <col min="8365" max="8365" width="11" style="89"/>
    <col min="8366" max="8366" width="11" style="89"/>
    <col min="8367" max="8367" width="11" style="89"/>
    <col min="8368" max="8368" width="11" style="89"/>
    <col min="8369" max="8369" width="11" style="89"/>
    <col min="8370" max="8370" width="11" style="89"/>
    <col min="8371" max="8371" width="11" style="89"/>
    <col min="8372" max="8372" width="11" style="89"/>
    <col min="8373" max="8373" width="11" style="89"/>
    <col min="8374" max="8374" width="11" style="89"/>
    <col min="8375" max="8375" width="11" style="89"/>
    <col min="8376" max="8376" width="11" style="89"/>
    <col min="8377" max="8377" width="11" style="89"/>
    <col min="8378" max="8378" width="11" style="89"/>
    <col min="8379" max="8379" width="11" style="89"/>
    <col min="8380" max="8380" width="11" style="89"/>
    <col min="8381" max="8381" width="11" style="89"/>
    <col min="8382" max="8382" width="11" style="89"/>
    <col min="8383" max="8383" width="11" style="89"/>
    <col min="8384" max="8384" width="11" style="89"/>
    <col min="8385" max="8385" width="11" style="89"/>
    <col min="8386" max="8386" width="11" style="89"/>
    <col min="8387" max="8387" width="11" style="89"/>
    <col min="8388" max="8388" width="11" style="89"/>
    <col min="8389" max="8389" width="11" style="89"/>
    <col min="8390" max="8390" width="11" style="89"/>
    <col min="8391" max="8391" width="11" style="89"/>
    <col min="8392" max="8392" width="11" style="89"/>
    <col min="8393" max="8393" width="11" style="89"/>
    <col min="8394" max="8394" width="11" style="89"/>
    <col min="8395" max="8395" width="11" style="89"/>
    <col min="8396" max="8396" width="11" style="89"/>
    <col min="8397" max="8397" width="11" style="89"/>
    <col min="8398" max="8398" width="11" style="89"/>
    <col min="8399" max="8399" width="11" style="89"/>
    <col min="8400" max="8400" width="11" style="89"/>
    <col min="8401" max="8401" width="11" style="89"/>
    <col min="8402" max="8402" width="11" style="89"/>
    <col min="8403" max="8403" width="11" style="89"/>
    <col min="8404" max="8404" width="11" style="89"/>
    <col min="8405" max="8405" width="11" style="89"/>
    <col min="8406" max="8406" width="11" style="89"/>
    <col min="8407" max="8407" width="11" style="89"/>
    <col min="8408" max="8408" width="11" style="89"/>
    <col min="8409" max="8409" width="11" style="89"/>
    <col min="8410" max="8410" width="11" style="89"/>
    <col min="8411" max="8411" width="11" style="89"/>
    <col min="8412" max="8412" width="11" style="89"/>
    <col min="8413" max="8413" width="11" style="89"/>
    <col min="8414" max="8414" width="11" style="89"/>
    <col min="8415" max="8415" width="11" style="89"/>
    <col min="8416" max="8416" width="11" style="89"/>
    <col min="8417" max="8417" width="11" style="89"/>
    <col min="8418" max="8418" width="11" style="89"/>
    <col min="8419" max="8419" width="11" style="89"/>
    <col min="8420" max="8420" width="11" style="89"/>
    <col min="8421" max="8421" width="11" style="89"/>
    <col min="8422" max="8422" width="11" style="89"/>
    <col min="8423" max="8423" width="11" style="89"/>
    <col min="8424" max="8424" width="11" style="89"/>
    <col min="8425" max="8425" width="11" style="89"/>
    <col min="8426" max="8426" width="11" style="89"/>
    <col min="8427" max="8427" width="11" style="89"/>
    <col min="8428" max="8428" width="11" style="89"/>
    <col min="8429" max="8429" width="11" style="89"/>
    <col min="8430" max="8430" width="11" style="89"/>
    <col min="8431" max="8431" width="11" style="89"/>
    <col min="8432" max="8432" width="11" style="89"/>
    <col min="8433" max="8433" width="11" style="89"/>
    <col min="8434" max="8434" width="11" style="89"/>
    <col min="8435" max="8435" width="11" style="89"/>
    <col min="8436" max="8436" width="11" style="89"/>
    <col min="8437" max="8437" width="11" style="89"/>
    <col min="8438" max="8438" width="11" style="89"/>
    <col min="8439" max="8439" width="11" style="89"/>
    <col min="8440" max="8440" width="11" style="89"/>
    <col min="8441" max="8441" width="11" style="89"/>
    <col min="8442" max="8442" width="11" style="89"/>
    <col min="8443" max="8443" width="11" style="89"/>
    <col min="8444" max="8444" width="11" style="89"/>
    <col min="8445" max="8445" width="11" style="89"/>
    <col min="8446" max="8446" width="11" style="89"/>
    <col min="8447" max="8447" width="11" style="89"/>
    <col min="8448" max="8448" width="11" style="89"/>
    <col min="8449" max="8449" width="10.140625" customWidth="true" style="89"/>
    <col min="8450" max="8450" width="10.140625" customWidth="true" style="89"/>
    <col min="8451" max="8451" width="10.140625" customWidth="true" style="89"/>
    <col min="8452" max="8452" width="10.140625" customWidth="true" style="89"/>
    <col min="8453" max="8453" width="10.140625" customWidth="true" style="89"/>
    <col min="8454" max="8454" width="10.140625" customWidth="true" style="89"/>
    <col min="8455" max="8455" width="10.140625" customWidth="true" style="89"/>
    <col min="8456" max="8456" width="10.140625" customWidth="true" style="89"/>
    <col min="8457" max="8457" width="10.140625" customWidth="true" style="89"/>
    <col min="8458" max="8458" width="11" style="89"/>
    <col min="8459" max="8459" width="11" style="89"/>
    <col min="8460" max="8460" width="11" style="89"/>
    <col min="8461" max="8461" width="11" style="89"/>
    <col min="8462" max="8462" width="11" style="89"/>
    <col min="8463" max="8463" width="11" style="89"/>
    <col min="8464" max="8464" width="11" style="89"/>
    <col min="8465" max="8465" width="11" style="89"/>
    <col min="8466" max="8466" width="11" style="89"/>
    <col min="8467" max="8467" width="11" style="89"/>
    <col min="8468" max="8468" width="11" style="89"/>
    <col min="8469" max="8469" width="11" style="89"/>
    <col min="8470" max="8470" width="11" style="89"/>
    <col min="8471" max="8471" width="11" style="89"/>
    <col min="8472" max="8472" width="11" style="89"/>
    <col min="8473" max="8473" width="11" style="89"/>
    <col min="8474" max="8474" width="11" style="89"/>
    <col min="8475" max="8475" width="11" style="89"/>
    <col min="8476" max="8476" width="11" style="89"/>
    <col min="8477" max="8477" width="11" style="89"/>
    <col min="8478" max="8478" width="11" style="89"/>
    <col min="8479" max="8479" width="11" style="89"/>
    <col min="8480" max="8480" width="11" style="89"/>
    <col min="8481" max="8481" width="11" style="89"/>
    <col min="8482" max="8482" width="11" style="89"/>
    <col min="8483" max="8483" width="11" style="89"/>
    <col min="8484" max="8484" width="11" style="89"/>
    <col min="8485" max="8485" width="11" style="89"/>
    <col min="8486" max="8486" width="11" style="89"/>
    <col min="8487" max="8487" width="11" style="89"/>
    <col min="8488" max="8488" width="11" style="89"/>
    <col min="8489" max="8489" width="11" style="89"/>
    <col min="8490" max="8490" width="11" style="89"/>
    <col min="8491" max="8491" width="11" style="89"/>
    <col min="8492" max="8492" width="11" style="89"/>
    <col min="8493" max="8493" width="11" style="89"/>
    <col min="8494" max="8494" width="11" style="89"/>
    <col min="8495" max="8495" width="11" style="89"/>
    <col min="8496" max="8496" width="11" style="89"/>
    <col min="8497" max="8497" width="11" style="89"/>
    <col min="8498" max="8498" width="11" style="89"/>
    <col min="8499" max="8499" width="11" style="89"/>
    <col min="8500" max="8500" width="11" style="89"/>
    <col min="8501" max="8501" width="11" style="89"/>
    <col min="8502" max="8502" width="11" style="89"/>
    <col min="8503" max="8503" width="11" style="89"/>
    <col min="8504" max="8504" width="11" style="89"/>
    <col min="8505" max="8505" width="11" style="89"/>
    <col min="8506" max="8506" width="11" style="89"/>
    <col min="8507" max="8507" width="11" style="89"/>
    <col min="8508" max="8508" width="11" style="89"/>
    <col min="8509" max="8509" width="11" style="89"/>
    <col min="8510" max="8510" width="11" style="89"/>
    <col min="8511" max="8511" width="11" style="89"/>
    <col min="8512" max="8512" width="11" style="89"/>
    <col min="8513" max="8513" width="11" style="89"/>
    <col min="8514" max="8514" width="11" style="89"/>
    <col min="8515" max="8515" width="11" style="89"/>
    <col min="8516" max="8516" width="11" style="89"/>
    <col min="8517" max="8517" width="11" style="89"/>
    <col min="8518" max="8518" width="11" style="89"/>
    <col min="8519" max="8519" width="11" style="89"/>
    <col min="8520" max="8520" width="11" style="89"/>
    <col min="8521" max="8521" width="11" style="89"/>
    <col min="8522" max="8522" width="11" style="89"/>
    <col min="8523" max="8523" width="11" style="89"/>
    <col min="8524" max="8524" width="11" style="89"/>
    <col min="8525" max="8525" width="11" style="89"/>
    <col min="8526" max="8526" width="11" style="89"/>
    <col min="8527" max="8527" width="11" style="89"/>
    <col min="8528" max="8528" width="11" style="89"/>
    <col min="8529" max="8529" width="11" style="89"/>
    <col min="8530" max="8530" width="11" style="89"/>
    <col min="8531" max="8531" width="11" style="89"/>
    <col min="8532" max="8532" width="11" style="89"/>
    <col min="8533" max="8533" width="11" style="89"/>
    <col min="8534" max="8534" width="11" style="89"/>
    <col min="8535" max="8535" width="11" style="89"/>
    <col min="8536" max="8536" width="11" style="89"/>
    <col min="8537" max="8537" width="11" style="89"/>
    <col min="8538" max="8538" width="11" style="89"/>
    <col min="8539" max="8539" width="11" style="89"/>
    <col min="8540" max="8540" width="11" style="89"/>
    <col min="8541" max="8541" width="11" style="89"/>
    <col min="8542" max="8542" width="11" style="89"/>
    <col min="8543" max="8543" width="11" style="89"/>
    <col min="8544" max="8544" width="11" style="89"/>
    <col min="8545" max="8545" width="11" style="89"/>
    <col min="8546" max="8546" width="11" style="89"/>
    <col min="8547" max="8547" width="11" style="89"/>
    <col min="8548" max="8548" width="11" style="89"/>
    <col min="8549" max="8549" width="11" style="89"/>
    <col min="8550" max="8550" width="11" style="89"/>
    <col min="8551" max="8551" width="11" style="89"/>
    <col min="8552" max="8552" width="11" style="89"/>
    <col min="8553" max="8553" width="11" style="89"/>
    <col min="8554" max="8554" width="11" style="89"/>
    <col min="8555" max="8555" width="11" style="89"/>
    <col min="8556" max="8556" width="11" style="89"/>
    <col min="8557" max="8557" width="11" style="89"/>
    <col min="8558" max="8558" width="11" style="89"/>
    <col min="8559" max="8559" width="11" style="89"/>
    <col min="8560" max="8560" width="11" style="89"/>
    <col min="8561" max="8561" width="11" style="89"/>
    <col min="8562" max="8562" width="11" style="89"/>
    <col min="8563" max="8563" width="11" style="89"/>
    <col min="8564" max="8564" width="11" style="89"/>
    <col min="8565" max="8565" width="11" style="89"/>
    <col min="8566" max="8566" width="11" style="89"/>
    <col min="8567" max="8567" width="11" style="89"/>
    <col min="8568" max="8568" width="11" style="89"/>
    <col min="8569" max="8569" width="11" style="89"/>
    <col min="8570" max="8570" width="11" style="89"/>
    <col min="8571" max="8571" width="11" style="89"/>
    <col min="8572" max="8572" width="11" style="89"/>
    <col min="8573" max="8573" width="11" style="89"/>
    <col min="8574" max="8574" width="11" style="89"/>
    <col min="8575" max="8575" width="11" style="89"/>
    <col min="8576" max="8576" width="11" style="89"/>
    <col min="8577" max="8577" width="11" style="89"/>
    <col min="8578" max="8578" width="11" style="89"/>
    <col min="8579" max="8579" width="11" style="89"/>
    <col min="8580" max="8580" width="11" style="89"/>
    <col min="8581" max="8581" width="11" style="89"/>
    <col min="8582" max="8582" width="11" style="89"/>
    <col min="8583" max="8583" width="11" style="89"/>
    <col min="8584" max="8584" width="11" style="89"/>
    <col min="8585" max="8585" width="11" style="89"/>
    <col min="8586" max="8586" width="11" style="89"/>
    <col min="8587" max="8587" width="11" style="89"/>
    <col min="8588" max="8588" width="11" style="89"/>
    <col min="8589" max="8589" width="11" style="89"/>
    <col min="8590" max="8590" width="11" style="89"/>
    <col min="8591" max="8591" width="11" style="89"/>
    <col min="8592" max="8592" width="11" style="89"/>
    <col min="8593" max="8593" width="11" style="89"/>
    <col min="8594" max="8594" width="11" style="89"/>
    <col min="8595" max="8595" width="11" style="89"/>
    <col min="8596" max="8596" width="11" style="89"/>
    <col min="8597" max="8597" width="11" style="89"/>
    <col min="8598" max="8598" width="11" style="89"/>
    <col min="8599" max="8599" width="11" style="89"/>
    <col min="8600" max="8600" width="11" style="89"/>
    <col min="8601" max="8601" width="11" style="89"/>
    <col min="8602" max="8602" width="11" style="89"/>
    <col min="8603" max="8603" width="11" style="89"/>
    <col min="8604" max="8604" width="11" style="89"/>
    <col min="8605" max="8605" width="11" style="89"/>
    <col min="8606" max="8606" width="11" style="89"/>
    <col min="8607" max="8607" width="11" style="89"/>
    <col min="8608" max="8608" width="11" style="89"/>
    <col min="8609" max="8609" width="11" style="89"/>
    <col min="8610" max="8610" width="11" style="89"/>
    <col min="8611" max="8611" width="11" style="89"/>
    <col min="8612" max="8612" width="11" style="89"/>
    <col min="8613" max="8613" width="11" style="89"/>
    <col min="8614" max="8614" width="11" style="89"/>
    <col min="8615" max="8615" width="11" style="89"/>
    <col min="8616" max="8616" width="11" style="89"/>
    <col min="8617" max="8617" width="11" style="89"/>
    <col min="8618" max="8618" width="11" style="89"/>
    <col min="8619" max="8619" width="11" style="89"/>
    <col min="8620" max="8620" width="11" style="89"/>
    <col min="8621" max="8621" width="11" style="89"/>
    <col min="8622" max="8622" width="11" style="89"/>
    <col min="8623" max="8623" width="11" style="89"/>
    <col min="8624" max="8624" width="11" style="89"/>
    <col min="8625" max="8625" width="11" style="89"/>
    <col min="8626" max="8626" width="11" style="89"/>
    <col min="8627" max="8627" width="11" style="89"/>
    <col min="8628" max="8628" width="11" style="89"/>
    <col min="8629" max="8629" width="11" style="89"/>
    <col min="8630" max="8630" width="11" style="89"/>
    <col min="8631" max="8631" width="11" style="89"/>
    <col min="8632" max="8632" width="11" style="89"/>
    <col min="8633" max="8633" width="11" style="89"/>
    <col min="8634" max="8634" width="11" style="89"/>
    <col min="8635" max="8635" width="11" style="89"/>
    <col min="8636" max="8636" width="11" style="89"/>
    <col min="8637" max="8637" width="11" style="89"/>
    <col min="8638" max="8638" width="11" style="89"/>
    <col min="8639" max="8639" width="11" style="89"/>
    <col min="8640" max="8640" width="11" style="89"/>
    <col min="8641" max="8641" width="11" style="89"/>
    <col min="8642" max="8642" width="11" style="89"/>
    <col min="8643" max="8643" width="11" style="89"/>
    <col min="8644" max="8644" width="11" style="89"/>
    <col min="8645" max="8645" width="11" style="89"/>
    <col min="8646" max="8646" width="11" style="89"/>
    <col min="8647" max="8647" width="11" style="89"/>
    <col min="8648" max="8648" width="11" style="89"/>
    <col min="8649" max="8649" width="11" style="89"/>
    <col min="8650" max="8650" width="11" style="89"/>
    <col min="8651" max="8651" width="11" style="89"/>
    <col min="8652" max="8652" width="11" style="89"/>
    <col min="8653" max="8653" width="11" style="89"/>
    <col min="8654" max="8654" width="11" style="89"/>
    <col min="8655" max="8655" width="11" style="89"/>
    <col min="8656" max="8656" width="11" style="89"/>
    <col min="8657" max="8657" width="11" style="89"/>
    <col min="8658" max="8658" width="11" style="89"/>
    <col min="8659" max="8659" width="11" style="89"/>
    <col min="8660" max="8660" width="11" style="89"/>
    <col min="8661" max="8661" width="11" style="89"/>
    <col min="8662" max="8662" width="11" style="89"/>
    <col min="8663" max="8663" width="11" style="89"/>
    <col min="8664" max="8664" width="11" style="89"/>
    <col min="8665" max="8665" width="11" style="89"/>
    <col min="8666" max="8666" width="11" style="89"/>
    <col min="8667" max="8667" width="11" style="89"/>
    <col min="8668" max="8668" width="11" style="89"/>
    <col min="8669" max="8669" width="11" style="89"/>
    <col min="8670" max="8670" width="11" style="89"/>
    <col min="8671" max="8671" width="11" style="89"/>
    <col min="8672" max="8672" width="11" style="89"/>
    <col min="8673" max="8673" width="11" style="89"/>
    <col min="8674" max="8674" width="11" style="89"/>
    <col min="8675" max="8675" width="11" style="89"/>
    <col min="8676" max="8676" width="11" style="89"/>
    <col min="8677" max="8677" width="11" style="89"/>
    <col min="8678" max="8678" width="11" style="89"/>
    <col min="8679" max="8679" width="11" style="89"/>
    <col min="8680" max="8680" width="11" style="89"/>
    <col min="8681" max="8681" width="11" style="89"/>
    <col min="8682" max="8682" width="11" style="89"/>
    <col min="8683" max="8683" width="11" style="89"/>
    <col min="8684" max="8684" width="11" style="89"/>
    <col min="8685" max="8685" width="11" style="89"/>
    <col min="8686" max="8686" width="11" style="89"/>
    <col min="8687" max="8687" width="11" style="89"/>
    <col min="8688" max="8688" width="11" style="89"/>
    <col min="8689" max="8689" width="11" style="89"/>
    <col min="8690" max="8690" width="11" style="89"/>
    <col min="8691" max="8691" width="11" style="89"/>
    <col min="8692" max="8692" width="11" style="89"/>
    <col min="8693" max="8693" width="11" style="89"/>
    <col min="8694" max="8694" width="11" style="89"/>
    <col min="8695" max="8695" width="11" style="89"/>
    <col min="8696" max="8696" width="11" style="89"/>
    <col min="8697" max="8697" width="11" style="89"/>
    <col min="8698" max="8698" width="11" style="89"/>
    <col min="8699" max="8699" width="11" style="89"/>
    <col min="8700" max="8700" width="11" style="89"/>
    <col min="8701" max="8701" width="11" style="89"/>
    <col min="8702" max="8702" width="11" style="89"/>
    <col min="8703" max="8703" width="11" style="89"/>
    <col min="8704" max="8704" width="11" style="89"/>
    <col min="8705" max="8705" width="10.140625" customWidth="true" style="89"/>
    <col min="8706" max="8706" width="10.140625" customWidth="true" style="89"/>
    <col min="8707" max="8707" width="10.140625" customWidth="true" style="89"/>
    <col min="8708" max="8708" width="10.140625" customWidth="true" style="89"/>
    <col min="8709" max="8709" width="10.140625" customWidth="true" style="89"/>
    <col min="8710" max="8710" width="10.140625" customWidth="true" style="89"/>
    <col min="8711" max="8711" width="10.140625" customWidth="true" style="89"/>
    <col min="8712" max="8712" width="10.140625" customWidth="true" style="89"/>
    <col min="8713" max="8713" width="10.140625" customWidth="true" style="89"/>
    <col min="8714" max="8714" width="11" style="89"/>
    <col min="8715" max="8715" width="11" style="89"/>
    <col min="8716" max="8716" width="11" style="89"/>
    <col min="8717" max="8717" width="11" style="89"/>
    <col min="8718" max="8718" width="11" style="89"/>
    <col min="8719" max="8719" width="11" style="89"/>
    <col min="8720" max="8720" width="11" style="89"/>
    <col min="8721" max="8721" width="11" style="89"/>
    <col min="8722" max="8722" width="11" style="89"/>
    <col min="8723" max="8723" width="11" style="89"/>
    <col min="8724" max="8724" width="11" style="89"/>
    <col min="8725" max="8725" width="11" style="89"/>
    <col min="8726" max="8726" width="11" style="89"/>
    <col min="8727" max="8727" width="11" style="89"/>
    <col min="8728" max="8728" width="11" style="89"/>
    <col min="8729" max="8729" width="11" style="89"/>
    <col min="8730" max="8730" width="11" style="89"/>
    <col min="8731" max="8731" width="11" style="89"/>
    <col min="8732" max="8732" width="11" style="89"/>
    <col min="8733" max="8733" width="11" style="89"/>
    <col min="8734" max="8734" width="11" style="89"/>
    <col min="8735" max="8735" width="11" style="89"/>
    <col min="8736" max="8736" width="11" style="89"/>
    <col min="8737" max="8737" width="11" style="89"/>
    <col min="8738" max="8738" width="11" style="89"/>
    <col min="8739" max="8739" width="11" style="89"/>
    <col min="8740" max="8740" width="11" style="89"/>
    <col min="8741" max="8741" width="11" style="89"/>
    <col min="8742" max="8742" width="11" style="89"/>
    <col min="8743" max="8743" width="11" style="89"/>
    <col min="8744" max="8744" width="11" style="89"/>
    <col min="8745" max="8745" width="11" style="89"/>
    <col min="8746" max="8746" width="11" style="89"/>
    <col min="8747" max="8747" width="11" style="89"/>
    <col min="8748" max="8748" width="11" style="89"/>
    <col min="8749" max="8749" width="11" style="89"/>
    <col min="8750" max="8750" width="11" style="89"/>
    <col min="8751" max="8751" width="11" style="89"/>
    <col min="8752" max="8752" width="11" style="89"/>
    <col min="8753" max="8753" width="11" style="89"/>
    <col min="8754" max="8754" width="11" style="89"/>
    <col min="8755" max="8755" width="11" style="89"/>
    <col min="8756" max="8756" width="11" style="89"/>
    <col min="8757" max="8757" width="11" style="89"/>
    <col min="8758" max="8758" width="11" style="89"/>
    <col min="8759" max="8759" width="11" style="89"/>
    <col min="8760" max="8760" width="11" style="89"/>
    <col min="8761" max="8761" width="11" style="89"/>
    <col min="8762" max="8762" width="11" style="89"/>
    <col min="8763" max="8763" width="11" style="89"/>
    <col min="8764" max="8764" width="11" style="89"/>
    <col min="8765" max="8765" width="11" style="89"/>
    <col min="8766" max="8766" width="11" style="89"/>
    <col min="8767" max="8767" width="11" style="89"/>
    <col min="8768" max="8768" width="11" style="89"/>
    <col min="8769" max="8769" width="11" style="89"/>
    <col min="8770" max="8770" width="11" style="89"/>
    <col min="8771" max="8771" width="11" style="89"/>
    <col min="8772" max="8772" width="11" style="89"/>
    <col min="8773" max="8773" width="11" style="89"/>
    <col min="8774" max="8774" width="11" style="89"/>
    <col min="8775" max="8775" width="11" style="89"/>
    <col min="8776" max="8776" width="11" style="89"/>
    <col min="8777" max="8777" width="11" style="89"/>
    <col min="8778" max="8778" width="11" style="89"/>
    <col min="8779" max="8779" width="11" style="89"/>
    <col min="8780" max="8780" width="11" style="89"/>
    <col min="8781" max="8781" width="11" style="89"/>
    <col min="8782" max="8782" width="11" style="89"/>
    <col min="8783" max="8783" width="11" style="89"/>
    <col min="8784" max="8784" width="11" style="89"/>
    <col min="8785" max="8785" width="11" style="89"/>
    <col min="8786" max="8786" width="11" style="89"/>
    <col min="8787" max="8787" width="11" style="89"/>
    <col min="8788" max="8788" width="11" style="89"/>
    <col min="8789" max="8789" width="11" style="89"/>
    <col min="8790" max="8790" width="11" style="89"/>
    <col min="8791" max="8791" width="11" style="89"/>
    <col min="8792" max="8792" width="11" style="89"/>
    <col min="8793" max="8793" width="11" style="89"/>
    <col min="8794" max="8794" width="11" style="89"/>
    <col min="8795" max="8795" width="11" style="89"/>
    <col min="8796" max="8796" width="11" style="89"/>
    <col min="8797" max="8797" width="11" style="89"/>
    <col min="8798" max="8798" width="11" style="89"/>
    <col min="8799" max="8799" width="11" style="89"/>
    <col min="8800" max="8800" width="11" style="89"/>
    <col min="8801" max="8801" width="11" style="89"/>
    <col min="8802" max="8802" width="11" style="89"/>
    <col min="8803" max="8803" width="11" style="89"/>
    <col min="8804" max="8804" width="11" style="89"/>
    <col min="8805" max="8805" width="11" style="89"/>
    <col min="8806" max="8806" width="11" style="89"/>
    <col min="8807" max="8807" width="11" style="89"/>
    <col min="8808" max="8808" width="11" style="89"/>
    <col min="8809" max="8809" width="11" style="89"/>
    <col min="8810" max="8810" width="11" style="89"/>
    <col min="8811" max="8811" width="11" style="89"/>
    <col min="8812" max="8812" width="11" style="89"/>
    <col min="8813" max="8813" width="11" style="89"/>
    <col min="8814" max="8814" width="11" style="89"/>
    <col min="8815" max="8815" width="11" style="89"/>
    <col min="8816" max="8816" width="11" style="89"/>
    <col min="8817" max="8817" width="11" style="89"/>
    <col min="8818" max="8818" width="11" style="89"/>
    <col min="8819" max="8819" width="11" style="89"/>
    <col min="8820" max="8820" width="11" style="89"/>
    <col min="8821" max="8821" width="11" style="89"/>
    <col min="8822" max="8822" width="11" style="89"/>
    <col min="8823" max="8823" width="11" style="89"/>
    <col min="8824" max="8824" width="11" style="89"/>
    <col min="8825" max="8825" width="11" style="89"/>
    <col min="8826" max="8826" width="11" style="89"/>
    <col min="8827" max="8827" width="11" style="89"/>
    <col min="8828" max="8828" width="11" style="89"/>
    <col min="8829" max="8829" width="11" style="89"/>
    <col min="8830" max="8830" width="11" style="89"/>
    <col min="8831" max="8831" width="11" style="89"/>
    <col min="8832" max="8832" width="11" style="89"/>
    <col min="8833" max="8833" width="11" style="89"/>
    <col min="8834" max="8834" width="11" style="89"/>
    <col min="8835" max="8835" width="11" style="89"/>
    <col min="8836" max="8836" width="11" style="89"/>
    <col min="8837" max="8837" width="11" style="89"/>
    <col min="8838" max="8838" width="11" style="89"/>
    <col min="8839" max="8839" width="11" style="89"/>
    <col min="8840" max="8840" width="11" style="89"/>
    <col min="8841" max="8841" width="11" style="89"/>
    <col min="8842" max="8842" width="11" style="89"/>
    <col min="8843" max="8843" width="11" style="89"/>
    <col min="8844" max="8844" width="11" style="89"/>
    <col min="8845" max="8845" width="11" style="89"/>
    <col min="8846" max="8846" width="11" style="89"/>
    <col min="8847" max="8847" width="11" style="89"/>
    <col min="8848" max="8848" width="11" style="89"/>
    <col min="8849" max="8849" width="11" style="89"/>
    <col min="8850" max="8850" width="11" style="89"/>
    <col min="8851" max="8851" width="11" style="89"/>
    <col min="8852" max="8852" width="11" style="89"/>
    <col min="8853" max="8853" width="11" style="89"/>
    <col min="8854" max="8854" width="11" style="89"/>
    <col min="8855" max="8855" width="11" style="89"/>
    <col min="8856" max="8856" width="11" style="89"/>
    <col min="8857" max="8857" width="11" style="89"/>
    <col min="8858" max="8858" width="11" style="89"/>
    <col min="8859" max="8859" width="11" style="89"/>
    <col min="8860" max="8860" width="11" style="89"/>
    <col min="8861" max="8861" width="11" style="89"/>
    <col min="8862" max="8862" width="11" style="89"/>
    <col min="8863" max="8863" width="11" style="89"/>
    <col min="8864" max="8864" width="11" style="89"/>
    <col min="8865" max="8865" width="11" style="89"/>
    <col min="8866" max="8866" width="11" style="89"/>
    <col min="8867" max="8867" width="11" style="89"/>
    <col min="8868" max="8868" width="11" style="89"/>
    <col min="8869" max="8869" width="11" style="89"/>
    <col min="8870" max="8870" width="11" style="89"/>
    <col min="8871" max="8871" width="11" style="89"/>
    <col min="8872" max="8872" width="11" style="89"/>
    <col min="8873" max="8873" width="11" style="89"/>
    <col min="8874" max="8874" width="11" style="89"/>
    <col min="8875" max="8875" width="11" style="89"/>
    <col min="8876" max="8876" width="11" style="89"/>
    <col min="8877" max="8877" width="11" style="89"/>
    <col min="8878" max="8878" width="11" style="89"/>
    <col min="8879" max="8879" width="11" style="89"/>
    <col min="8880" max="8880" width="11" style="89"/>
    <col min="8881" max="8881" width="11" style="89"/>
    <col min="8882" max="8882" width="11" style="89"/>
    <col min="8883" max="8883" width="11" style="89"/>
    <col min="8884" max="8884" width="11" style="89"/>
    <col min="8885" max="8885" width="11" style="89"/>
    <col min="8886" max="8886" width="11" style="89"/>
    <col min="8887" max="8887" width="11" style="89"/>
    <col min="8888" max="8888" width="11" style="89"/>
    <col min="8889" max="8889" width="11" style="89"/>
    <col min="8890" max="8890" width="11" style="89"/>
    <col min="8891" max="8891" width="11" style="89"/>
    <col min="8892" max="8892" width="11" style="89"/>
    <col min="8893" max="8893" width="11" style="89"/>
    <col min="8894" max="8894" width="11" style="89"/>
    <col min="8895" max="8895" width="11" style="89"/>
    <col min="8896" max="8896" width="11" style="89"/>
    <col min="8897" max="8897" width="11" style="89"/>
    <col min="8898" max="8898" width="11" style="89"/>
    <col min="8899" max="8899" width="11" style="89"/>
    <col min="8900" max="8900" width="11" style="89"/>
    <col min="8901" max="8901" width="11" style="89"/>
    <col min="8902" max="8902" width="11" style="89"/>
    <col min="8903" max="8903" width="11" style="89"/>
    <col min="8904" max="8904" width="11" style="89"/>
    <col min="8905" max="8905" width="11" style="89"/>
    <col min="8906" max="8906" width="11" style="89"/>
    <col min="8907" max="8907" width="11" style="89"/>
    <col min="8908" max="8908" width="11" style="89"/>
    <col min="8909" max="8909" width="11" style="89"/>
    <col min="8910" max="8910" width="11" style="89"/>
    <col min="8911" max="8911" width="11" style="89"/>
    <col min="8912" max="8912" width="11" style="89"/>
    <col min="8913" max="8913" width="11" style="89"/>
    <col min="8914" max="8914" width="11" style="89"/>
    <col min="8915" max="8915" width="11" style="89"/>
    <col min="8916" max="8916" width="11" style="89"/>
    <col min="8917" max="8917" width="11" style="89"/>
    <col min="8918" max="8918" width="11" style="89"/>
    <col min="8919" max="8919" width="11" style="89"/>
    <col min="8920" max="8920" width="11" style="89"/>
    <col min="8921" max="8921" width="11" style="89"/>
    <col min="8922" max="8922" width="11" style="89"/>
    <col min="8923" max="8923" width="11" style="89"/>
    <col min="8924" max="8924" width="11" style="89"/>
    <col min="8925" max="8925" width="11" style="89"/>
    <col min="8926" max="8926" width="11" style="89"/>
    <col min="8927" max="8927" width="11" style="89"/>
    <col min="8928" max="8928" width="11" style="89"/>
    <col min="8929" max="8929" width="11" style="89"/>
    <col min="8930" max="8930" width="11" style="89"/>
    <col min="8931" max="8931" width="11" style="89"/>
    <col min="8932" max="8932" width="11" style="89"/>
    <col min="8933" max="8933" width="11" style="89"/>
    <col min="8934" max="8934" width="11" style="89"/>
    <col min="8935" max="8935" width="11" style="89"/>
    <col min="8936" max="8936" width="11" style="89"/>
    <col min="8937" max="8937" width="11" style="89"/>
    <col min="8938" max="8938" width="11" style="89"/>
    <col min="8939" max="8939" width="11" style="89"/>
    <col min="8940" max="8940" width="11" style="89"/>
    <col min="8941" max="8941" width="11" style="89"/>
    <col min="8942" max="8942" width="11" style="89"/>
    <col min="8943" max="8943" width="11" style="89"/>
    <col min="8944" max="8944" width="11" style="89"/>
    <col min="8945" max="8945" width="11" style="89"/>
    <col min="8946" max="8946" width="11" style="89"/>
    <col min="8947" max="8947" width="11" style="89"/>
    <col min="8948" max="8948" width="11" style="89"/>
    <col min="8949" max="8949" width="11" style="89"/>
    <col min="8950" max="8950" width="11" style="89"/>
    <col min="8951" max="8951" width="11" style="89"/>
    <col min="8952" max="8952" width="11" style="89"/>
    <col min="8953" max="8953" width="11" style="89"/>
    <col min="8954" max="8954" width="11" style="89"/>
    <col min="8955" max="8955" width="11" style="89"/>
    <col min="8956" max="8956" width="11" style="89"/>
    <col min="8957" max="8957" width="11" style="89"/>
    <col min="8958" max="8958" width="11" style="89"/>
    <col min="8959" max="8959" width="11" style="89"/>
    <col min="8960" max="8960" width="11" style="89"/>
    <col min="8961" max="8961" width="10.140625" customWidth="true" style="89"/>
    <col min="8962" max="8962" width="10.140625" customWidth="true" style="89"/>
    <col min="8963" max="8963" width="10.140625" customWidth="true" style="89"/>
    <col min="8964" max="8964" width="10.140625" customWidth="true" style="89"/>
    <col min="8965" max="8965" width="10.140625" customWidth="true" style="89"/>
    <col min="8966" max="8966" width="10.140625" customWidth="true" style="89"/>
    <col min="8967" max="8967" width="10.140625" customWidth="true" style="89"/>
    <col min="8968" max="8968" width="10.140625" customWidth="true" style="89"/>
    <col min="8969" max="8969" width="10.140625" customWidth="true" style="89"/>
    <col min="8970" max="8970" width="11" style="89"/>
    <col min="8971" max="8971" width="11" style="89"/>
    <col min="8972" max="8972" width="11" style="89"/>
    <col min="8973" max="8973" width="11" style="89"/>
    <col min="8974" max="8974" width="11" style="89"/>
    <col min="8975" max="8975" width="11" style="89"/>
    <col min="8976" max="8976" width="11" style="89"/>
    <col min="8977" max="8977" width="11" style="89"/>
    <col min="8978" max="8978" width="11" style="89"/>
    <col min="8979" max="8979" width="11" style="89"/>
    <col min="8980" max="8980" width="11" style="89"/>
    <col min="8981" max="8981" width="11" style="89"/>
    <col min="8982" max="8982" width="11" style="89"/>
    <col min="8983" max="8983" width="11" style="89"/>
    <col min="8984" max="8984" width="11" style="89"/>
    <col min="8985" max="8985" width="11" style="89"/>
    <col min="8986" max="8986" width="11" style="89"/>
    <col min="8987" max="8987" width="11" style="89"/>
    <col min="8988" max="8988" width="11" style="89"/>
    <col min="8989" max="8989" width="11" style="89"/>
    <col min="8990" max="8990" width="11" style="89"/>
    <col min="8991" max="8991" width="11" style="89"/>
    <col min="8992" max="8992" width="11" style="89"/>
    <col min="8993" max="8993" width="11" style="89"/>
    <col min="8994" max="8994" width="11" style="89"/>
    <col min="8995" max="8995" width="11" style="89"/>
    <col min="8996" max="8996" width="11" style="89"/>
    <col min="8997" max="8997" width="11" style="89"/>
    <col min="8998" max="8998" width="11" style="89"/>
    <col min="8999" max="8999" width="11" style="89"/>
    <col min="9000" max="9000" width="11" style="89"/>
    <col min="9001" max="9001" width="11" style="89"/>
    <col min="9002" max="9002" width="11" style="89"/>
    <col min="9003" max="9003" width="11" style="89"/>
    <col min="9004" max="9004" width="11" style="89"/>
    <col min="9005" max="9005" width="11" style="89"/>
    <col min="9006" max="9006" width="11" style="89"/>
    <col min="9007" max="9007" width="11" style="89"/>
    <col min="9008" max="9008" width="11" style="89"/>
    <col min="9009" max="9009" width="11" style="89"/>
    <col min="9010" max="9010" width="11" style="89"/>
    <col min="9011" max="9011" width="11" style="89"/>
    <col min="9012" max="9012" width="11" style="89"/>
    <col min="9013" max="9013" width="11" style="89"/>
    <col min="9014" max="9014" width="11" style="89"/>
    <col min="9015" max="9015" width="11" style="89"/>
    <col min="9016" max="9016" width="11" style="89"/>
    <col min="9017" max="9017" width="11" style="89"/>
    <col min="9018" max="9018" width="11" style="89"/>
    <col min="9019" max="9019" width="11" style="89"/>
    <col min="9020" max="9020" width="11" style="89"/>
    <col min="9021" max="9021" width="11" style="89"/>
    <col min="9022" max="9022" width="11" style="89"/>
    <col min="9023" max="9023" width="11" style="89"/>
    <col min="9024" max="9024" width="11" style="89"/>
    <col min="9025" max="9025" width="11" style="89"/>
    <col min="9026" max="9026" width="11" style="89"/>
    <col min="9027" max="9027" width="11" style="89"/>
    <col min="9028" max="9028" width="11" style="89"/>
    <col min="9029" max="9029" width="11" style="89"/>
    <col min="9030" max="9030" width="11" style="89"/>
    <col min="9031" max="9031" width="11" style="89"/>
    <col min="9032" max="9032" width="11" style="89"/>
    <col min="9033" max="9033" width="11" style="89"/>
    <col min="9034" max="9034" width="11" style="89"/>
    <col min="9035" max="9035" width="11" style="89"/>
    <col min="9036" max="9036" width="11" style="89"/>
    <col min="9037" max="9037" width="11" style="89"/>
    <col min="9038" max="9038" width="11" style="89"/>
    <col min="9039" max="9039" width="11" style="89"/>
    <col min="9040" max="9040" width="11" style="89"/>
    <col min="9041" max="9041" width="11" style="89"/>
    <col min="9042" max="9042" width="11" style="89"/>
    <col min="9043" max="9043" width="11" style="89"/>
    <col min="9044" max="9044" width="11" style="89"/>
    <col min="9045" max="9045" width="11" style="89"/>
    <col min="9046" max="9046" width="11" style="89"/>
    <col min="9047" max="9047" width="11" style="89"/>
    <col min="9048" max="9048" width="11" style="89"/>
    <col min="9049" max="9049" width="11" style="89"/>
    <col min="9050" max="9050" width="11" style="89"/>
    <col min="9051" max="9051" width="11" style="89"/>
    <col min="9052" max="9052" width="11" style="89"/>
    <col min="9053" max="9053" width="11" style="89"/>
    <col min="9054" max="9054" width="11" style="89"/>
    <col min="9055" max="9055" width="11" style="89"/>
    <col min="9056" max="9056" width="11" style="89"/>
    <col min="9057" max="9057" width="11" style="89"/>
    <col min="9058" max="9058" width="11" style="89"/>
    <col min="9059" max="9059" width="11" style="89"/>
    <col min="9060" max="9060" width="11" style="89"/>
    <col min="9061" max="9061" width="11" style="89"/>
    <col min="9062" max="9062" width="11" style="89"/>
    <col min="9063" max="9063" width="11" style="89"/>
    <col min="9064" max="9064" width="11" style="89"/>
    <col min="9065" max="9065" width="11" style="89"/>
    <col min="9066" max="9066" width="11" style="89"/>
    <col min="9067" max="9067" width="11" style="89"/>
    <col min="9068" max="9068" width="11" style="89"/>
    <col min="9069" max="9069" width="11" style="89"/>
    <col min="9070" max="9070" width="11" style="89"/>
    <col min="9071" max="9071" width="11" style="89"/>
    <col min="9072" max="9072" width="11" style="89"/>
    <col min="9073" max="9073" width="11" style="89"/>
    <col min="9074" max="9074" width="11" style="89"/>
    <col min="9075" max="9075" width="11" style="89"/>
    <col min="9076" max="9076" width="11" style="89"/>
    <col min="9077" max="9077" width="11" style="89"/>
    <col min="9078" max="9078" width="11" style="89"/>
    <col min="9079" max="9079" width="11" style="89"/>
    <col min="9080" max="9080" width="11" style="89"/>
    <col min="9081" max="9081" width="11" style="89"/>
    <col min="9082" max="9082" width="11" style="89"/>
    <col min="9083" max="9083" width="11" style="89"/>
    <col min="9084" max="9084" width="11" style="89"/>
    <col min="9085" max="9085" width="11" style="89"/>
    <col min="9086" max="9086" width="11" style="89"/>
    <col min="9087" max="9087" width="11" style="89"/>
    <col min="9088" max="9088" width="11" style="89"/>
    <col min="9089" max="9089" width="11" style="89"/>
    <col min="9090" max="9090" width="11" style="89"/>
    <col min="9091" max="9091" width="11" style="89"/>
    <col min="9092" max="9092" width="11" style="89"/>
    <col min="9093" max="9093" width="11" style="89"/>
    <col min="9094" max="9094" width="11" style="89"/>
    <col min="9095" max="9095" width="11" style="89"/>
    <col min="9096" max="9096" width="11" style="89"/>
    <col min="9097" max="9097" width="11" style="89"/>
    <col min="9098" max="9098" width="11" style="89"/>
    <col min="9099" max="9099" width="11" style="89"/>
    <col min="9100" max="9100" width="11" style="89"/>
    <col min="9101" max="9101" width="11" style="89"/>
    <col min="9102" max="9102" width="11" style="89"/>
    <col min="9103" max="9103" width="11" style="89"/>
    <col min="9104" max="9104" width="11" style="89"/>
    <col min="9105" max="9105" width="11" style="89"/>
    <col min="9106" max="9106" width="11" style="89"/>
    <col min="9107" max="9107" width="11" style="89"/>
    <col min="9108" max="9108" width="11" style="89"/>
    <col min="9109" max="9109" width="11" style="89"/>
    <col min="9110" max="9110" width="11" style="89"/>
    <col min="9111" max="9111" width="11" style="89"/>
    <col min="9112" max="9112" width="11" style="89"/>
    <col min="9113" max="9113" width="11" style="89"/>
    <col min="9114" max="9114" width="11" style="89"/>
    <col min="9115" max="9115" width="11" style="89"/>
    <col min="9116" max="9116" width="11" style="89"/>
    <col min="9117" max="9117" width="11" style="89"/>
    <col min="9118" max="9118" width="11" style="89"/>
    <col min="9119" max="9119" width="11" style="89"/>
    <col min="9120" max="9120" width="11" style="89"/>
    <col min="9121" max="9121" width="11" style="89"/>
    <col min="9122" max="9122" width="11" style="89"/>
    <col min="9123" max="9123" width="11" style="89"/>
    <col min="9124" max="9124" width="11" style="89"/>
    <col min="9125" max="9125" width="11" style="89"/>
    <col min="9126" max="9126" width="11" style="89"/>
    <col min="9127" max="9127" width="11" style="89"/>
    <col min="9128" max="9128" width="11" style="89"/>
    <col min="9129" max="9129" width="11" style="89"/>
    <col min="9130" max="9130" width="11" style="89"/>
    <col min="9131" max="9131" width="11" style="89"/>
    <col min="9132" max="9132" width="11" style="89"/>
    <col min="9133" max="9133" width="11" style="89"/>
    <col min="9134" max="9134" width="11" style="89"/>
    <col min="9135" max="9135" width="11" style="89"/>
    <col min="9136" max="9136" width="11" style="89"/>
    <col min="9137" max="9137" width="11" style="89"/>
    <col min="9138" max="9138" width="11" style="89"/>
    <col min="9139" max="9139" width="11" style="89"/>
    <col min="9140" max="9140" width="11" style="89"/>
    <col min="9141" max="9141" width="11" style="89"/>
    <col min="9142" max="9142" width="11" style="89"/>
    <col min="9143" max="9143" width="11" style="89"/>
    <col min="9144" max="9144" width="11" style="89"/>
    <col min="9145" max="9145" width="11" style="89"/>
    <col min="9146" max="9146" width="11" style="89"/>
    <col min="9147" max="9147" width="11" style="89"/>
    <col min="9148" max="9148" width="11" style="89"/>
    <col min="9149" max="9149" width="11" style="89"/>
    <col min="9150" max="9150" width="11" style="89"/>
    <col min="9151" max="9151" width="11" style="89"/>
    <col min="9152" max="9152" width="11" style="89"/>
    <col min="9153" max="9153" width="11" style="89"/>
    <col min="9154" max="9154" width="11" style="89"/>
    <col min="9155" max="9155" width="11" style="89"/>
    <col min="9156" max="9156" width="11" style="89"/>
    <col min="9157" max="9157" width="11" style="89"/>
    <col min="9158" max="9158" width="11" style="89"/>
    <col min="9159" max="9159" width="11" style="89"/>
    <col min="9160" max="9160" width="11" style="89"/>
    <col min="9161" max="9161" width="11" style="89"/>
    <col min="9162" max="9162" width="11" style="89"/>
    <col min="9163" max="9163" width="11" style="89"/>
    <col min="9164" max="9164" width="11" style="89"/>
    <col min="9165" max="9165" width="11" style="89"/>
    <col min="9166" max="9166" width="11" style="89"/>
    <col min="9167" max="9167" width="11" style="89"/>
    <col min="9168" max="9168" width="11" style="89"/>
    <col min="9169" max="9169" width="11" style="89"/>
    <col min="9170" max="9170" width="11" style="89"/>
    <col min="9171" max="9171" width="11" style="89"/>
    <col min="9172" max="9172" width="11" style="89"/>
    <col min="9173" max="9173" width="11" style="89"/>
    <col min="9174" max="9174" width="11" style="89"/>
    <col min="9175" max="9175" width="11" style="89"/>
    <col min="9176" max="9176" width="11" style="89"/>
    <col min="9177" max="9177" width="11" style="89"/>
    <col min="9178" max="9178" width="11" style="89"/>
    <col min="9179" max="9179" width="11" style="89"/>
    <col min="9180" max="9180" width="11" style="89"/>
    <col min="9181" max="9181" width="11" style="89"/>
    <col min="9182" max="9182" width="11" style="89"/>
    <col min="9183" max="9183" width="11" style="89"/>
    <col min="9184" max="9184" width="11" style="89"/>
    <col min="9185" max="9185" width="11" style="89"/>
    <col min="9186" max="9186" width="11" style="89"/>
    <col min="9187" max="9187" width="11" style="89"/>
    <col min="9188" max="9188" width="11" style="89"/>
    <col min="9189" max="9189" width="11" style="89"/>
    <col min="9190" max="9190" width="11" style="89"/>
    <col min="9191" max="9191" width="11" style="89"/>
    <col min="9192" max="9192" width="11" style="89"/>
    <col min="9193" max="9193" width="11" style="89"/>
    <col min="9194" max="9194" width="11" style="89"/>
    <col min="9195" max="9195" width="11" style="89"/>
    <col min="9196" max="9196" width="11" style="89"/>
    <col min="9197" max="9197" width="11" style="89"/>
    <col min="9198" max="9198" width="11" style="89"/>
    <col min="9199" max="9199" width="11" style="89"/>
    <col min="9200" max="9200" width="11" style="89"/>
    <col min="9201" max="9201" width="11" style="89"/>
    <col min="9202" max="9202" width="11" style="89"/>
    <col min="9203" max="9203" width="11" style="89"/>
    <col min="9204" max="9204" width="11" style="89"/>
    <col min="9205" max="9205" width="11" style="89"/>
    <col min="9206" max="9206" width="11" style="89"/>
    <col min="9207" max="9207" width="11" style="89"/>
    <col min="9208" max="9208" width="11" style="89"/>
    <col min="9209" max="9209" width="11" style="89"/>
    <col min="9210" max="9210" width="11" style="89"/>
    <col min="9211" max="9211" width="11" style="89"/>
    <col min="9212" max="9212" width="11" style="89"/>
    <col min="9213" max="9213" width="11" style="89"/>
    <col min="9214" max="9214" width="11" style="89"/>
    <col min="9215" max="9215" width="11" style="89"/>
    <col min="9216" max="9216" width="11" style="89"/>
    <col min="9217" max="9217" width="10.140625" customWidth="true" style="89"/>
    <col min="9218" max="9218" width="10.140625" customWidth="true" style="89"/>
    <col min="9219" max="9219" width="10.140625" customWidth="true" style="89"/>
    <col min="9220" max="9220" width="10.140625" customWidth="true" style="89"/>
    <col min="9221" max="9221" width="10.140625" customWidth="true" style="89"/>
    <col min="9222" max="9222" width="10.140625" customWidth="true" style="89"/>
    <col min="9223" max="9223" width="10.140625" customWidth="true" style="89"/>
    <col min="9224" max="9224" width="10.140625" customWidth="true" style="89"/>
    <col min="9225" max="9225" width="10.140625" customWidth="true" style="89"/>
    <col min="9226" max="9226" width="11" style="89"/>
    <col min="9227" max="9227" width="11" style="89"/>
    <col min="9228" max="9228" width="11" style="89"/>
    <col min="9229" max="9229" width="11" style="89"/>
    <col min="9230" max="9230" width="11" style="89"/>
    <col min="9231" max="9231" width="11" style="89"/>
    <col min="9232" max="9232" width="11" style="89"/>
    <col min="9233" max="9233" width="11" style="89"/>
    <col min="9234" max="9234" width="11" style="89"/>
    <col min="9235" max="9235" width="11" style="89"/>
    <col min="9236" max="9236" width="11" style="89"/>
    <col min="9237" max="9237" width="11" style="89"/>
    <col min="9238" max="9238" width="11" style="89"/>
    <col min="9239" max="9239" width="11" style="89"/>
    <col min="9240" max="9240" width="11" style="89"/>
    <col min="9241" max="9241" width="11" style="89"/>
    <col min="9242" max="9242" width="11" style="89"/>
    <col min="9243" max="9243" width="11" style="89"/>
    <col min="9244" max="9244" width="11" style="89"/>
    <col min="9245" max="9245" width="11" style="89"/>
    <col min="9246" max="9246" width="11" style="89"/>
    <col min="9247" max="9247" width="11" style="89"/>
    <col min="9248" max="9248" width="11" style="89"/>
    <col min="9249" max="9249" width="11" style="89"/>
    <col min="9250" max="9250" width="11" style="89"/>
    <col min="9251" max="9251" width="11" style="89"/>
    <col min="9252" max="9252" width="11" style="89"/>
    <col min="9253" max="9253" width="11" style="89"/>
    <col min="9254" max="9254" width="11" style="89"/>
    <col min="9255" max="9255" width="11" style="89"/>
    <col min="9256" max="9256" width="11" style="89"/>
    <col min="9257" max="9257" width="11" style="89"/>
    <col min="9258" max="9258" width="11" style="89"/>
    <col min="9259" max="9259" width="11" style="89"/>
    <col min="9260" max="9260" width="11" style="89"/>
    <col min="9261" max="9261" width="11" style="89"/>
    <col min="9262" max="9262" width="11" style="89"/>
    <col min="9263" max="9263" width="11" style="89"/>
    <col min="9264" max="9264" width="11" style="89"/>
    <col min="9265" max="9265" width="11" style="89"/>
    <col min="9266" max="9266" width="11" style="89"/>
    <col min="9267" max="9267" width="11" style="89"/>
    <col min="9268" max="9268" width="11" style="89"/>
    <col min="9269" max="9269" width="11" style="89"/>
    <col min="9270" max="9270" width="11" style="89"/>
    <col min="9271" max="9271" width="11" style="89"/>
    <col min="9272" max="9272" width="11" style="89"/>
    <col min="9273" max="9273" width="11" style="89"/>
    <col min="9274" max="9274" width="11" style="89"/>
    <col min="9275" max="9275" width="11" style="89"/>
    <col min="9276" max="9276" width="11" style="89"/>
    <col min="9277" max="9277" width="11" style="89"/>
    <col min="9278" max="9278" width="11" style="89"/>
    <col min="9279" max="9279" width="11" style="89"/>
    <col min="9280" max="9280" width="11" style="89"/>
    <col min="9281" max="9281" width="11" style="89"/>
    <col min="9282" max="9282" width="11" style="89"/>
    <col min="9283" max="9283" width="11" style="89"/>
    <col min="9284" max="9284" width="11" style="89"/>
    <col min="9285" max="9285" width="11" style="89"/>
    <col min="9286" max="9286" width="11" style="89"/>
    <col min="9287" max="9287" width="11" style="89"/>
    <col min="9288" max="9288" width="11" style="89"/>
    <col min="9289" max="9289" width="11" style="89"/>
    <col min="9290" max="9290" width="11" style="89"/>
    <col min="9291" max="9291" width="11" style="89"/>
    <col min="9292" max="9292" width="11" style="89"/>
    <col min="9293" max="9293" width="11" style="89"/>
    <col min="9294" max="9294" width="11" style="89"/>
    <col min="9295" max="9295" width="11" style="89"/>
    <col min="9296" max="9296" width="11" style="89"/>
    <col min="9297" max="9297" width="11" style="89"/>
    <col min="9298" max="9298" width="11" style="89"/>
    <col min="9299" max="9299" width="11" style="89"/>
    <col min="9300" max="9300" width="11" style="89"/>
    <col min="9301" max="9301" width="11" style="89"/>
    <col min="9302" max="9302" width="11" style="89"/>
    <col min="9303" max="9303" width="11" style="89"/>
    <col min="9304" max="9304" width="11" style="89"/>
    <col min="9305" max="9305" width="11" style="89"/>
    <col min="9306" max="9306" width="11" style="89"/>
    <col min="9307" max="9307" width="11" style="89"/>
    <col min="9308" max="9308" width="11" style="89"/>
    <col min="9309" max="9309" width="11" style="89"/>
    <col min="9310" max="9310" width="11" style="89"/>
    <col min="9311" max="9311" width="11" style="89"/>
    <col min="9312" max="9312" width="11" style="89"/>
    <col min="9313" max="9313" width="11" style="89"/>
    <col min="9314" max="9314" width="11" style="89"/>
    <col min="9315" max="9315" width="11" style="89"/>
    <col min="9316" max="9316" width="11" style="89"/>
    <col min="9317" max="9317" width="11" style="89"/>
    <col min="9318" max="9318" width="11" style="89"/>
    <col min="9319" max="9319" width="11" style="89"/>
    <col min="9320" max="9320" width="11" style="89"/>
    <col min="9321" max="9321" width="11" style="89"/>
    <col min="9322" max="9322" width="11" style="89"/>
    <col min="9323" max="9323" width="11" style="89"/>
    <col min="9324" max="9324" width="11" style="89"/>
    <col min="9325" max="9325" width="11" style="89"/>
    <col min="9326" max="9326" width="11" style="89"/>
    <col min="9327" max="9327" width="11" style="89"/>
    <col min="9328" max="9328" width="11" style="89"/>
    <col min="9329" max="9329" width="11" style="89"/>
    <col min="9330" max="9330" width="11" style="89"/>
    <col min="9331" max="9331" width="11" style="89"/>
    <col min="9332" max="9332" width="11" style="89"/>
    <col min="9333" max="9333" width="11" style="89"/>
    <col min="9334" max="9334" width="11" style="89"/>
    <col min="9335" max="9335" width="11" style="89"/>
    <col min="9336" max="9336" width="11" style="89"/>
    <col min="9337" max="9337" width="11" style="89"/>
    <col min="9338" max="9338" width="11" style="89"/>
    <col min="9339" max="9339" width="11" style="89"/>
    <col min="9340" max="9340" width="11" style="89"/>
    <col min="9341" max="9341" width="11" style="89"/>
    <col min="9342" max="9342" width="11" style="89"/>
    <col min="9343" max="9343" width="11" style="89"/>
    <col min="9344" max="9344" width="11" style="89"/>
    <col min="9345" max="9345" width="11" style="89"/>
    <col min="9346" max="9346" width="11" style="89"/>
    <col min="9347" max="9347" width="11" style="89"/>
    <col min="9348" max="9348" width="11" style="89"/>
    <col min="9349" max="9349" width="11" style="89"/>
    <col min="9350" max="9350" width="11" style="89"/>
    <col min="9351" max="9351" width="11" style="89"/>
    <col min="9352" max="9352" width="11" style="89"/>
    <col min="9353" max="9353" width="11" style="89"/>
    <col min="9354" max="9354" width="11" style="89"/>
    <col min="9355" max="9355" width="11" style="89"/>
    <col min="9356" max="9356" width="11" style="89"/>
    <col min="9357" max="9357" width="11" style="89"/>
    <col min="9358" max="9358" width="11" style="89"/>
    <col min="9359" max="9359" width="11" style="89"/>
    <col min="9360" max="9360" width="11" style="89"/>
    <col min="9361" max="9361" width="11" style="89"/>
    <col min="9362" max="9362" width="11" style="89"/>
    <col min="9363" max="9363" width="11" style="89"/>
    <col min="9364" max="9364" width="11" style="89"/>
    <col min="9365" max="9365" width="11" style="89"/>
    <col min="9366" max="9366" width="11" style="89"/>
    <col min="9367" max="9367" width="11" style="89"/>
    <col min="9368" max="9368" width="11" style="89"/>
    <col min="9369" max="9369" width="11" style="89"/>
    <col min="9370" max="9370" width="11" style="89"/>
    <col min="9371" max="9371" width="11" style="89"/>
    <col min="9372" max="9372" width="11" style="89"/>
    <col min="9373" max="9373" width="11" style="89"/>
    <col min="9374" max="9374" width="11" style="89"/>
    <col min="9375" max="9375" width="11" style="89"/>
    <col min="9376" max="9376" width="11" style="89"/>
    <col min="9377" max="9377" width="11" style="89"/>
    <col min="9378" max="9378" width="11" style="89"/>
    <col min="9379" max="9379" width="11" style="89"/>
    <col min="9380" max="9380" width="11" style="89"/>
    <col min="9381" max="9381" width="11" style="89"/>
    <col min="9382" max="9382" width="11" style="89"/>
    <col min="9383" max="9383" width="11" style="89"/>
    <col min="9384" max="9384" width="11" style="89"/>
    <col min="9385" max="9385" width="11" style="89"/>
    <col min="9386" max="9386" width="11" style="89"/>
    <col min="9387" max="9387" width="11" style="89"/>
    <col min="9388" max="9388" width="11" style="89"/>
    <col min="9389" max="9389" width="11" style="89"/>
    <col min="9390" max="9390" width="11" style="89"/>
    <col min="9391" max="9391" width="11" style="89"/>
    <col min="9392" max="9392" width="11" style="89"/>
    <col min="9393" max="9393" width="11" style="89"/>
    <col min="9394" max="9394" width="11" style="89"/>
    <col min="9395" max="9395" width="11" style="89"/>
    <col min="9396" max="9396" width="11" style="89"/>
    <col min="9397" max="9397" width="11" style="89"/>
    <col min="9398" max="9398" width="11" style="89"/>
    <col min="9399" max="9399" width="11" style="89"/>
    <col min="9400" max="9400" width="11" style="89"/>
    <col min="9401" max="9401" width="11" style="89"/>
    <col min="9402" max="9402" width="11" style="89"/>
    <col min="9403" max="9403" width="11" style="89"/>
    <col min="9404" max="9404" width="11" style="89"/>
    <col min="9405" max="9405" width="11" style="89"/>
    <col min="9406" max="9406" width="11" style="89"/>
    <col min="9407" max="9407" width="11" style="89"/>
    <col min="9408" max="9408" width="11" style="89"/>
    <col min="9409" max="9409" width="11" style="89"/>
    <col min="9410" max="9410" width="11" style="89"/>
    <col min="9411" max="9411" width="11" style="89"/>
    <col min="9412" max="9412" width="11" style="89"/>
    <col min="9413" max="9413" width="11" style="89"/>
    <col min="9414" max="9414" width="11" style="89"/>
    <col min="9415" max="9415" width="11" style="89"/>
    <col min="9416" max="9416" width="11" style="89"/>
    <col min="9417" max="9417" width="11" style="89"/>
    <col min="9418" max="9418" width="11" style="89"/>
    <col min="9419" max="9419" width="11" style="89"/>
    <col min="9420" max="9420" width="11" style="89"/>
    <col min="9421" max="9421" width="11" style="89"/>
    <col min="9422" max="9422" width="11" style="89"/>
    <col min="9423" max="9423" width="11" style="89"/>
    <col min="9424" max="9424" width="11" style="89"/>
    <col min="9425" max="9425" width="11" style="89"/>
    <col min="9426" max="9426" width="11" style="89"/>
    <col min="9427" max="9427" width="11" style="89"/>
    <col min="9428" max="9428" width="11" style="89"/>
    <col min="9429" max="9429" width="11" style="89"/>
    <col min="9430" max="9430" width="11" style="89"/>
    <col min="9431" max="9431" width="11" style="89"/>
    <col min="9432" max="9432" width="11" style="89"/>
    <col min="9433" max="9433" width="11" style="89"/>
    <col min="9434" max="9434" width="11" style="89"/>
    <col min="9435" max="9435" width="11" style="89"/>
    <col min="9436" max="9436" width="11" style="89"/>
    <col min="9437" max="9437" width="11" style="89"/>
    <col min="9438" max="9438" width="11" style="89"/>
    <col min="9439" max="9439" width="11" style="89"/>
    <col min="9440" max="9440" width="11" style="89"/>
    <col min="9441" max="9441" width="11" style="89"/>
    <col min="9442" max="9442" width="11" style="89"/>
    <col min="9443" max="9443" width="11" style="89"/>
    <col min="9444" max="9444" width="11" style="89"/>
    <col min="9445" max="9445" width="11" style="89"/>
    <col min="9446" max="9446" width="11" style="89"/>
    <col min="9447" max="9447" width="11" style="89"/>
    <col min="9448" max="9448" width="11" style="89"/>
    <col min="9449" max="9449" width="11" style="89"/>
    <col min="9450" max="9450" width="11" style="89"/>
    <col min="9451" max="9451" width="11" style="89"/>
    <col min="9452" max="9452" width="11" style="89"/>
    <col min="9453" max="9453" width="11" style="89"/>
    <col min="9454" max="9454" width="11" style="89"/>
    <col min="9455" max="9455" width="11" style="89"/>
    <col min="9456" max="9456" width="11" style="89"/>
    <col min="9457" max="9457" width="11" style="89"/>
    <col min="9458" max="9458" width="11" style="89"/>
    <col min="9459" max="9459" width="11" style="89"/>
    <col min="9460" max="9460" width="11" style="89"/>
    <col min="9461" max="9461" width="11" style="89"/>
    <col min="9462" max="9462" width="11" style="89"/>
    <col min="9463" max="9463" width="11" style="89"/>
    <col min="9464" max="9464" width="11" style="89"/>
    <col min="9465" max="9465" width="11" style="89"/>
    <col min="9466" max="9466" width="11" style="89"/>
    <col min="9467" max="9467" width="11" style="89"/>
    <col min="9468" max="9468" width="11" style="89"/>
    <col min="9469" max="9469" width="11" style="89"/>
    <col min="9470" max="9470" width="11" style="89"/>
    <col min="9471" max="9471" width="11" style="89"/>
    <col min="9472" max="9472" width="11" style="89"/>
    <col min="9473" max="9473" width="10.140625" customWidth="true" style="89"/>
    <col min="9474" max="9474" width="10.140625" customWidth="true" style="89"/>
    <col min="9475" max="9475" width="10.140625" customWidth="true" style="89"/>
    <col min="9476" max="9476" width="10.140625" customWidth="true" style="89"/>
    <col min="9477" max="9477" width="10.140625" customWidth="true" style="89"/>
    <col min="9478" max="9478" width="10.140625" customWidth="true" style="89"/>
    <col min="9479" max="9479" width="10.140625" customWidth="true" style="89"/>
    <col min="9480" max="9480" width="10.140625" customWidth="true" style="89"/>
    <col min="9481" max="9481" width="10.140625" customWidth="true" style="89"/>
    <col min="9482" max="9482" width="11" style="89"/>
    <col min="9483" max="9483" width="11" style="89"/>
    <col min="9484" max="9484" width="11" style="89"/>
    <col min="9485" max="9485" width="11" style="89"/>
    <col min="9486" max="9486" width="11" style="89"/>
    <col min="9487" max="9487" width="11" style="89"/>
    <col min="9488" max="9488" width="11" style="89"/>
    <col min="9489" max="9489" width="11" style="89"/>
    <col min="9490" max="9490" width="11" style="89"/>
    <col min="9491" max="9491" width="11" style="89"/>
    <col min="9492" max="9492" width="11" style="89"/>
    <col min="9493" max="9493" width="11" style="89"/>
    <col min="9494" max="9494" width="11" style="89"/>
    <col min="9495" max="9495" width="11" style="89"/>
    <col min="9496" max="9496" width="11" style="89"/>
    <col min="9497" max="9497" width="11" style="89"/>
    <col min="9498" max="9498" width="11" style="89"/>
    <col min="9499" max="9499" width="11" style="89"/>
    <col min="9500" max="9500" width="11" style="89"/>
    <col min="9501" max="9501" width="11" style="89"/>
    <col min="9502" max="9502" width="11" style="89"/>
    <col min="9503" max="9503" width="11" style="89"/>
    <col min="9504" max="9504" width="11" style="89"/>
    <col min="9505" max="9505" width="11" style="89"/>
    <col min="9506" max="9506" width="11" style="89"/>
    <col min="9507" max="9507" width="11" style="89"/>
    <col min="9508" max="9508" width="11" style="89"/>
    <col min="9509" max="9509" width="11" style="89"/>
    <col min="9510" max="9510" width="11" style="89"/>
    <col min="9511" max="9511" width="11" style="89"/>
    <col min="9512" max="9512" width="11" style="89"/>
    <col min="9513" max="9513" width="11" style="89"/>
    <col min="9514" max="9514" width="11" style="89"/>
    <col min="9515" max="9515" width="11" style="89"/>
    <col min="9516" max="9516" width="11" style="89"/>
    <col min="9517" max="9517" width="11" style="89"/>
    <col min="9518" max="9518" width="11" style="89"/>
    <col min="9519" max="9519" width="11" style="89"/>
    <col min="9520" max="9520" width="11" style="89"/>
    <col min="9521" max="9521" width="11" style="89"/>
    <col min="9522" max="9522" width="11" style="89"/>
    <col min="9523" max="9523" width="11" style="89"/>
    <col min="9524" max="9524" width="11" style="89"/>
    <col min="9525" max="9525" width="11" style="89"/>
    <col min="9526" max="9526" width="11" style="89"/>
    <col min="9527" max="9527" width="11" style="89"/>
    <col min="9528" max="9528" width="11" style="89"/>
    <col min="9529" max="9529" width="11" style="89"/>
    <col min="9530" max="9530" width="11" style="89"/>
    <col min="9531" max="9531" width="11" style="89"/>
    <col min="9532" max="9532" width="11" style="89"/>
    <col min="9533" max="9533" width="11" style="89"/>
    <col min="9534" max="9534" width="11" style="89"/>
    <col min="9535" max="9535" width="11" style="89"/>
    <col min="9536" max="9536" width="11" style="89"/>
    <col min="9537" max="9537" width="11" style="89"/>
    <col min="9538" max="9538" width="11" style="89"/>
    <col min="9539" max="9539" width="11" style="89"/>
    <col min="9540" max="9540" width="11" style="89"/>
    <col min="9541" max="9541" width="11" style="89"/>
    <col min="9542" max="9542" width="11" style="89"/>
    <col min="9543" max="9543" width="11" style="89"/>
    <col min="9544" max="9544" width="11" style="89"/>
    <col min="9545" max="9545" width="11" style="89"/>
    <col min="9546" max="9546" width="11" style="89"/>
    <col min="9547" max="9547" width="11" style="89"/>
    <col min="9548" max="9548" width="11" style="89"/>
    <col min="9549" max="9549" width="11" style="89"/>
    <col min="9550" max="9550" width="11" style="89"/>
    <col min="9551" max="9551" width="11" style="89"/>
    <col min="9552" max="9552" width="11" style="89"/>
    <col min="9553" max="9553" width="11" style="89"/>
    <col min="9554" max="9554" width="11" style="89"/>
    <col min="9555" max="9555" width="11" style="89"/>
    <col min="9556" max="9556" width="11" style="89"/>
    <col min="9557" max="9557" width="11" style="89"/>
    <col min="9558" max="9558" width="11" style="89"/>
    <col min="9559" max="9559" width="11" style="89"/>
    <col min="9560" max="9560" width="11" style="89"/>
    <col min="9561" max="9561" width="11" style="89"/>
    <col min="9562" max="9562" width="11" style="89"/>
    <col min="9563" max="9563" width="11" style="89"/>
    <col min="9564" max="9564" width="11" style="89"/>
    <col min="9565" max="9565" width="11" style="89"/>
    <col min="9566" max="9566" width="11" style="89"/>
    <col min="9567" max="9567" width="11" style="89"/>
    <col min="9568" max="9568" width="11" style="89"/>
    <col min="9569" max="9569" width="11" style="89"/>
    <col min="9570" max="9570" width="11" style="89"/>
    <col min="9571" max="9571" width="11" style="89"/>
    <col min="9572" max="9572" width="11" style="89"/>
    <col min="9573" max="9573" width="11" style="89"/>
    <col min="9574" max="9574" width="11" style="89"/>
    <col min="9575" max="9575" width="11" style="89"/>
    <col min="9576" max="9576" width="11" style="89"/>
    <col min="9577" max="9577" width="11" style="89"/>
    <col min="9578" max="9578" width="11" style="89"/>
    <col min="9579" max="9579" width="11" style="89"/>
    <col min="9580" max="9580" width="11" style="89"/>
    <col min="9581" max="9581" width="11" style="89"/>
    <col min="9582" max="9582" width="11" style="89"/>
    <col min="9583" max="9583" width="11" style="89"/>
    <col min="9584" max="9584" width="11" style="89"/>
    <col min="9585" max="9585" width="11" style="89"/>
    <col min="9586" max="9586" width="11" style="89"/>
    <col min="9587" max="9587" width="11" style="89"/>
    <col min="9588" max="9588" width="11" style="89"/>
    <col min="9589" max="9589" width="11" style="89"/>
    <col min="9590" max="9590" width="11" style="89"/>
    <col min="9591" max="9591" width="11" style="89"/>
    <col min="9592" max="9592" width="11" style="89"/>
    <col min="9593" max="9593" width="11" style="89"/>
    <col min="9594" max="9594" width="11" style="89"/>
    <col min="9595" max="9595" width="11" style="89"/>
    <col min="9596" max="9596" width="11" style="89"/>
    <col min="9597" max="9597" width="11" style="89"/>
    <col min="9598" max="9598" width="11" style="89"/>
    <col min="9599" max="9599" width="11" style="89"/>
    <col min="9600" max="9600" width="11" style="89"/>
    <col min="9601" max="9601" width="11" style="89"/>
    <col min="9602" max="9602" width="11" style="89"/>
    <col min="9603" max="9603" width="11" style="89"/>
    <col min="9604" max="9604" width="11" style="89"/>
    <col min="9605" max="9605" width="11" style="89"/>
    <col min="9606" max="9606" width="11" style="89"/>
    <col min="9607" max="9607" width="11" style="89"/>
    <col min="9608" max="9608" width="11" style="89"/>
    <col min="9609" max="9609" width="11" style="89"/>
    <col min="9610" max="9610" width="11" style="89"/>
    <col min="9611" max="9611" width="11" style="89"/>
    <col min="9612" max="9612" width="11" style="89"/>
    <col min="9613" max="9613" width="11" style="89"/>
    <col min="9614" max="9614" width="11" style="89"/>
    <col min="9615" max="9615" width="11" style="89"/>
    <col min="9616" max="9616" width="11" style="89"/>
    <col min="9617" max="9617" width="11" style="89"/>
    <col min="9618" max="9618" width="11" style="89"/>
    <col min="9619" max="9619" width="11" style="89"/>
    <col min="9620" max="9620" width="11" style="89"/>
    <col min="9621" max="9621" width="11" style="89"/>
    <col min="9622" max="9622" width="11" style="89"/>
    <col min="9623" max="9623" width="11" style="89"/>
    <col min="9624" max="9624" width="11" style="89"/>
    <col min="9625" max="9625" width="11" style="89"/>
    <col min="9626" max="9626" width="11" style="89"/>
    <col min="9627" max="9627" width="11" style="89"/>
    <col min="9628" max="9628" width="11" style="89"/>
    <col min="9629" max="9629" width="11" style="89"/>
    <col min="9630" max="9630" width="11" style="89"/>
    <col min="9631" max="9631" width="11" style="89"/>
    <col min="9632" max="9632" width="11" style="89"/>
    <col min="9633" max="9633" width="11" style="89"/>
    <col min="9634" max="9634" width="11" style="89"/>
    <col min="9635" max="9635" width="11" style="89"/>
    <col min="9636" max="9636" width="11" style="89"/>
    <col min="9637" max="9637" width="11" style="89"/>
    <col min="9638" max="9638" width="11" style="89"/>
    <col min="9639" max="9639" width="11" style="89"/>
    <col min="9640" max="9640" width="11" style="89"/>
    <col min="9641" max="9641" width="11" style="89"/>
    <col min="9642" max="9642" width="11" style="89"/>
    <col min="9643" max="9643" width="11" style="89"/>
    <col min="9644" max="9644" width="11" style="89"/>
    <col min="9645" max="9645" width="11" style="89"/>
    <col min="9646" max="9646" width="11" style="89"/>
    <col min="9647" max="9647" width="11" style="89"/>
    <col min="9648" max="9648" width="11" style="89"/>
    <col min="9649" max="9649" width="11" style="89"/>
    <col min="9650" max="9650" width="11" style="89"/>
    <col min="9651" max="9651" width="11" style="89"/>
    <col min="9652" max="9652" width="11" style="89"/>
    <col min="9653" max="9653" width="11" style="89"/>
    <col min="9654" max="9654" width="11" style="89"/>
    <col min="9655" max="9655" width="11" style="89"/>
    <col min="9656" max="9656" width="11" style="89"/>
    <col min="9657" max="9657" width="11" style="89"/>
    <col min="9658" max="9658" width="11" style="89"/>
    <col min="9659" max="9659" width="11" style="89"/>
    <col min="9660" max="9660" width="11" style="89"/>
    <col min="9661" max="9661" width="11" style="89"/>
    <col min="9662" max="9662" width="11" style="89"/>
    <col min="9663" max="9663" width="11" style="89"/>
    <col min="9664" max="9664" width="11" style="89"/>
    <col min="9665" max="9665" width="11" style="89"/>
    <col min="9666" max="9666" width="11" style="89"/>
    <col min="9667" max="9667" width="11" style="89"/>
    <col min="9668" max="9668" width="11" style="89"/>
    <col min="9669" max="9669" width="11" style="89"/>
    <col min="9670" max="9670" width="11" style="89"/>
    <col min="9671" max="9671" width="11" style="89"/>
    <col min="9672" max="9672" width="11" style="89"/>
    <col min="9673" max="9673" width="11" style="89"/>
    <col min="9674" max="9674" width="11" style="89"/>
    <col min="9675" max="9675" width="11" style="89"/>
    <col min="9676" max="9676" width="11" style="89"/>
    <col min="9677" max="9677" width="11" style="89"/>
    <col min="9678" max="9678" width="11" style="89"/>
    <col min="9679" max="9679" width="11" style="89"/>
    <col min="9680" max="9680" width="11" style="89"/>
    <col min="9681" max="9681" width="11" style="89"/>
    <col min="9682" max="9682" width="11" style="89"/>
    <col min="9683" max="9683" width="11" style="89"/>
    <col min="9684" max="9684" width="11" style="89"/>
    <col min="9685" max="9685" width="11" style="89"/>
    <col min="9686" max="9686" width="11" style="89"/>
    <col min="9687" max="9687" width="11" style="89"/>
    <col min="9688" max="9688" width="11" style="89"/>
    <col min="9689" max="9689" width="11" style="89"/>
    <col min="9690" max="9690" width="11" style="89"/>
    <col min="9691" max="9691" width="11" style="89"/>
    <col min="9692" max="9692" width="11" style="89"/>
    <col min="9693" max="9693" width="11" style="89"/>
    <col min="9694" max="9694" width="11" style="89"/>
    <col min="9695" max="9695" width="11" style="89"/>
    <col min="9696" max="9696" width="11" style="89"/>
    <col min="9697" max="9697" width="11" style="89"/>
    <col min="9698" max="9698" width="11" style="89"/>
    <col min="9699" max="9699" width="11" style="89"/>
    <col min="9700" max="9700" width="11" style="89"/>
    <col min="9701" max="9701" width="11" style="89"/>
    <col min="9702" max="9702" width="11" style="89"/>
    <col min="9703" max="9703" width="11" style="89"/>
    <col min="9704" max="9704" width="11" style="89"/>
    <col min="9705" max="9705" width="11" style="89"/>
    <col min="9706" max="9706" width="11" style="89"/>
    <col min="9707" max="9707" width="11" style="89"/>
    <col min="9708" max="9708" width="11" style="89"/>
    <col min="9709" max="9709" width="11" style="89"/>
    <col min="9710" max="9710" width="11" style="89"/>
    <col min="9711" max="9711" width="11" style="89"/>
    <col min="9712" max="9712" width="11" style="89"/>
    <col min="9713" max="9713" width="11" style="89"/>
    <col min="9714" max="9714" width="11" style="89"/>
    <col min="9715" max="9715" width="11" style="89"/>
    <col min="9716" max="9716" width="11" style="89"/>
    <col min="9717" max="9717" width="11" style="89"/>
    <col min="9718" max="9718" width="11" style="89"/>
    <col min="9719" max="9719" width="11" style="89"/>
    <col min="9720" max="9720" width="11" style="89"/>
    <col min="9721" max="9721" width="11" style="89"/>
    <col min="9722" max="9722" width="11" style="89"/>
    <col min="9723" max="9723" width="11" style="89"/>
    <col min="9724" max="9724" width="11" style="89"/>
    <col min="9725" max="9725" width="11" style="89"/>
    <col min="9726" max="9726" width="11" style="89"/>
    <col min="9727" max="9727" width="11" style="89"/>
    <col min="9728" max="9728" width="11" style="89"/>
    <col min="9729" max="9729" width="10.140625" customWidth="true" style="89"/>
    <col min="9730" max="9730" width="10.140625" customWidth="true" style="89"/>
    <col min="9731" max="9731" width="10.140625" customWidth="true" style="89"/>
    <col min="9732" max="9732" width="10.140625" customWidth="true" style="89"/>
    <col min="9733" max="9733" width="10.140625" customWidth="true" style="89"/>
    <col min="9734" max="9734" width="10.140625" customWidth="true" style="89"/>
    <col min="9735" max="9735" width="10.140625" customWidth="true" style="89"/>
    <col min="9736" max="9736" width="10.140625" customWidth="true" style="89"/>
    <col min="9737" max="9737" width="10.140625" customWidth="true" style="89"/>
    <col min="9738" max="9738" width="11" style="89"/>
    <col min="9739" max="9739" width="11" style="89"/>
    <col min="9740" max="9740" width="11" style="89"/>
    <col min="9741" max="9741" width="11" style="89"/>
    <col min="9742" max="9742" width="11" style="89"/>
    <col min="9743" max="9743" width="11" style="89"/>
    <col min="9744" max="9744" width="11" style="89"/>
    <col min="9745" max="9745" width="11" style="89"/>
    <col min="9746" max="9746" width="11" style="89"/>
    <col min="9747" max="9747" width="11" style="89"/>
    <col min="9748" max="9748" width="11" style="89"/>
    <col min="9749" max="9749" width="11" style="89"/>
    <col min="9750" max="9750" width="11" style="89"/>
    <col min="9751" max="9751" width="11" style="89"/>
    <col min="9752" max="9752" width="11" style="89"/>
    <col min="9753" max="9753" width="11" style="89"/>
    <col min="9754" max="9754" width="11" style="89"/>
    <col min="9755" max="9755" width="11" style="89"/>
    <col min="9756" max="9756" width="11" style="89"/>
    <col min="9757" max="9757" width="11" style="89"/>
    <col min="9758" max="9758" width="11" style="89"/>
    <col min="9759" max="9759" width="11" style="89"/>
    <col min="9760" max="9760" width="11" style="89"/>
    <col min="9761" max="9761" width="11" style="89"/>
    <col min="9762" max="9762" width="11" style="89"/>
    <col min="9763" max="9763" width="11" style="89"/>
    <col min="9764" max="9764" width="11" style="89"/>
    <col min="9765" max="9765" width="11" style="89"/>
    <col min="9766" max="9766" width="11" style="89"/>
    <col min="9767" max="9767" width="11" style="89"/>
    <col min="9768" max="9768" width="11" style="89"/>
    <col min="9769" max="9769" width="11" style="89"/>
    <col min="9770" max="9770" width="11" style="89"/>
    <col min="9771" max="9771" width="11" style="89"/>
    <col min="9772" max="9772" width="11" style="89"/>
    <col min="9773" max="9773" width="11" style="89"/>
    <col min="9774" max="9774" width="11" style="89"/>
    <col min="9775" max="9775" width="11" style="89"/>
    <col min="9776" max="9776" width="11" style="89"/>
    <col min="9777" max="9777" width="11" style="89"/>
    <col min="9778" max="9778" width="11" style="89"/>
    <col min="9779" max="9779" width="11" style="89"/>
    <col min="9780" max="9780" width="11" style="89"/>
    <col min="9781" max="9781" width="11" style="89"/>
    <col min="9782" max="9782" width="11" style="89"/>
    <col min="9783" max="9783" width="11" style="89"/>
    <col min="9784" max="9784" width="11" style="89"/>
    <col min="9785" max="9785" width="11" style="89"/>
    <col min="9786" max="9786" width="11" style="89"/>
    <col min="9787" max="9787" width="11" style="89"/>
    <col min="9788" max="9788" width="11" style="89"/>
    <col min="9789" max="9789" width="11" style="89"/>
    <col min="9790" max="9790" width="11" style="89"/>
    <col min="9791" max="9791" width="11" style="89"/>
    <col min="9792" max="9792" width="11" style="89"/>
    <col min="9793" max="9793" width="11" style="89"/>
    <col min="9794" max="9794" width="11" style="89"/>
    <col min="9795" max="9795" width="11" style="89"/>
    <col min="9796" max="9796" width="11" style="89"/>
    <col min="9797" max="9797" width="11" style="89"/>
    <col min="9798" max="9798" width="11" style="89"/>
    <col min="9799" max="9799" width="11" style="89"/>
    <col min="9800" max="9800" width="11" style="89"/>
    <col min="9801" max="9801" width="11" style="89"/>
    <col min="9802" max="9802" width="11" style="89"/>
    <col min="9803" max="9803" width="11" style="89"/>
    <col min="9804" max="9804" width="11" style="89"/>
    <col min="9805" max="9805" width="11" style="89"/>
    <col min="9806" max="9806" width="11" style="89"/>
    <col min="9807" max="9807" width="11" style="89"/>
    <col min="9808" max="9808" width="11" style="89"/>
    <col min="9809" max="9809" width="11" style="89"/>
    <col min="9810" max="9810" width="11" style="89"/>
    <col min="9811" max="9811" width="11" style="89"/>
    <col min="9812" max="9812" width="11" style="89"/>
    <col min="9813" max="9813" width="11" style="89"/>
    <col min="9814" max="9814" width="11" style="89"/>
    <col min="9815" max="9815" width="11" style="89"/>
    <col min="9816" max="9816" width="11" style="89"/>
    <col min="9817" max="9817" width="11" style="89"/>
    <col min="9818" max="9818" width="11" style="89"/>
    <col min="9819" max="9819" width="11" style="89"/>
    <col min="9820" max="9820" width="11" style="89"/>
    <col min="9821" max="9821" width="11" style="89"/>
    <col min="9822" max="9822" width="11" style="89"/>
    <col min="9823" max="9823" width="11" style="89"/>
    <col min="9824" max="9824" width="11" style="89"/>
    <col min="9825" max="9825" width="11" style="89"/>
    <col min="9826" max="9826" width="11" style="89"/>
    <col min="9827" max="9827" width="11" style="89"/>
    <col min="9828" max="9828" width="11" style="89"/>
    <col min="9829" max="9829" width="11" style="89"/>
    <col min="9830" max="9830" width="11" style="89"/>
    <col min="9831" max="9831" width="11" style="89"/>
    <col min="9832" max="9832" width="11" style="89"/>
    <col min="9833" max="9833" width="11" style="89"/>
    <col min="9834" max="9834" width="11" style="89"/>
    <col min="9835" max="9835" width="11" style="89"/>
    <col min="9836" max="9836" width="11" style="89"/>
    <col min="9837" max="9837" width="11" style="89"/>
    <col min="9838" max="9838" width="11" style="89"/>
    <col min="9839" max="9839" width="11" style="89"/>
    <col min="9840" max="9840" width="11" style="89"/>
    <col min="9841" max="9841" width="11" style="89"/>
    <col min="9842" max="9842" width="11" style="89"/>
    <col min="9843" max="9843" width="11" style="89"/>
    <col min="9844" max="9844" width="11" style="89"/>
    <col min="9845" max="9845" width="11" style="89"/>
    <col min="9846" max="9846" width="11" style="89"/>
    <col min="9847" max="9847" width="11" style="89"/>
    <col min="9848" max="9848" width="11" style="89"/>
    <col min="9849" max="9849" width="11" style="89"/>
    <col min="9850" max="9850" width="11" style="89"/>
    <col min="9851" max="9851" width="11" style="89"/>
    <col min="9852" max="9852" width="11" style="89"/>
    <col min="9853" max="9853" width="11" style="89"/>
    <col min="9854" max="9854" width="11" style="89"/>
    <col min="9855" max="9855" width="11" style="89"/>
    <col min="9856" max="9856" width="11" style="89"/>
    <col min="9857" max="9857" width="11" style="89"/>
    <col min="9858" max="9858" width="11" style="89"/>
    <col min="9859" max="9859" width="11" style="89"/>
    <col min="9860" max="9860" width="11" style="89"/>
    <col min="9861" max="9861" width="11" style="89"/>
    <col min="9862" max="9862" width="11" style="89"/>
    <col min="9863" max="9863" width="11" style="89"/>
    <col min="9864" max="9864" width="11" style="89"/>
    <col min="9865" max="9865" width="11" style="89"/>
    <col min="9866" max="9866" width="11" style="89"/>
    <col min="9867" max="9867" width="11" style="89"/>
    <col min="9868" max="9868" width="11" style="89"/>
    <col min="9869" max="9869" width="11" style="89"/>
    <col min="9870" max="9870" width="11" style="89"/>
    <col min="9871" max="9871" width="11" style="89"/>
    <col min="9872" max="9872" width="11" style="89"/>
    <col min="9873" max="9873" width="11" style="89"/>
    <col min="9874" max="9874" width="11" style="89"/>
    <col min="9875" max="9875" width="11" style="89"/>
    <col min="9876" max="9876" width="11" style="89"/>
    <col min="9877" max="9877" width="11" style="89"/>
    <col min="9878" max="9878" width="11" style="89"/>
    <col min="9879" max="9879" width="11" style="89"/>
    <col min="9880" max="9880" width="11" style="89"/>
    <col min="9881" max="9881" width="11" style="89"/>
    <col min="9882" max="9882" width="11" style="89"/>
    <col min="9883" max="9883" width="11" style="89"/>
    <col min="9884" max="9884" width="11" style="89"/>
    <col min="9885" max="9885" width="11" style="89"/>
    <col min="9886" max="9886" width="11" style="89"/>
    <col min="9887" max="9887" width="11" style="89"/>
    <col min="9888" max="9888" width="11" style="89"/>
    <col min="9889" max="9889" width="11" style="89"/>
    <col min="9890" max="9890" width="11" style="89"/>
    <col min="9891" max="9891" width="11" style="89"/>
    <col min="9892" max="9892" width="11" style="89"/>
    <col min="9893" max="9893" width="11" style="89"/>
    <col min="9894" max="9894" width="11" style="89"/>
    <col min="9895" max="9895" width="11" style="89"/>
    <col min="9896" max="9896" width="11" style="89"/>
    <col min="9897" max="9897" width="11" style="89"/>
    <col min="9898" max="9898" width="11" style="89"/>
    <col min="9899" max="9899" width="11" style="89"/>
    <col min="9900" max="9900" width="11" style="89"/>
    <col min="9901" max="9901" width="11" style="89"/>
    <col min="9902" max="9902" width="11" style="89"/>
    <col min="9903" max="9903" width="11" style="89"/>
    <col min="9904" max="9904" width="11" style="89"/>
    <col min="9905" max="9905" width="11" style="89"/>
    <col min="9906" max="9906" width="11" style="89"/>
    <col min="9907" max="9907" width="11" style="89"/>
    <col min="9908" max="9908" width="11" style="89"/>
    <col min="9909" max="9909" width="11" style="89"/>
    <col min="9910" max="9910" width="11" style="89"/>
    <col min="9911" max="9911" width="11" style="89"/>
    <col min="9912" max="9912" width="11" style="89"/>
    <col min="9913" max="9913" width="11" style="89"/>
    <col min="9914" max="9914" width="11" style="89"/>
    <col min="9915" max="9915" width="11" style="89"/>
    <col min="9916" max="9916" width="11" style="89"/>
    <col min="9917" max="9917" width="11" style="89"/>
    <col min="9918" max="9918" width="11" style="89"/>
    <col min="9919" max="9919" width="11" style="89"/>
    <col min="9920" max="9920" width="11" style="89"/>
    <col min="9921" max="9921" width="11" style="89"/>
    <col min="9922" max="9922" width="11" style="89"/>
    <col min="9923" max="9923" width="11" style="89"/>
    <col min="9924" max="9924" width="11" style="89"/>
    <col min="9925" max="9925" width="11" style="89"/>
    <col min="9926" max="9926" width="11" style="89"/>
    <col min="9927" max="9927" width="11" style="89"/>
    <col min="9928" max="9928" width="11" style="89"/>
    <col min="9929" max="9929" width="11" style="89"/>
    <col min="9930" max="9930" width="11" style="89"/>
    <col min="9931" max="9931" width="11" style="89"/>
    <col min="9932" max="9932" width="11" style="89"/>
    <col min="9933" max="9933" width="11" style="89"/>
    <col min="9934" max="9934" width="11" style="89"/>
    <col min="9935" max="9935" width="11" style="89"/>
    <col min="9936" max="9936" width="11" style="89"/>
    <col min="9937" max="9937" width="11" style="89"/>
    <col min="9938" max="9938" width="11" style="89"/>
    <col min="9939" max="9939" width="11" style="89"/>
    <col min="9940" max="9940" width="11" style="89"/>
    <col min="9941" max="9941" width="11" style="89"/>
    <col min="9942" max="9942" width="11" style="89"/>
    <col min="9943" max="9943" width="11" style="89"/>
    <col min="9944" max="9944" width="11" style="89"/>
    <col min="9945" max="9945" width="11" style="89"/>
    <col min="9946" max="9946" width="11" style="89"/>
    <col min="9947" max="9947" width="11" style="89"/>
    <col min="9948" max="9948" width="11" style="89"/>
    <col min="9949" max="9949" width="11" style="89"/>
    <col min="9950" max="9950" width="11" style="89"/>
    <col min="9951" max="9951" width="11" style="89"/>
    <col min="9952" max="9952" width="11" style="89"/>
    <col min="9953" max="9953" width="11" style="89"/>
    <col min="9954" max="9954" width="11" style="89"/>
    <col min="9955" max="9955" width="11" style="89"/>
    <col min="9956" max="9956" width="11" style="89"/>
    <col min="9957" max="9957" width="11" style="89"/>
    <col min="9958" max="9958" width="11" style="89"/>
    <col min="9959" max="9959" width="11" style="89"/>
    <col min="9960" max="9960" width="11" style="89"/>
    <col min="9961" max="9961" width="11" style="89"/>
    <col min="9962" max="9962" width="11" style="89"/>
    <col min="9963" max="9963" width="11" style="89"/>
    <col min="9964" max="9964" width="11" style="89"/>
    <col min="9965" max="9965" width="11" style="89"/>
    <col min="9966" max="9966" width="11" style="89"/>
    <col min="9967" max="9967" width="11" style="89"/>
    <col min="9968" max="9968" width="11" style="89"/>
    <col min="9969" max="9969" width="11" style="89"/>
    <col min="9970" max="9970" width="11" style="89"/>
    <col min="9971" max="9971" width="11" style="89"/>
    <col min="9972" max="9972" width="11" style="89"/>
    <col min="9973" max="9973" width="11" style="89"/>
    <col min="9974" max="9974" width="11" style="89"/>
    <col min="9975" max="9975" width="11" style="89"/>
    <col min="9976" max="9976" width="11" style="89"/>
    <col min="9977" max="9977" width="11" style="89"/>
    <col min="9978" max="9978" width="11" style="89"/>
    <col min="9979" max="9979" width="11" style="89"/>
    <col min="9980" max="9980" width="11" style="89"/>
    <col min="9981" max="9981" width="11" style="89"/>
    <col min="9982" max="9982" width="11" style="89"/>
    <col min="9983" max="9983" width="11" style="89"/>
    <col min="9984" max="9984" width="11" style="89"/>
    <col min="9985" max="9985" width="10.140625" customWidth="true" style="89"/>
    <col min="9986" max="9986" width="10.140625" customWidth="true" style="89"/>
    <col min="9987" max="9987" width="10.140625" customWidth="true" style="89"/>
    <col min="9988" max="9988" width="10.140625" customWidth="true" style="89"/>
    <col min="9989" max="9989" width="10.140625" customWidth="true" style="89"/>
    <col min="9990" max="9990" width="10.140625" customWidth="true" style="89"/>
    <col min="9991" max="9991" width="10.140625" customWidth="true" style="89"/>
    <col min="9992" max="9992" width="10.140625" customWidth="true" style="89"/>
    <col min="9993" max="9993" width="10.140625" customWidth="true" style="89"/>
    <col min="9994" max="9994" width="11" style="89"/>
    <col min="9995" max="9995" width="11" style="89"/>
    <col min="9996" max="9996" width="11" style="89"/>
    <col min="9997" max="9997" width="11" style="89"/>
    <col min="9998" max="9998" width="11" style="89"/>
    <col min="9999" max="9999" width="11" style="89"/>
    <col min="10000" max="10000" width="11" style="89"/>
    <col min="10001" max="10001" width="11" style="89"/>
    <col min="10002" max="10002" width="11" style="89"/>
    <col min="10003" max="10003" width="11" style="89"/>
    <col min="10004" max="10004" width="11" style="89"/>
    <col min="10005" max="10005" width="11" style="89"/>
    <col min="10006" max="10006" width="11" style="89"/>
    <col min="10007" max="10007" width="11" style="89"/>
    <col min="10008" max="10008" width="11" style="89"/>
    <col min="10009" max="10009" width="11" style="89"/>
    <col min="10010" max="10010" width="11" style="89"/>
    <col min="10011" max="10011" width="11" style="89"/>
    <col min="10012" max="10012" width="11" style="89"/>
    <col min="10013" max="10013" width="11" style="89"/>
    <col min="10014" max="10014" width="11" style="89"/>
    <col min="10015" max="10015" width="11" style="89"/>
    <col min="10016" max="10016" width="11" style="89"/>
    <col min="10017" max="10017" width="11" style="89"/>
    <col min="10018" max="10018" width="11" style="89"/>
    <col min="10019" max="10019" width="11" style="89"/>
    <col min="10020" max="10020" width="11" style="89"/>
    <col min="10021" max="10021" width="11" style="89"/>
    <col min="10022" max="10022" width="11" style="89"/>
    <col min="10023" max="10023" width="11" style="89"/>
    <col min="10024" max="10024" width="11" style="89"/>
    <col min="10025" max="10025" width="11" style="89"/>
    <col min="10026" max="10026" width="11" style="89"/>
    <col min="10027" max="10027" width="11" style="89"/>
    <col min="10028" max="10028" width="11" style="89"/>
    <col min="10029" max="10029" width="11" style="89"/>
    <col min="10030" max="10030" width="11" style="89"/>
    <col min="10031" max="10031" width="11" style="89"/>
    <col min="10032" max="10032" width="11" style="89"/>
    <col min="10033" max="10033" width="11" style="89"/>
    <col min="10034" max="10034" width="11" style="89"/>
    <col min="10035" max="10035" width="11" style="89"/>
    <col min="10036" max="10036" width="11" style="89"/>
    <col min="10037" max="10037" width="11" style="89"/>
    <col min="10038" max="10038" width="11" style="89"/>
    <col min="10039" max="10039" width="11" style="89"/>
    <col min="10040" max="10040" width="11" style="89"/>
    <col min="10041" max="10041" width="11" style="89"/>
    <col min="10042" max="10042" width="11" style="89"/>
    <col min="10043" max="10043" width="11" style="89"/>
    <col min="10044" max="10044" width="11" style="89"/>
    <col min="10045" max="10045" width="11" style="89"/>
    <col min="10046" max="10046" width="11" style="89"/>
    <col min="10047" max="10047" width="11" style="89"/>
    <col min="10048" max="10048" width="11" style="89"/>
    <col min="10049" max="10049" width="11" style="89"/>
    <col min="10050" max="10050" width="11" style="89"/>
    <col min="10051" max="10051" width="11" style="89"/>
    <col min="10052" max="10052" width="11" style="89"/>
    <col min="10053" max="10053" width="11" style="89"/>
    <col min="10054" max="10054" width="11" style="89"/>
    <col min="10055" max="10055" width="11" style="89"/>
    <col min="10056" max="10056" width="11" style="89"/>
    <col min="10057" max="10057" width="11" style="89"/>
    <col min="10058" max="10058" width="11" style="89"/>
    <col min="10059" max="10059" width="11" style="89"/>
    <col min="10060" max="10060" width="11" style="89"/>
    <col min="10061" max="10061" width="11" style="89"/>
    <col min="10062" max="10062" width="11" style="89"/>
    <col min="10063" max="10063" width="11" style="89"/>
    <col min="10064" max="10064" width="11" style="89"/>
    <col min="10065" max="10065" width="11" style="89"/>
    <col min="10066" max="10066" width="11" style="89"/>
    <col min="10067" max="10067" width="11" style="89"/>
    <col min="10068" max="10068" width="11" style="89"/>
    <col min="10069" max="10069" width="11" style="89"/>
    <col min="10070" max="10070" width="11" style="89"/>
    <col min="10071" max="10071" width="11" style="89"/>
    <col min="10072" max="10072" width="11" style="89"/>
    <col min="10073" max="10073" width="11" style="89"/>
    <col min="10074" max="10074" width="11" style="89"/>
    <col min="10075" max="10075" width="11" style="89"/>
    <col min="10076" max="10076" width="11" style="89"/>
    <col min="10077" max="10077" width="11" style="89"/>
    <col min="10078" max="10078" width="11" style="89"/>
    <col min="10079" max="10079" width="11" style="89"/>
    <col min="10080" max="10080" width="11" style="89"/>
    <col min="10081" max="10081" width="11" style="89"/>
    <col min="10082" max="10082" width="11" style="89"/>
    <col min="10083" max="10083" width="11" style="89"/>
    <col min="10084" max="10084" width="11" style="89"/>
    <col min="10085" max="10085" width="11" style="89"/>
    <col min="10086" max="10086" width="11" style="89"/>
    <col min="10087" max="10087" width="11" style="89"/>
    <col min="10088" max="10088" width="11" style="89"/>
    <col min="10089" max="10089" width="11" style="89"/>
    <col min="10090" max="10090" width="11" style="89"/>
    <col min="10091" max="10091" width="11" style="89"/>
    <col min="10092" max="10092" width="11" style="89"/>
    <col min="10093" max="10093" width="11" style="89"/>
    <col min="10094" max="10094" width="11" style="89"/>
    <col min="10095" max="10095" width="11" style="89"/>
    <col min="10096" max="10096" width="11" style="89"/>
    <col min="10097" max="10097" width="11" style="89"/>
    <col min="10098" max="10098" width="11" style="89"/>
    <col min="10099" max="10099" width="11" style="89"/>
    <col min="10100" max="10100" width="11" style="89"/>
    <col min="10101" max="10101" width="11" style="89"/>
    <col min="10102" max="10102" width="11" style="89"/>
    <col min="10103" max="10103" width="11" style="89"/>
    <col min="10104" max="10104" width="11" style="89"/>
    <col min="10105" max="10105" width="11" style="89"/>
    <col min="10106" max="10106" width="11" style="89"/>
    <col min="10107" max="10107" width="11" style="89"/>
    <col min="10108" max="10108" width="11" style="89"/>
    <col min="10109" max="10109" width="11" style="89"/>
    <col min="10110" max="10110" width="11" style="89"/>
    <col min="10111" max="10111" width="11" style="89"/>
    <col min="10112" max="10112" width="11" style="89"/>
    <col min="10113" max="10113" width="11" style="89"/>
    <col min="10114" max="10114" width="11" style="89"/>
    <col min="10115" max="10115" width="11" style="89"/>
    <col min="10116" max="10116" width="11" style="89"/>
    <col min="10117" max="10117" width="11" style="89"/>
    <col min="10118" max="10118" width="11" style="89"/>
    <col min="10119" max="10119" width="11" style="89"/>
    <col min="10120" max="10120" width="11" style="89"/>
    <col min="10121" max="10121" width="11" style="89"/>
    <col min="10122" max="10122" width="11" style="89"/>
    <col min="10123" max="10123" width="11" style="89"/>
    <col min="10124" max="10124" width="11" style="89"/>
    <col min="10125" max="10125" width="11" style="89"/>
    <col min="10126" max="10126" width="11" style="89"/>
    <col min="10127" max="10127" width="11" style="89"/>
    <col min="10128" max="10128" width="11" style="89"/>
    <col min="10129" max="10129" width="11" style="89"/>
    <col min="10130" max="10130" width="11" style="89"/>
    <col min="10131" max="10131" width="11" style="89"/>
    <col min="10132" max="10132" width="11" style="89"/>
    <col min="10133" max="10133" width="11" style="89"/>
    <col min="10134" max="10134" width="11" style="89"/>
    <col min="10135" max="10135" width="11" style="89"/>
    <col min="10136" max="10136" width="11" style="89"/>
    <col min="10137" max="10137" width="11" style="89"/>
    <col min="10138" max="10138" width="11" style="89"/>
    <col min="10139" max="10139" width="11" style="89"/>
    <col min="10140" max="10140" width="11" style="89"/>
    <col min="10141" max="10141" width="11" style="89"/>
    <col min="10142" max="10142" width="11" style="89"/>
    <col min="10143" max="10143" width="11" style="89"/>
    <col min="10144" max="10144" width="11" style="89"/>
    <col min="10145" max="10145" width="11" style="89"/>
    <col min="10146" max="10146" width="11" style="89"/>
    <col min="10147" max="10147" width="11" style="89"/>
    <col min="10148" max="10148" width="11" style="89"/>
    <col min="10149" max="10149" width="11" style="89"/>
    <col min="10150" max="10150" width="11" style="89"/>
    <col min="10151" max="10151" width="11" style="89"/>
    <col min="10152" max="10152" width="11" style="89"/>
    <col min="10153" max="10153" width="11" style="89"/>
    <col min="10154" max="10154" width="11" style="89"/>
    <col min="10155" max="10155" width="11" style="89"/>
    <col min="10156" max="10156" width="11" style="89"/>
    <col min="10157" max="10157" width="11" style="89"/>
    <col min="10158" max="10158" width="11" style="89"/>
    <col min="10159" max="10159" width="11" style="89"/>
    <col min="10160" max="10160" width="11" style="89"/>
    <col min="10161" max="10161" width="11" style="89"/>
    <col min="10162" max="10162" width="11" style="89"/>
    <col min="10163" max="10163" width="11" style="89"/>
    <col min="10164" max="10164" width="11" style="89"/>
    <col min="10165" max="10165" width="11" style="89"/>
    <col min="10166" max="10166" width="11" style="89"/>
    <col min="10167" max="10167" width="11" style="89"/>
    <col min="10168" max="10168" width="11" style="89"/>
    <col min="10169" max="10169" width="11" style="89"/>
    <col min="10170" max="10170" width="11" style="89"/>
    <col min="10171" max="10171" width="11" style="89"/>
    <col min="10172" max="10172" width="11" style="89"/>
    <col min="10173" max="10173" width="11" style="89"/>
    <col min="10174" max="10174" width="11" style="89"/>
    <col min="10175" max="10175" width="11" style="89"/>
    <col min="10176" max="10176" width="11" style="89"/>
    <col min="10177" max="10177" width="11" style="89"/>
    <col min="10178" max="10178" width="11" style="89"/>
    <col min="10179" max="10179" width="11" style="89"/>
    <col min="10180" max="10180" width="11" style="89"/>
    <col min="10181" max="10181" width="11" style="89"/>
    <col min="10182" max="10182" width="11" style="89"/>
    <col min="10183" max="10183" width="11" style="89"/>
    <col min="10184" max="10184" width="11" style="89"/>
    <col min="10185" max="10185" width="11" style="89"/>
    <col min="10186" max="10186" width="11" style="89"/>
    <col min="10187" max="10187" width="11" style="89"/>
    <col min="10188" max="10188" width="11" style="89"/>
    <col min="10189" max="10189" width="11" style="89"/>
    <col min="10190" max="10190" width="11" style="89"/>
    <col min="10191" max="10191" width="11" style="89"/>
    <col min="10192" max="10192" width="11" style="89"/>
    <col min="10193" max="10193" width="11" style="89"/>
    <col min="10194" max="10194" width="11" style="89"/>
    <col min="10195" max="10195" width="11" style="89"/>
    <col min="10196" max="10196" width="11" style="89"/>
    <col min="10197" max="10197" width="11" style="89"/>
    <col min="10198" max="10198" width="11" style="89"/>
    <col min="10199" max="10199" width="11" style="89"/>
    <col min="10200" max="10200" width="11" style="89"/>
    <col min="10201" max="10201" width="11" style="89"/>
    <col min="10202" max="10202" width="11" style="89"/>
    <col min="10203" max="10203" width="11" style="89"/>
    <col min="10204" max="10204" width="11" style="89"/>
    <col min="10205" max="10205" width="11" style="89"/>
    <col min="10206" max="10206" width="11" style="89"/>
    <col min="10207" max="10207" width="11" style="89"/>
    <col min="10208" max="10208" width="11" style="89"/>
    <col min="10209" max="10209" width="11" style="89"/>
    <col min="10210" max="10210" width="11" style="89"/>
    <col min="10211" max="10211" width="11" style="89"/>
    <col min="10212" max="10212" width="11" style="89"/>
    <col min="10213" max="10213" width="11" style="89"/>
    <col min="10214" max="10214" width="11" style="89"/>
    <col min="10215" max="10215" width="11" style="89"/>
    <col min="10216" max="10216" width="11" style="89"/>
    <col min="10217" max="10217" width="11" style="89"/>
    <col min="10218" max="10218" width="11" style="89"/>
    <col min="10219" max="10219" width="11" style="89"/>
    <col min="10220" max="10220" width="11" style="89"/>
    <col min="10221" max="10221" width="11" style="89"/>
    <col min="10222" max="10222" width="11" style="89"/>
    <col min="10223" max="10223" width="11" style="89"/>
    <col min="10224" max="10224" width="11" style="89"/>
    <col min="10225" max="10225" width="11" style="89"/>
    <col min="10226" max="10226" width="11" style="89"/>
    <col min="10227" max="10227" width="11" style="89"/>
    <col min="10228" max="10228" width="11" style="89"/>
    <col min="10229" max="10229" width="11" style="89"/>
    <col min="10230" max="10230" width="11" style="89"/>
    <col min="10231" max="10231" width="11" style="89"/>
    <col min="10232" max="10232" width="11" style="89"/>
    <col min="10233" max="10233" width="11" style="89"/>
    <col min="10234" max="10234" width="11" style="89"/>
    <col min="10235" max="10235" width="11" style="89"/>
    <col min="10236" max="10236" width="11" style="89"/>
    <col min="10237" max="10237" width="11" style="89"/>
    <col min="10238" max="10238" width="11" style="89"/>
    <col min="10239" max="10239" width="11" style="89"/>
    <col min="10240" max="10240" width="11" style="89"/>
    <col min="10241" max="10241" width="10.140625" customWidth="true" style="89"/>
    <col min="10242" max="10242" width="10.140625" customWidth="true" style="89"/>
    <col min="10243" max="10243" width="10.140625" customWidth="true" style="89"/>
    <col min="10244" max="10244" width="10.140625" customWidth="true" style="89"/>
    <col min="10245" max="10245" width="10.140625" customWidth="true" style="89"/>
    <col min="10246" max="10246" width="10.140625" customWidth="true" style="89"/>
    <col min="10247" max="10247" width="10.140625" customWidth="true" style="89"/>
    <col min="10248" max="10248" width="10.140625" customWidth="true" style="89"/>
    <col min="10249" max="10249" width="10.140625" customWidth="true" style="89"/>
    <col min="10250" max="10250" width="11" style="89"/>
    <col min="10251" max="10251" width="11" style="89"/>
    <col min="10252" max="10252" width="11" style="89"/>
    <col min="10253" max="10253" width="11" style="89"/>
    <col min="10254" max="10254" width="11" style="89"/>
    <col min="10255" max="10255" width="11" style="89"/>
    <col min="10256" max="10256" width="11" style="89"/>
    <col min="10257" max="10257" width="11" style="89"/>
    <col min="10258" max="10258" width="11" style="89"/>
    <col min="10259" max="10259" width="11" style="89"/>
    <col min="10260" max="10260" width="11" style="89"/>
    <col min="10261" max="10261" width="11" style="89"/>
    <col min="10262" max="10262" width="11" style="89"/>
    <col min="10263" max="10263" width="11" style="89"/>
    <col min="10264" max="10264" width="11" style="89"/>
    <col min="10265" max="10265" width="11" style="89"/>
    <col min="10266" max="10266" width="11" style="89"/>
    <col min="10267" max="10267" width="11" style="89"/>
    <col min="10268" max="10268" width="11" style="89"/>
    <col min="10269" max="10269" width="11" style="89"/>
    <col min="10270" max="10270" width="11" style="89"/>
    <col min="10271" max="10271" width="11" style="89"/>
    <col min="10272" max="10272" width="11" style="89"/>
    <col min="10273" max="10273" width="11" style="89"/>
    <col min="10274" max="10274" width="11" style="89"/>
    <col min="10275" max="10275" width="11" style="89"/>
    <col min="10276" max="10276" width="11" style="89"/>
    <col min="10277" max="10277" width="11" style="89"/>
    <col min="10278" max="10278" width="11" style="89"/>
    <col min="10279" max="10279" width="11" style="89"/>
    <col min="10280" max="10280" width="11" style="89"/>
    <col min="10281" max="10281" width="11" style="89"/>
    <col min="10282" max="10282" width="11" style="89"/>
    <col min="10283" max="10283" width="11" style="89"/>
    <col min="10284" max="10284" width="11" style="89"/>
    <col min="10285" max="10285" width="11" style="89"/>
    <col min="10286" max="10286" width="11" style="89"/>
    <col min="10287" max="10287" width="11" style="89"/>
    <col min="10288" max="10288" width="11" style="89"/>
    <col min="10289" max="10289" width="11" style="89"/>
    <col min="10290" max="10290" width="11" style="89"/>
    <col min="10291" max="10291" width="11" style="89"/>
    <col min="10292" max="10292" width="11" style="89"/>
    <col min="10293" max="10293" width="11" style="89"/>
    <col min="10294" max="10294" width="11" style="89"/>
    <col min="10295" max="10295" width="11" style="89"/>
    <col min="10296" max="10296" width="11" style="89"/>
    <col min="10297" max="10297" width="11" style="89"/>
    <col min="10298" max="10298" width="11" style="89"/>
    <col min="10299" max="10299" width="11" style="89"/>
    <col min="10300" max="10300" width="11" style="89"/>
    <col min="10301" max="10301" width="11" style="89"/>
    <col min="10302" max="10302" width="11" style="89"/>
    <col min="10303" max="10303" width="11" style="89"/>
    <col min="10304" max="10304" width="11" style="89"/>
    <col min="10305" max="10305" width="11" style="89"/>
    <col min="10306" max="10306" width="11" style="89"/>
    <col min="10307" max="10307" width="11" style="89"/>
    <col min="10308" max="10308" width="11" style="89"/>
    <col min="10309" max="10309" width="11" style="89"/>
    <col min="10310" max="10310" width="11" style="89"/>
    <col min="10311" max="10311" width="11" style="89"/>
    <col min="10312" max="10312" width="11" style="89"/>
    <col min="10313" max="10313" width="11" style="89"/>
    <col min="10314" max="10314" width="11" style="89"/>
    <col min="10315" max="10315" width="11" style="89"/>
    <col min="10316" max="10316" width="11" style="89"/>
    <col min="10317" max="10317" width="11" style="89"/>
    <col min="10318" max="10318" width="11" style="89"/>
    <col min="10319" max="10319" width="11" style="89"/>
    <col min="10320" max="10320" width="11" style="89"/>
    <col min="10321" max="10321" width="11" style="89"/>
    <col min="10322" max="10322" width="11" style="89"/>
    <col min="10323" max="10323" width="11" style="89"/>
    <col min="10324" max="10324" width="11" style="89"/>
    <col min="10325" max="10325" width="11" style="89"/>
    <col min="10326" max="10326" width="11" style="89"/>
    <col min="10327" max="10327" width="11" style="89"/>
    <col min="10328" max="10328" width="11" style="89"/>
    <col min="10329" max="10329" width="11" style="89"/>
    <col min="10330" max="10330" width="11" style="89"/>
    <col min="10331" max="10331" width="11" style="89"/>
    <col min="10332" max="10332" width="11" style="89"/>
    <col min="10333" max="10333" width="11" style="89"/>
    <col min="10334" max="10334" width="11" style="89"/>
    <col min="10335" max="10335" width="11" style="89"/>
    <col min="10336" max="10336" width="11" style="89"/>
    <col min="10337" max="10337" width="11" style="89"/>
    <col min="10338" max="10338" width="11" style="89"/>
    <col min="10339" max="10339" width="11" style="89"/>
    <col min="10340" max="10340" width="11" style="89"/>
    <col min="10341" max="10341" width="11" style="89"/>
    <col min="10342" max="10342" width="11" style="89"/>
    <col min="10343" max="10343" width="11" style="89"/>
    <col min="10344" max="10344" width="11" style="89"/>
    <col min="10345" max="10345" width="11" style="89"/>
    <col min="10346" max="10346" width="11" style="89"/>
    <col min="10347" max="10347" width="11" style="89"/>
    <col min="10348" max="10348" width="11" style="89"/>
    <col min="10349" max="10349" width="11" style="89"/>
    <col min="10350" max="10350" width="11" style="89"/>
    <col min="10351" max="10351" width="11" style="89"/>
    <col min="10352" max="10352" width="11" style="89"/>
    <col min="10353" max="10353" width="11" style="89"/>
    <col min="10354" max="10354" width="11" style="89"/>
    <col min="10355" max="10355" width="11" style="89"/>
    <col min="10356" max="10356" width="11" style="89"/>
    <col min="10357" max="10357" width="11" style="89"/>
    <col min="10358" max="10358" width="11" style="89"/>
    <col min="10359" max="10359" width="11" style="89"/>
    <col min="10360" max="10360" width="11" style="89"/>
    <col min="10361" max="10361" width="11" style="89"/>
    <col min="10362" max="10362" width="11" style="89"/>
    <col min="10363" max="10363" width="11" style="89"/>
    <col min="10364" max="10364" width="11" style="89"/>
    <col min="10365" max="10365" width="11" style="89"/>
    <col min="10366" max="10366" width="11" style="89"/>
    <col min="10367" max="10367" width="11" style="89"/>
    <col min="10368" max="10368" width="11" style="89"/>
    <col min="10369" max="10369" width="11" style="89"/>
    <col min="10370" max="10370" width="11" style="89"/>
    <col min="10371" max="10371" width="11" style="89"/>
    <col min="10372" max="10372" width="11" style="89"/>
    <col min="10373" max="10373" width="11" style="89"/>
    <col min="10374" max="10374" width="11" style="89"/>
    <col min="10375" max="10375" width="11" style="89"/>
    <col min="10376" max="10376" width="11" style="89"/>
    <col min="10377" max="10377" width="11" style="89"/>
    <col min="10378" max="10378" width="11" style="89"/>
    <col min="10379" max="10379" width="11" style="89"/>
    <col min="10380" max="10380" width="11" style="89"/>
    <col min="10381" max="10381" width="11" style="89"/>
    <col min="10382" max="10382" width="11" style="89"/>
    <col min="10383" max="10383" width="11" style="89"/>
    <col min="10384" max="10384" width="11" style="89"/>
    <col min="10385" max="10385" width="11" style="89"/>
    <col min="10386" max="10386" width="11" style="89"/>
    <col min="10387" max="10387" width="11" style="89"/>
    <col min="10388" max="10388" width="11" style="89"/>
    <col min="10389" max="10389" width="11" style="89"/>
    <col min="10390" max="10390" width="11" style="89"/>
    <col min="10391" max="10391" width="11" style="89"/>
    <col min="10392" max="10392" width="11" style="89"/>
    <col min="10393" max="10393" width="11" style="89"/>
    <col min="10394" max="10394" width="11" style="89"/>
    <col min="10395" max="10395" width="11" style="89"/>
    <col min="10396" max="10396" width="11" style="89"/>
    <col min="10397" max="10397" width="11" style="89"/>
    <col min="10398" max="10398" width="11" style="89"/>
    <col min="10399" max="10399" width="11" style="89"/>
    <col min="10400" max="10400" width="11" style="89"/>
    <col min="10401" max="10401" width="11" style="89"/>
    <col min="10402" max="10402" width="11" style="89"/>
    <col min="10403" max="10403" width="11" style="89"/>
    <col min="10404" max="10404" width="11" style="89"/>
    <col min="10405" max="10405" width="11" style="89"/>
    <col min="10406" max="10406" width="11" style="89"/>
    <col min="10407" max="10407" width="11" style="89"/>
    <col min="10408" max="10408" width="11" style="89"/>
    <col min="10409" max="10409" width="11" style="89"/>
    <col min="10410" max="10410" width="11" style="89"/>
    <col min="10411" max="10411" width="11" style="89"/>
    <col min="10412" max="10412" width="11" style="89"/>
    <col min="10413" max="10413" width="11" style="89"/>
    <col min="10414" max="10414" width="11" style="89"/>
    <col min="10415" max="10415" width="11" style="89"/>
    <col min="10416" max="10416" width="11" style="89"/>
    <col min="10417" max="10417" width="11" style="89"/>
    <col min="10418" max="10418" width="11" style="89"/>
    <col min="10419" max="10419" width="11" style="89"/>
    <col min="10420" max="10420" width="11" style="89"/>
    <col min="10421" max="10421" width="11" style="89"/>
    <col min="10422" max="10422" width="11" style="89"/>
    <col min="10423" max="10423" width="11" style="89"/>
    <col min="10424" max="10424" width="11" style="89"/>
    <col min="10425" max="10425" width="11" style="89"/>
    <col min="10426" max="10426" width="11" style="89"/>
    <col min="10427" max="10427" width="11" style="89"/>
    <col min="10428" max="10428" width="11" style="89"/>
    <col min="10429" max="10429" width="11" style="89"/>
    <col min="10430" max="10430" width="11" style="89"/>
    <col min="10431" max="10431" width="11" style="89"/>
    <col min="10432" max="10432" width="11" style="89"/>
    <col min="10433" max="10433" width="11" style="89"/>
    <col min="10434" max="10434" width="11" style="89"/>
    <col min="10435" max="10435" width="11" style="89"/>
    <col min="10436" max="10436" width="11" style="89"/>
    <col min="10437" max="10437" width="11" style="89"/>
    <col min="10438" max="10438" width="11" style="89"/>
    <col min="10439" max="10439" width="11" style="89"/>
    <col min="10440" max="10440" width="11" style="89"/>
    <col min="10441" max="10441" width="11" style="89"/>
    <col min="10442" max="10442" width="11" style="89"/>
    <col min="10443" max="10443" width="11" style="89"/>
    <col min="10444" max="10444" width="11" style="89"/>
    <col min="10445" max="10445" width="11" style="89"/>
    <col min="10446" max="10446" width="11" style="89"/>
    <col min="10447" max="10447" width="11" style="89"/>
    <col min="10448" max="10448" width="11" style="89"/>
    <col min="10449" max="10449" width="11" style="89"/>
    <col min="10450" max="10450" width="11" style="89"/>
    <col min="10451" max="10451" width="11" style="89"/>
    <col min="10452" max="10452" width="11" style="89"/>
    <col min="10453" max="10453" width="11" style="89"/>
    <col min="10454" max="10454" width="11" style="89"/>
    <col min="10455" max="10455" width="11" style="89"/>
    <col min="10456" max="10456" width="11" style="89"/>
    <col min="10457" max="10457" width="11" style="89"/>
    <col min="10458" max="10458" width="11" style="89"/>
    <col min="10459" max="10459" width="11" style="89"/>
    <col min="10460" max="10460" width="11" style="89"/>
    <col min="10461" max="10461" width="11" style="89"/>
    <col min="10462" max="10462" width="11" style="89"/>
    <col min="10463" max="10463" width="11" style="89"/>
    <col min="10464" max="10464" width="11" style="89"/>
    <col min="10465" max="10465" width="11" style="89"/>
    <col min="10466" max="10466" width="11" style="89"/>
    <col min="10467" max="10467" width="11" style="89"/>
    <col min="10468" max="10468" width="11" style="89"/>
    <col min="10469" max="10469" width="11" style="89"/>
    <col min="10470" max="10470" width="11" style="89"/>
    <col min="10471" max="10471" width="11" style="89"/>
    <col min="10472" max="10472" width="11" style="89"/>
    <col min="10473" max="10473" width="11" style="89"/>
    <col min="10474" max="10474" width="11" style="89"/>
    <col min="10475" max="10475" width="11" style="89"/>
    <col min="10476" max="10476" width="11" style="89"/>
    <col min="10477" max="10477" width="11" style="89"/>
    <col min="10478" max="10478" width="11" style="89"/>
    <col min="10479" max="10479" width="11" style="89"/>
    <col min="10480" max="10480" width="11" style="89"/>
    <col min="10481" max="10481" width="11" style="89"/>
    <col min="10482" max="10482" width="11" style="89"/>
    <col min="10483" max="10483" width="11" style="89"/>
    <col min="10484" max="10484" width="11" style="89"/>
    <col min="10485" max="10485" width="11" style="89"/>
    <col min="10486" max="10486" width="11" style="89"/>
    <col min="10487" max="10487" width="11" style="89"/>
    <col min="10488" max="10488" width="11" style="89"/>
    <col min="10489" max="10489" width="11" style="89"/>
    <col min="10490" max="10490" width="11" style="89"/>
    <col min="10491" max="10491" width="11" style="89"/>
    <col min="10492" max="10492" width="11" style="89"/>
    <col min="10493" max="10493" width="11" style="89"/>
    <col min="10494" max="10494" width="11" style="89"/>
    <col min="10495" max="10495" width="11" style="89"/>
    <col min="10496" max="10496" width="11" style="89"/>
    <col min="10497" max="10497" width="10.140625" customWidth="true" style="89"/>
    <col min="10498" max="10498" width="10.140625" customWidth="true" style="89"/>
    <col min="10499" max="10499" width="10.140625" customWidth="true" style="89"/>
    <col min="10500" max="10500" width="10.140625" customWidth="true" style="89"/>
    <col min="10501" max="10501" width="10.140625" customWidth="true" style="89"/>
    <col min="10502" max="10502" width="10.140625" customWidth="true" style="89"/>
    <col min="10503" max="10503" width="10.140625" customWidth="true" style="89"/>
    <col min="10504" max="10504" width="10.140625" customWidth="true" style="89"/>
    <col min="10505" max="10505" width="10.140625" customWidth="true" style="89"/>
    <col min="10506" max="10506" width="11" style="89"/>
    <col min="10507" max="10507" width="11" style="89"/>
    <col min="10508" max="10508" width="11" style="89"/>
    <col min="10509" max="10509" width="11" style="89"/>
    <col min="10510" max="10510" width="11" style="89"/>
    <col min="10511" max="10511" width="11" style="89"/>
    <col min="10512" max="10512" width="11" style="89"/>
    <col min="10513" max="10513" width="11" style="89"/>
    <col min="10514" max="10514" width="11" style="89"/>
    <col min="10515" max="10515" width="11" style="89"/>
    <col min="10516" max="10516" width="11" style="89"/>
    <col min="10517" max="10517" width="11" style="89"/>
    <col min="10518" max="10518" width="11" style="89"/>
    <col min="10519" max="10519" width="11" style="89"/>
    <col min="10520" max="10520" width="11" style="89"/>
    <col min="10521" max="10521" width="11" style="89"/>
    <col min="10522" max="10522" width="11" style="89"/>
    <col min="10523" max="10523" width="11" style="89"/>
    <col min="10524" max="10524" width="11" style="89"/>
    <col min="10525" max="10525" width="11" style="89"/>
    <col min="10526" max="10526" width="11" style="89"/>
    <col min="10527" max="10527" width="11" style="89"/>
    <col min="10528" max="10528" width="11" style="89"/>
    <col min="10529" max="10529" width="11" style="89"/>
    <col min="10530" max="10530" width="11" style="89"/>
    <col min="10531" max="10531" width="11" style="89"/>
    <col min="10532" max="10532" width="11" style="89"/>
    <col min="10533" max="10533" width="11" style="89"/>
    <col min="10534" max="10534" width="11" style="89"/>
    <col min="10535" max="10535" width="11" style="89"/>
    <col min="10536" max="10536" width="11" style="89"/>
    <col min="10537" max="10537" width="11" style="89"/>
    <col min="10538" max="10538" width="11" style="89"/>
    <col min="10539" max="10539" width="11" style="89"/>
    <col min="10540" max="10540" width="11" style="89"/>
    <col min="10541" max="10541" width="11" style="89"/>
    <col min="10542" max="10542" width="11" style="89"/>
    <col min="10543" max="10543" width="11" style="89"/>
    <col min="10544" max="10544" width="11" style="89"/>
    <col min="10545" max="10545" width="11" style="89"/>
    <col min="10546" max="10546" width="11" style="89"/>
    <col min="10547" max="10547" width="11" style="89"/>
    <col min="10548" max="10548" width="11" style="89"/>
    <col min="10549" max="10549" width="11" style="89"/>
    <col min="10550" max="10550" width="11" style="89"/>
    <col min="10551" max="10551" width="11" style="89"/>
    <col min="10552" max="10552" width="11" style="89"/>
    <col min="10553" max="10553" width="11" style="89"/>
    <col min="10554" max="10554" width="11" style="89"/>
    <col min="10555" max="10555" width="11" style="89"/>
    <col min="10556" max="10556" width="11" style="89"/>
    <col min="10557" max="10557" width="11" style="89"/>
    <col min="10558" max="10558" width="11" style="89"/>
    <col min="10559" max="10559" width="11" style="89"/>
    <col min="10560" max="10560" width="11" style="89"/>
    <col min="10561" max="10561" width="11" style="89"/>
    <col min="10562" max="10562" width="11" style="89"/>
    <col min="10563" max="10563" width="11" style="89"/>
    <col min="10564" max="10564" width="11" style="89"/>
    <col min="10565" max="10565" width="11" style="89"/>
    <col min="10566" max="10566" width="11" style="89"/>
    <col min="10567" max="10567" width="11" style="89"/>
    <col min="10568" max="10568" width="11" style="89"/>
    <col min="10569" max="10569" width="11" style="89"/>
    <col min="10570" max="10570" width="11" style="89"/>
    <col min="10571" max="10571" width="11" style="89"/>
    <col min="10572" max="10572" width="11" style="89"/>
    <col min="10573" max="10573" width="11" style="89"/>
    <col min="10574" max="10574" width="11" style="89"/>
    <col min="10575" max="10575" width="11" style="89"/>
    <col min="10576" max="10576" width="11" style="89"/>
    <col min="10577" max="10577" width="11" style="89"/>
    <col min="10578" max="10578" width="11" style="89"/>
    <col min="10579" max="10579" width="11" style="89"/>
    <col min="10580" max="10580" width="11" style="89"/>
    <col min="10581" max="10581" width="11" style="89"/>
    <col min="10582" max="10582" width="11" style="89"/>
    <col min="10583" max="10583" width="11" style="89"/>
    <col min="10584" max="10584" width="11" style="89"/>
    <col min="10585" max="10585" width="11" style="89"/>
    <col min="10586" max="10586" width="11" style="89"/>
    <col min="10587" max="10587" width="11" style="89"/>
    <col min="10588" max="10588" width="11" style="89"/>
    <col min="10589" max="10589" width="11" style="89"/>
    <col min="10590" max="10590" width="11" style="89"/>
    <col min="10591" max="10591" width="11" style="89"/>
    <col min="10592" max="10592" width="11" style="89"/>
    <col min="10593" max="10593" width="11" style="89"/>
    <col min="10594" max="10594" width="11" style="89"/>
    <col min="10595" max="10595" width="11" style="89"/>
    <col min="10596" max="10596" width="11" style="89"/>
    <col min="10597" max="10597" width="11" style="89"/>
    <col min="10598" max="10598" width="11" style="89"/>
    <col min="10599" max="10599" width="11" style="89"/>
    <col min="10600" max="10600" width="11" style="89"/>
    <col min="10601" max="10601" width="11" style="89"/>
    <col min="10602" max="10602" width="11" style="89"/>
    <col min="10603" max="10603" width="11" style="89"/>
    <col min="10604" max="10604" width="11" style="89"/>
    <col min="10605" max="10605" width="11" style="89"/>
    <col min="10606" max="10606" width="11" style="89"/>
    <col min="10607" max="10607" width="11" style="89"/>
    <col min="10608" max="10608" width="11" style="89"/>
    <col min="10609" max="10609" width="11" style="89"/>
    <col min="10610" max="10610" width="11" style="89"/>
    <col min="10611" max="10611" width="11" style="89"/>
    <col min="10612" max="10612" width="11" style="89"/>
    <col min="10613" max="10613" width="11" style="89"/>
    <col min="10614" max="10614" width="11" style="89"/>
    <col min="10615" max="10615" width="11" style="89"/>
    <col min="10616" max="10616" width="11" style="89"/>
    <col min="10617" max="10617" width="11" style="89"/>
    <col min="10618" max="10618" width="11" style="89"/>
    <col min="10619" max="10619" width="11" style="89"/>
    <col min="10620" max="10620" width="11" style="89"/>
    <col min="10621" max="10621" width="11" style="89"/>
    <col min="10622" max="10622" width="11" style="89"/>
    <col min="10623" max="10623" width="11" style="89"/>
    <col min="10624" max="10624" width="11" style="89"/>
    <col min="10625" max="10625" width="11" style="89"/>
    <col min="10626" max="10626" width="11" style="89"/>
    <col min="10627" max="10627" width="11" style="89"/>
    <col min="10628" max="10628" width="11" style="89"/>
    <col min="10629" max="10629" width="11" style="89"/>
    <col min="10630" max="10630" width="11" style="89"/>
    <col min="10631" max="10631" width="11" style="89"/>
    <col min="10632" max="10632" width="11" style="89"/>
    <col min="10633" max="10633" width="11" style="89"/>
    <col min="10634" max="10634" width="11" style="89"/>
    <col min="10635" max="10635" width="11" style="89"/>
    <col min="10636" max="10636" width="11" style="89"/>
    <col min="10637" max="10637" width="11" style="89"/>
    <col min="10638" max="10638" width="11" style="89"/>
    <col min="10639" max="10639" width="11" style="89"/>
    <col min="10640" max="10640" width="11" style="89"/>
    <col min="10641" max="10641" width="11" style="89"/>
    <col min="10642" max="10642" width="11" style="89"/>
    <col min="10643" max="10643" width="11" style="89"/>
    <col min="10644" max="10644" width="11" style="89"/>
    <col min="10645" max="10645" width="11" style="89"/>
    <col min="10646" max="10646" width="11" style="89"/>
    <col min="10647" max="10647" width="11" style="89"/>
    <col min="10648" max="10648" width="11" style="89"/>
    <col min="10649" max="10649" width="11" style="89"/>
    <col min="10650" max="10650" width="11" style="89"/>
    <col min="10651" max="10651" width="11" style="89"/>
    <col min="10652" max="10652" width="11" style="89"/>
    <col min="10653" max="10653" width="11" style="89"/>
    <col min="10654" max="10654" width="11" style="89"/>
    <col min="10655" max="10655" width="11" style="89"/>
    <col min="10656" max="10656" width="11" style="89"/>
    <col min="10657" max="10657" width="11" style="89"/>
    <col min="10658" max="10658" width="11" style="89"/>
    <col min="10659" max="10659" width="11" style="89"/>
    <col min="10660" max="10660" width="11" style="89"/>
    <col min="10661" max="10661" width="11" style="89"/>
    <col min="10662" max="10662" width="11" style="89"/>
    <col min="10663" max="10663" width="11" style="89"/>
    <col min="10664" max="10664" width="11" style="89"/>
    <col min="10665" max="10665" width="11" style="89"/>
    <col min="10666" max="10666" width="11" style="89"/>
    <col min="10667" max="10667" width="11" style="89"/>
    <col min="10668" max="10668" width="11" style="89"/>
    <col min="10669" max="10669" width="11" style="89"/>
    <col min="10670" max="10670" width="11" style="89"/>
    <col min="10671" max="10671" width="11" style="89"/>
    <col min="10672" max="10672" width="11" style="89"/>
    <col min="10673" max="10673" width="11" style="89"/>
    <col min="10674" max="10674" width="11" style="89"/>
    <col min="10675" max="10675" width="11" style="89"/>
    <col min="10676" max="10676" width="11" style="89"/>
    <col min="10677" max="10677" width="11" style="89"/>
    <col min="10678" max="10678" width="11" style="89"/>
    <col min="10679" max="10679" width="11" style="89"/>
    <col min="10680" max="10680" width="11" style="89"/>
    <col min="10681" max="10681" width="11" style="89"/>
    <col min="10682" max="10682" width="11" style="89"/>
    <col min="10683" max="10683" width="11" style="89"/>
    <col min="10684" max="10684" width="11" style="89"/>
    <col min="10685" max="10685" width="11" style="89"/>
    <col min="10686" max="10686" width="11" style="89"/>
    <col min="10687" max="10687" width="11" style="89"/>
    <col min="10688" max="10688" width="11" style="89"/>
    <col min="10689" max="10689" width="11" style="89"/>
    <col min="10690" max="10690" width="11" style="89"/>
    <col min="10691" max="10691" width="11" style="89"/>
    <col min="10692" max="10692" width="11" style="89"/>
    <col min="10693" max="10693" width="11" style="89"/>
    <col min="10694" max="10694" width="11" style="89"/>
    <col min="10695" max="10695" width="11" style="89"/>
    <col min="10696" max="10696" width="11" style="89"/>
    <col min="10697" max="10697" width="11" style="89"/>
    <col min="10698" max="10698" width="11" style="89"/>
    <col min="10699" max="10699" width="11" style="89"/>
    <col min="10700" max="10700" width="11" style="89"/>
    <col min="10701" max="10701" width="11" style="89"/>
    <col min="10702" max="10702" width="11" style="89"/>
    <col min="10703" max="10703" width="11" style="89"/>
    <col min="10704" max="10704" width="11" style="89"/>
    <col min="10705" max="10705" width="11" style="89"/>
    <col min="10706" max="10706" width="11" style="89"/>
    <col min="10707" max="10707" width="11" style="89"/>
    <col min="10708" max="10708" width="11" style="89"/>
    <col min="10709" max="10709" width="11" style="89"/>
    <col min="10710" max="10710" width="11" style="89"/>
    <col min="10711" max="10711" width="11" style="89"/>
    <col min="10712" max="10712" width="11" style="89"/>
    <col min="10713" max="10713" width="11" style="89"/>
    <col min="10714" max="10714" width="11" style="89"/>
    <col min="10715" max="10715" width="11" style="89"/>
    <col min="10716" max="10716" width="11" style="89"/>
    <col min="10717" max="10717" width="11" style="89"/>
    <col min="10718" max="10718" width="11" style="89"/>
    <col min="10719" max="10719" width="11" style="89"/>
    <col min="10720" max="10720" width="11" style="89"/>
    <col min="10721" max="10721" width="11" style="89"/>
    <col min="10722" max="10722" width="11" style="89"/>
    <col min="10723" max="10723" width="11" style="89"/>
    <col min="10724" max="10724" width="11" style="89"/>
    <col min="10725" max="10725" width="11" style="89"/>
    <col min="10726" max="10726" width="11" style="89"/>
    <col min="10727" max="10727" width="11" style="89"/>
    <col min="10728" max="10728" width="11" style="89"/>
    <col min="10729" max="10729" width="11" style="89"/>
    <col min="10730" max="10730" width="11" style="89"/>
    <col min="10731" max="10731" width="11" style="89"/>
    <col min="10732" max="10732" width="11" style="89"/>
    <col min="10733" max="10733" width="11" style="89"/>
    <col min="10734" max="10734" width="11" style="89"/>
    <col min="10735" max="10735" width="11" style="89"/>
    <col min="10736" max="10736" width="11" style="89"/>
    <col min="10737" max="10737" width="11" style="89"/>
    <col min="10738" max="10738" width="11" style="89"/>
    <col min="10739" max="10739" width="11" style="89"/>
    <col min="10740" max="10740" width="11" style="89"/>
    <col min="10741" max="10741" width="11" style="89"/>
    <col min="10742" max="10742" width="11" style="89"/>
    <col min="10743" max="10743" width="11" style="89"/>
    <col min="10744" max="10744" width="11" style="89"/>
    <col min="10745" max="10745" width="11" style="89"/>
    <col min="10746" max="10746" width="11" style="89"/>
    <col min="10747" max="10747" width="11" style="89"/>
    <col min="10748" max="10748" width="11" style="89"/>
    <col min="10749" max="10749" width="11" style="89"/>
    <col min="10750" max="10750" width="11" style="89"/>
    <col min="10751" max="10751" width="11" style="89"/>
    <col min="10752" max="10752" width="11" style="89"/>
    <col min="10753" max="10753" width="10.140625" customWidth="true" style="89"/>
    <col min="10754" max="10754" width="10.140625" customWidth="true" style="89"/>
    <col min="10755" max="10755" width="10.140625" customWidth="true" style="89"/>
    <col min="10756" max="10756" width="10.140625" customWidth="true" style="89"/>
    <col min="10757" max="10757" width="10.140625" customWidth="true" style="89"/>
    <col min="10758" max="10758" width="10.140625" customWidth="true" style="89"/>
    <col min="10759" max="10759" width="10.140625" customWidth="true" style="89"/>
    <col min="10760" max="10760" width="10.140625" customWidth="true" style="89"/>
    <col min="10761" max="10761" width="10.140625" customWidth="true" style="89"/>
    <col min="10762" max="10762" width="11" style="89"/>
    <col min="10763" max="10763" width="11" style="89"/>
    <col min="10764" max="10764" width="11" style="89"/>
    <col min="10765" max="10765" width="11" style="89"/>
    <col min="10766" max="10766" width="11" style="89"/>
    <col min="10767" max="10767" width="11" style="89"/>
    <col min="10768" max="10768" width="11" style="89"/>
    <col min="10769" max="10769" width="11" style="89"/>
    <col min="10770" max="10770" width="11" style="89"/>
    <col min="10771" max="10771" width="11" style="89"/>
    <col min="10772" max="10772" width="11" style="89"/>
    <col min="10773" max="10773" width="11" style="89"/>
    <col min="10774" max="10774" width="11" style="89"/>
    <col min="10775" max="10775" width="11" style="89"/>
    <col min="10776" max="10776" width="11" style="89"/>
    <col min="10777" max="10777" width="11" style="89"/>
    <col min="10778" max="10778" width="11" style="89"/>
    <col min="10779" max="10779" width="11" style="89"/>
    <col min="10780" max="10780" width="11" style="89"/>
    <col min="10781" max="10781" width="11" style="89"/>
    <col min="10782" max="10782" width="11" style="89"/>
    <col min="10783" max="10783" width="11" style="89"/>
    <col min="10784" max="10784" width="11" style="89"/>
    <col min="10785" max="10785" width="11" style="89"/>
    <col min="10786" max="10786" width="11" style="89"/>
    <col min="10787" max="10787" width="11" style="89"/>
    <col min="10788" max="10788" width="11" style="89"/>
    <col min="10789" max="10789" width="11" style="89"/>
    <col min="10790" max="10790" width="11" style="89"/>
    <col min="10791" max="10791" width="11" style="89"/>
    <col min="10792" max="10792" width="11" style="89"/>
    <col min="10793" max="10793" width="11" style="89"/>
    <col min="10794" max="10794" width="11" style="89"/>
    <col min="10795" max="10795" width="11" style="89"/>
    <col min="10796" max="10796" width="11" style="89"/>
    <col min="10797" max="10797" width="11" style="89"/>
    <col min="10798" max="10798" width="11" style="89"/>
    <col min="10799" max="10799" width="11" style="89"/>
    <col min="10800" max="10800" width="11" style="89"/>
    <col min="10801" max="10801" width="11" style="89"/>
    <col min="10802" max="10802" width="11" style="89"/>
    <col min="10803" max="10803" width="11" style="89"/>
    <col min="10804" max="10804" width="11" style="89"/>
    <col min="10805" max="10805" width="11" style="89"/>
    <col min="10806" max="10806" width="11" style="89"/>
    <col min="10807" max="10807" width="11" style="89"/>
    <col min="10808" max="10808" width="11" style="89"/>
    <col min="10809" max="10809" width="11" style="89"/>
    <col min="10810" max="10810" width="11" style="89"/>
    <col min="10811" max="10811" width="11" style="89"/>
    <col min="10812" max="10812" width="11" style="89"/>
    <col min="10813" max="10813" width="11" style="89"/>
    <col min="10814" max="10814" width="11" style="89"/>
    <col min="10815" max="10815" width="11" style="89"/>
    <col min="10816" max="10816" width="11" style="89"/>
    <col min="10817" max="10817" width="11" style="89"/>
    <col min="10818" max="10818" width="11" style="89"/>
    <col min="10819" max="10819" width="11" style="89"/>
    <col min="10820" max="10820" width="11" style="89"/>
    <col min="10821" max="10821" width="11" style="89"/>
    <col min="10822" max="10822" width="11" style="89"/>
    <col min="10823" max="10823" width="11" style="89"/>
    <col min="10824" max="10824" width="11" style="89"/>
    <col min="10825" max="10825" width="11" style="89"/>
    <col min="10826" max="10826" width="11" style="89"/>
    <col min="10827" max="10827" width="11" style="89"/>
    <col min="10828" max="10828" width="11" style="89"/>
    <col min="10829" max="10829" width="11" style="89"/>
    <col min="10830" max="10830" width="11" style="89"/>
    <col min="10831" max="10831" width="11" style="89"/>
    <col min="10832" max="10832" width="11" style="89"/>
    <col min="10833" max="10833" width="11" style="89"/>
    <col min="10834" max="10834" width="11" style="89"/>
    <col min="10835" max="10835" width="11" style="89"/>
    <col min="10836" max="10836" width="11" style="89"/>
    <col min="10837" max="10837" width="11" style="89"/>
    <col min="10838" max="10838" width="11" style="89"/>
    <col min="10839" max="10839" width="11" style="89"/>
    <col min="10840" max="10840" width="11" style="89"/>
    <col min="10841" max="10841" width="11" style="89"/>
    <col min="10842" max="10842" width="11" style="89"/>
    <col min="10843" max="10843" width="11" style="89"/>
    <col min="10844" max="10844" width="11" style="89"/>
    <col min="10845" max="10845" width="11" style="89"/>
    <col min="10846" max="10846" width="11" style="89"/>
    <col min="10847" max="10847" width="11" style="89"/>
    <col min="10848" max="10848" width="11" style="89"/>
    <col min="10849" max="10849" width="11" style="89"/>
    <col min="10850" max="10850" width="11" style="89"/>
    <col min="10851" max="10851" width="11" style="89"/>
    <col min="10852" max="10852" width="11" style="89"/>
    <col min="10853" max="10853" width="11" style="89"/>
    <col min="10854" max="10854" width="11" style="89"/>
    <col min="10855" max="10855" width="11" style="89"/>
    <col min="10856" max="10856" width="11" style="89"/>
    <col min="10857" max="10857" width="11" style="89"/>
    <col min="10858" max="10858" width="11" style="89"/>
    <col min="10859" max="10859" width="11" style="89"/>
    <col min="10860" max="10860" width="11" style="89"/>
    <col min="10861" max="10861" width="11" style="89"/>
    <col min="10862" max="10862" width="11" style="89"/>
    <col min="10863" max="10863" width="11" style="89"/>
    <col min="10864" max="10864" width="11" style="89"/>
    <col min="10865" max="10865" width="11" style="89"/>
    <col min="10866" max="10866" width="11" style="89"/>
    <col min="10867" max="10867" width="11" style="89"/>
    <col min="10868" max="10868" width="11" style="89"/>
    <col min="10869" max="10869" width="11" style="89"/>
    <col min="10870" max="10870" width="11" style="89"/>
    <col min="10871" max="10871" width="11" style="89"/>
    <col min="10872" max="10872" width="11" style="89"/>
    <col min="10873" max="10873" width="11" style="89"/>
    <col min="10874" max="10874" width="11" style="89"/>
    <col min="10875" max="10875" width="11" style="89"/>
    <col min="10876" max="10876" width="11" style="89"/>
    <col min="10877" max="10877" width="11" style="89"/>
    <col min="10878" max="10878" width="11" style="89"/>
    <col min="10879" max="10879" width="11" style="89"/>
    <col min="10880" max="10880" width="11" style="89"/>
    <col min="10881" max="10881" width="11" style="89"/>
    <col min="10882" max="10882" width="11" style="89"/>
    <col min="10883" max="10883" width="11" style="89"/>
    <col min="10884" max="10884" width="11" style="89"/>
    <col min="10885" max="10885" width="11" style="89"/>
    <col min="10886" max="10886" width="11" style="89"/>
    <col min="10887" max="10887" width="11" style="89"/>
    <col min="10888" max="10888" width="11" style="89"/>
    <col min="10889" max="10889" width="11" style="89"/>
    <col min="10890" max="10890" width="11" style="89"/>
    <col min="10891" max="10891" width="11" style="89"/>
    <col min="10892" max="10892" width="11" style="89"/>
    <col min="10893" max="10893" width="11" style="89"/>
    <col min="10894" max="10894" width="11" style="89"/>
    <col min="10895" max="10895" width="11" style="89"/>
    <col min="10896" max="10896" width="11" style="89"/>
    <col min="10897" max="10897" width="11" style="89"/>
    <col min="10898" max="10898" width="11" style="89"/>
    <col min="10899" max="10899" width="11" style="89"/>
    <col min="10900" max="10900" width="11" style="89"/>
    <col min="10901" max="10901" width="11" style="89"/>
    <col min="10902" max="10902" width="11" style="89"/>
    <col min="10903" max="10903" width="11" style="89"/>
    <col min="10904" max="10904" width="11" style="89"/>
    <col min="10905" max="10905" width="11" style="89"/>
    <col min="10906" max="10906" width="11" style="89"/>
    <col min="10907" max="10907" width="11" style="89"/>
    <col min="10908" max="10908" width="11" style="89"/>
    <col min="10909" max="10909" width="11" style="89"/>
    <col min="10910" max="10910" width="11" style="89"/>
    <col min="10911" max="10911" width="11" style="89"/>
    <col min="10912" max="10912" width="11" style="89"/>
    <col min="10913" max="10913" width="11" style="89"/>
    <col min="10914" max="10914" width="11" style="89"/>
    <col min="10915" max="10915" width="11" style="89"/>
    <col min="10916" max="10916" width="11" style="89"/>
    <col min="10917" max="10917" width="11" style="89"/>
    <col min="10918" max="10918" width="11" style="89"/>
    <col min="10919" max="10919" width="11" style="89"/>
    <col min="10920" max="10920" width="11" style="89"/>
    <col min="10921" max="10921" width="11" style="89"/>
    <col min="10922" max="10922" width="11" style="89"/>
    <col min="10923" max="10923" width="11" style="89"/>
    <col min="10924" max="10924" width="11" style="89"/>
    <col min="10925" max="10925" width="11" style="89"/>
    <col min="10926" max="10926" width="11" style="89"/>
    <col min="10927" max="10927" width="11" style="89"/>
    <col min="10928" max="10928" width="11" style="89"/>
    <col min="10929" max="10929" width="11" style="89"/>
    <col min="10930" max="10930" width="11" style="89"/>
    <col min="10931" max="10931" width="11" style="89"/>
    <col min="10932" max="10932" width="11" style="89"/>
    <col min="10933" max="10933" width="11" style="89"/>
    <col min="10934" max="10934" width="11" style="89"/>
    <col min="10935" max="10935" width="11" style="89"/>
    <col min="10936" max="10936" width="11" style="89"/>
    <col min="10937" max="10937" width="11" style="89"/>
    <col min="10938" max="10938" width="11" style="89"/>
    <col min="10939" max="10939" width="11" style="89"/>
    <col min="10940" max="10940" width="11" style="89"/>
    <col min="10941" max="10941" width="11" style="89"/>
    <col min="10942" max="10942" width="11" style="89"/>
    <col min="10943" max="10943" width="11" style="89"/>
    <col min="10944" max="10944" width="11" style="89"/>
    <col min="10945" max="10945" width="11" style="89"/>
    <col min="10946" max="10946" width="11" style="89"/>
    <col min="10947" max="10947" width="11" style="89"/>
    <col min="10948" max="10948" width="11" style="89"/>
    <col min="10949" max="10949" width="11" style="89"/>
    <col min="10950" max="10950" width="11" style="89"/>
    <col min="10951" max="10951" width="11" style="89"/>
    <col min="10952" max="10952" width="11" style="89"/>
    <col min="10953" max="10953" width="11" style="89"/>
    <col min="10954" max="10954" width="11" style="89"/>
    <col min="10955" max="10955" width="11" style="89"/>
    <col min="10956" max="10956" width="11" style="89"/>
    <col min="10957" max="10957" width="11" style="89"/>
    <col min="10958" max="10958" width="11" style="89"/>
    <col min="10959" max="10959" width="11" style="89"/>
    <col min="10960" max="10960" width="11" style="89"/>
    <col min="10961" max="10961" width="11" style="89"/>
    <col min="10962" max="10962" width="11" style="89"/>
    <col min="10963" max="10963" width="11" style="89"/>
    <col min="10964" max="10964" width="11" style="89"/>
    <col min="10965" max="10965" width="11" style="89"/>
    <col min="10966" max="10966" width="11" style="89"/>
    <col min="10967" max="10967" width="11" style="89"/>
    <col min="10968" max="10968" width="11" style="89"/>
    <col min="10969" max="10969" width="11" style="89"/>
    <col min="10970" max="10970" width="11" style="89"/>
    <col min="10971" max="10971" width="11" style="89"/>
    <col min="10972" max="10972" width="11" style="89"/>
    <col min="10973" max="10973" width="11" style="89"/>
    <col min="10974" max="10974" width="11" style="89"/>
    <col min="10975" max="10975" width="11" style="89"/>
    <col min="10976" max="10976" width="11" style="89"/>
    <col min="10977" max="10977" width="11" style="89"/>
    <col min="10978" max="10978" width="11" style="89"/>
    <col min="10979" max="10979" width="11" style="89"/>
    <col min="10980" max="10980" width="11" style="89"/>
    <col min="10981" max="10981" width="11" style="89"/>
    <col min="10982" max="10982" width="11" style="89"/>
    <col min="10983" max="10983" width="11" style="89"/>
    <col min="10984" max="10984" width="11" style="89"/>
    <col min="10985" max="10985" width="11" style="89"/>
    <col min="10986" max="10986" width="11" style="89"/>
    <col min="10987" max="10987" width="11" style="89"/>
    <col min="10988" max="10988" width="11" style="89"/>
    <col min="10989" max="10989" width="11" style="89"/>
    <col min="10990" max="10990" width="11" style="89"/>
    <col min="10991" max="10991" width="11" style="89"/>
    <col min="10992" max="10992" width="11" style="89"/>
    <col min="10993" max="10993" width="11" style="89"/>
    <col min="10994" max="10994" width="11" style="89"/>
    <col min="10995" max="10995" width="11" style="89"/>
    <col min="10996" max="10996" width="11" style="89"/>
    <col min="10997" max="10997" width="11" style="89"/>
    <col min="10998" max="10998" width="11" style="89"/>
    <col min="10999" max="10999" width="11" style="89"/>
    <col min="11000" max="11000" width="11" style="89"/>
    <col min="11001" max="11001" width="11" style="89"/>
    <col min="11002" max="11002" width="11" style="89"/>
    <col min="11003" max="11003" width="11" style="89"/>
    <col min="11004" max="11004" width="11" style="89"/>
    <col min="11005" max="11005" width="11" style="89"/>
    <col min="11006" max="11006" width="11" style="89"/>
    <col min="11007" max="11007" width="11" style="89"/>
    <col min="11008" max="11008" width="11" style="89"/>
    <col min="11009" max="11009" width="10.140625" customWidth="true" style="89"/>
    <col min="11010" max="11010" width="10.140625" customWidth="true" style="89"/>
    <col min="11011" max="11011" width="10.140625" customWidth="true" style="89"/>
    <col min="11012" max="11012" width="10.140625" customWidth="true" style="89"/>
    <col min="11013" max="11013" width="10.140625" customWidth="true" style="89"/>
    <col min="11014" max="11014" width="10.140625" customWidth="true" style="89"/>
    <col min="11015" max="11015" width="10.140625" customWidth="true" style="89"/>
    <col min="11016" max="11016" width="10.140625" customWidth="true" style="89"/>
    <col min="11017" max="11017" width="10.140625" customWidth="true" style="89"/>
    <col min="11018" max="11018" width="11" style="89"/>
    <col min="11019" max="11019" width="11" style="89"/>
    <col min="11020" max="11020" width="11" style="89"/>
    <col min="11021" max="11021" width="11" style="89"/>
    <col min="11022" max="11022" width="11" style="89"/>
    <col min="11023" max="11023" width="11" style="89"/>
    <col min="11024" max="11024" width="11" style="89"/>
    <col min="11025" max="11025" width="11" style="89"/>
    <col min="11026" max="11026" width="11" style="89"/>
    <col min="11027" max="11027" width="11" style="89"/>
    <col min="11028" max="11028" width="11" style="89"/>
    <col min="11029" max="11029" width="11" style="89"/>
    <col min="11030" max="11030" width="11" style="89"/>
    <col min="11031" max="11031" width="11" style="89"/>
    <col min="11032" max="11032" width="11" style="89"/>
    <col min="11033" max="11033" width="11" style="89"/>
    <col min="11034" max="11034" width="11" style="89"/>
    <col min="11035" max="11035" width="11" style="89"/>
    <col min="11036" max="11036" width="11" style="89"/>
    <col min="11037" max="11037" width="11" style="89"/>
    <col min="11038" max="11038" width="11" style="89"/>
    <col min="11039" max="11039" width="11" style="89"/>
    <col min="11040" max="11040" width="11" style="89"/>
    <col min="11041" max="11041" width="11" style="89"/>
    <col min="11042" max="11042" width="11" style="89"/>
    <col min="11043" max="11043" width="11" style="89"/>
    <col min="11044" max="11044" width="11" style="89"/>
    <col min="11045" max="11045" width="11" style="89"/>
    <col min="11046" max="11046" width="11" style="89"/>
    <col min="11047" max="11047" width="11" style="89"/>
    <col min="11048" max="11048" width="11" style="89"/>
    <col min="11049" max="11049" width="11" style="89"/>
    <col min="11050" max="11050" width="11" style="89"/>
    <col min="11051" max="11051" width="11" style="89"/>
    <col min="11052" max="11052" width="11" style="89"/>
    <col min="11053" max="11053" width="11" style="89"/>
    <col min="11054" max="11054" width="11" style="89"/>
    <col min="11055" max="11055" width="11" style="89"/>
    <col min="11056" max="11056" width="11" style="89"/>
    <col min="11057" max="11057" width="11" style="89"/>
    <col min="11058" max="11058" width="11" style="89"/>
    <col min="11059" max="11059" width="11" style="89"/>
    <col min="11060" max="11060" width="11" style="89"/>
    <col min="11061" max="11061" width="11" style="89"/>
    <col min="11062" max="11062" width="11" style="89"/>
    <col min="11063" max="11063" width="11" style="89"/>
    <col min="11064" max="11064" width="11" style="89"/>
    <col min="11065" max="11065" width="11" style="89"/>
    <col min="11066" max="11066" width="11" style="89"/>
    <col min="11067" max="11067" width="11" style="89"/>
    <col min="11068" max="11068" width="11" style="89"/>
    <col min="11069" max="11069" width="11" style="89"/>
    <col min="11070" max="11070" width="11" style="89"/>
    <col min="11071" max="11071" width="11" style="89"/>
    <col min="11072" max="11072" width="11" style="89"/>
    <col min="11073" max="11073" width="11" style="89"/>
    <col min="11074" max="11074" width="11" style="89"/>
    <col min="11075" max="11075" width="11" style="89"/>
    <col min="11076" max="11076" width="11" style="89"/>
    <col min="11077" max="11077" width="11" style="89"/>
    <col min="11078" max="11078" width="11" style="89"/>
    <col min="11079" max="11079" width="11" style="89"/>
    <col min="11080" max="11080" width="11" style="89"/>
    <col min="11081" max="11081" width="11" style="89"/>
    <col min="11082" max="11082" width="11" style="89"/>
    <col min="11083" max="11083" width="11" style="89"/>
    <col min="11084" max="11084" width="11" style="89"/>
    <col min="11085" max="11085" width="11" style="89"/>
    <col min="11086" max="11086" width="11" style="89"/>
    <col min="11087" max="11087" width="11" style="89"/>
    <col min="11088" max="11088" width="11" style="89"/>
    <col min="11089" max="11089" width="11" style="89"/>
    <col min="11090" max="11090" width="11" style="89"/>
    <col min="11091" max="11091" width="11" style="89"/>
    <col min="11092" max="11092" width="11" style="89"/>
    <col min="11093" max="11093" width="11" style="89"/>
    <col min="11094" max="11094" width="11" style="89"/>
    <col min="11095" max="11095" width="11" style="89"/>
    <col min="11096" max="11096" width="11" style="89"/>
    <col min="11097" max="11097" width="11" style="89"/>
    <col min="11098" max="11098" width="11" style="89"/>
    <col min="11099" max="11099" width="11" style="89"/>
    <col min="11100" max="11100" width="11" style="89"/>
    <col min="11101" max="11101" width="11" style="89"/>
    <col min="11102" max="11102" width="11" style="89"/>
    <col min="11103" max="11103" width="11" style="89"/>
    <col min="11104" max="11104" width="11" style="89"/>
    <col min="11105" max="11105" width="11" style="89"/>
    <col min="11106" max="11106" width="11" style="89"/>
    <col min="11107" max="11107" width="11" style="89"/>
    <col min="11108" max="11108" width="11" style="89"/>
    <col min="11109" max="11109" width="11" style="89"/>
    <col min="11110" max="11110" width="11" style="89"/>
    <col min="11111" max="11111" width="11" style="89"/>
    <col min="11112" max="11112" width="11" style="89"/>
    <col min="11113" max="11113" width="11" style="89"/>
    <col min="11114" max="11114" width="11" style="89"/>
    <col min="11115" max="11115" width="11" style="89"/>
    <col min="11116" max="11116" width="11" style="89"/>
    <col min="11117" max="11117" width="11" style="89"/>
    <col min="11118" max="11118" width="11" style="89"/>
    <col min="11119" max="11119" width="11" style="89"/>
    <col min="11120" max="11120" width="11" style="89"/>
    <col min="11121" max="11121" width="11" style="89"/>
    <col min="11122" max="11122" width="11" style="89"/>
    <col min="11123" max="11123" width="11" style="89"/>
    <col min="11124" max="11124" width="11" style="89"/>
    <col min="11125" max="11125" width="11" style="89"/>
    <col min="11126" max="11126" width="11" style="89"/>
    <col min="11127" max="11127" width="11" style="89"/>
    <col min="11128" max="11128" width="11" style="89"/>
    <col min="11129" max="11129" width="11" style="89"/>
    <col min="11130" max="11130" width="11" style="89"/>
    <col min="11131" max="11131" width="11" style="89"/>
    <col min="11132" max="11132" width="11" style="89"/>
    <col min="11133" max="11133" width="11" style="89"/>
    <col min="11134" max="11134" width="11" style="89"/>
    <col min="11135" max="11135" width="11" style="89"/>
    <col min="11136" max="11136" width="11" style="89"/>
    <col min="11137" max="11137" width="11" style="89"/>
    <col min="11138" max="11138" width="11" style="89"/>
    <col min="11139" max="11139" width="11" style="89"/>
    <col min="11140" max="11140" width="11" style="89"/>
    <col min="11141" max="11141" width="11" style="89"/>
    <col min="11142" max="11142" width="11" style="89"/>
    <col min="11143" max="11143" width="11" style="89"/>
    <col min="11144" max="11144" width="11" style="89"/>
    <col min="11145" max="11145" width="11" style="89"/>
    <col min="11146" max="11146" width="11" style="89"/>
    <col min="11147" max="11147" width="11" style="89"/>
    <col min="11148" max="11148" width="11" style="89"/>
    <col min="11149" max="11149" width="11" style="89"/>
    <col min="11150" max="11150" width="11" style="89"/>
    <col min="11151" max="11151" width="11" style="89"/>
    <col min="11152" max="11152" width="11" style="89"/>
    <col min="11153" max="11153" width="11" style="89"/>
    <col min="11154" max="11154" width="11" style="89"/>
    <col min="11155" max="11155" width="11" style="89"/>
    <col min="11156" max="11156" width="11" style="89"/>
    <col min="11157" max="11157" width="11" style="89"/>
    <col min="11158" max="11158" width="11" style="89"/>
    <col min="11159" max="11159" width="11" style="89"/>
    <col min="11160" max="11160" width="11" style="89"/>
    <col min="11161" max="11161" width="11" style="89"/>
    <col min="11162" max="11162" width="11" style="89"/>
    <col min="11163" max="11163" width="11" style="89"/>
    <col min="11164" max="11164" width="11" style="89"/>
    <col min="11165" max="11165" width="11" style="89"/>
    <col min="11166" max="11166" width="11" style="89"/>
    <col min="11167" max="11167" width="11" style="89"/>
    <col min="11168" max="11168" width="11" style="89"/>
    <col min="11169" max="11169" width="11" style="89"/>
    <col min="11170" max="11170" width="11" style="89"/>
    <col min="11171" max="11171" width="11" style="89"/>
    <col min="11172" max="11172" width="11" style="89"/>
    <col min="11173" max="11173" width="11" style="89"/>
    <col min="11174" max="11174" width="11" style="89"/>
    <col min="11175" max="11175" width="11" style="89"/>
    <col min="11176" max="11176" width="11" style="89"/>
    <col min="11177" max="11177" width="11" style="89"/>
    <col min="11178" max="11178" width="11" style="89"/>
    <col min="11179" max="11179" width="11" style="89"/>
    <col min="11180" max="11180" width="11" style="89"/>
    <col min="11181" max="11181" width="11" style="89"/>
    <col min="11182" max="11182" width="11" style="89"/>
    <col min="11183" max="11183" width="11" style="89"/>
    <col min="11184" max="11184" width="11" style="89"/>
    <col min="11185" max="11185" width="11" style="89"/>
    <col min="11186" max="11186" width="11" style="89"/>
    <col min="11187" max="11187" width="11" style="89"/>
    <col min="11188" max="11188" width="11" style="89"/>
    <col min="11189" max="11189" width="11" style="89"/>
    <col min="11190" max="11190" width="11" style="89"/>
    <col min="11191" max="11191" width="11" style="89"/>
    <col min="11192" max="11192" width="11" style="89"/>
    <col min="11193" max="11193" width="11" style="89"/>
    <col min="11194" max="11194" width="11" style="89"/>
    <col min="11195" max="11195" width="11" style="89"/>
    <col min="11196" max="11196" width="11" style="89"/>
    <col min="11197" max="11197" width="11" style="89"/>
    <col min="11198" max="11198" width="11" style="89"/>
    <col min="11199" max="11199" width="11" style="89"/>
    <col min="11200" max="11200" width="11" style="89"/>
    <col min="11201" max="11201" width="11" style="89"/>
    <col min="11202" max="11202" width="11" style="89"/>
    <col min="11203" max="11203" width="11" style="89"/>
    <col min="11204" max="11204" width="11" style="89"/>
    <col min="11205" max="11205" width="11" style="89"/>
    <col min="11206" max="11206" width="11" style="89"/>
    <col min="11207" max="11207" width="11" style="89"/>
    <col min="11208" max="11208" width="11" style="89"/>
    <col min="11209" max="11209" width="11" style="89"/>
    <col min="11210" max="11210" width="11" style="89"/>
    <col min="11211" max="11211" width="11" style="89"/>
    <col min="11212" max="11212" width="11" style="89"/>
    <col min="11213" max="11213" width="11" style="89"/>
    <col min="11214" max="11214" width="11" style="89"/>
    <col min="11215" max="11215" width="11" style="89"/>
    <col min="11216" max="11216" width="11" style="89"/>
    <col min="11217" max="11217" width="11" style="89"/>
    <col min="11218" max="11218" width="11" style="89"/>
    <col min="11219" max="11219" width="11" style="89"/>
    <col min="11220" max="11220" width="11" style="89"/>
    <col min="11221" max="11221" width="11" style="89"/>
    <col min="11222" max="11222" width="11" style="89"/>
    <col min="11223" max="11223" width="11" style="89"/>
    <col min="11224" max="11224" width="11" style="89"/>
    <col min="11225" max="11225" width="11" style="89"/>
    <col min="11226" max="11226" width="11" style="89"/>
    <col min="11227" max="11227" width="11" style="89"/>
    <col min="11228" max="11228" width="11" style="89"/>
    <col min="11229" max="11229" width="11" style="89"/>
    <col min="11230" max="11230" width="11" style="89"/>
    <col min="11231" max="11231" width="11" style="89"/>
    <col min="11232" max="11232" width="11" style="89"/>
    <col min="11233" max="11233" width="11" style="89"/>
    <col min="11234" max="11234" width="11" style="89"/>
    <col min="11235" max="11235" width="11" style="89"/>
    <col min="11236" max="11236" width="11" style="89"/>
    <col min="11237" max="11237" width="11" style="89"/>
    <col min="11238" max="11238" width="11" style="89"/>
    <col min="11239" max="11239" width="11" style="89"/>
    <col min="11240" max="11240" width="11" style="89"/>
    <col min="11241" max="11241" width="11" style="89"/>
    <col min="11242" max="11242" width="11" style="89"/>
    <col min="11243" max="11243" width="11" style="89"/>
    <col min="11244" max="11244" width="11" style="89"/>
    <col min="11245" max="11245" width="11" style="89"/>
    <col min="11246" max="11246" width="11" style="89"/>
    <col min="11247" max="11247" width="11" style="89"/>
    <col min="11248" max="11248" width="11" style="89"/>
    <col min="11249" max="11249" width="11" style="89"/>
    <col min="11250" max="11250" width="11" style="89"/>
    <col min="11251" max="11251" width="11" style="89"/>
    <col min="11252" max="11252" width="11" style="89"/>
    <col min="11253" max="11253" width="11" style="89"/>
    <col min="11254" max="11254" width="11" style="89"/>
    <col min="11255" max="11255" width="11" style="89"/>
    <col min="11256" max="11256" width="11" style="89"/>
    <col min="11257" max="11257" width="11" style="89"/>
    <col min="11258" max="11258" width="11" style="89"/>
    <col min="11259" max="11259" width="11" style="89"/>
    <col min="11260" max="11260" width="11" style="89"/>
    <col min="11261" max="11261" width="11" style="89"/>
    <col min="11262" max="11262" width="11" style="89"/>
    <col min="11263" max="11263" width="11" style="89"/>
    <col min="11264" max="11264" width="11" style="89"/>
    <col min="11265" max="11265" width="10.140625" customWidth="true" style="89"/>
    <col min="11266" max="11266" width="10.140625" customWidth="true" style="89"/>
    <col min="11267" max="11267" width="10.140625" customWidth="true" style="89"/>
    <col min="11268" max="11268" width="10.140625" customWidth="true" style="89"/>
    <col min="11269" max="11269" width="10.140625" customWidth="true" style="89"/>
    <col min="11270" max="11270" width="10.140625" customWidth="true" style="89"/>
    <col min="11271" max="11271" width="10.140625" customWidth="true" style="89"/>
    <col min="11272" max="11272" width="10.140625" customWidth="true" style="89"/>
    <col min="11273" max="11273" width="10.140625" customWidth="true" style="89"/>
    <col min="11274" max="11274" width="11" style="89"/>
    <col min="11275" max="11275" width="11" style="89"/>
    <col min="11276" max="11276" width="11" style="89"/>
    <col min="11277" max="11277" width="11" style="89"/>
    <col min="11278" max="11278" width="11" style="89"/>
    <col min="11279" max="11279" width="11" style="89"/>
    <col min="11280" max="11280" width="11" style="89"/>
    <col min="11281" max="11281" width="11" style="89"/>
    <col min="11282" max="11282" width="11" style="89"/>
    <col min="11283" max="11283" width="11" style="89"/>
    <col min="11284" max="11284" width="11" style="89"/>
    <col min="11285" max="11285" width="11" style="89"/>
    <col min="11286" max="11286" width="11" style="89"/>
    <col min="11287" max="11287" width="11" style="89"/>
    <col min="11288" max="11288" width="11" style="89"/>
    <col min="11289" max="11289" width="11" style="89"/>
    <col min="11290" max="11290" width="11" style="89"/>
    <col min="11291" max="11291" width="11" style="89"/>
    <col min="11292" max="11292" width="11" style="89"/>
    <col min="11293" max="11293" width="11" style="89"/>
    <col min="11294" max="11294" width="11" style="89"/>
    <col min="11295" max="11295" width="11" style="89"/>
    <col min="11296" max="11296" width="11" style="89"/>
    <col min="11297" max="11297" width="11" style="89"/>
    <col min="11298" max="11298" width="11" style="89"/>
    <col min="11299" max="11299" width="11" style="89"/>
    <col min="11300" max="11300" width="11" style="89"/>
    <col min="11301" max="11301" width="11" style="89"/>
    <col min="11302" max="11302" width="11" style="89"/>
    <col min="11303" max="11303" width="11" style="89"/>
    <col min="11304" max="11304" width="11" style="89"/>
    <col min="11305" max="11305" width="11" style="89"/>
    <col min="11306" max="11306" width="11" style="89"/>
    <col min="11307" max="11307" width="11" style="89"/>
    <col min="11308" max="11308" width="11" style="89"/>
    <col min="11309" max="11309" width="11" style="89"/>
    <col min="11310" max="11310" width="11" style="89"/>
    <col min="11311" max="11311" width="11" style="89"/>
    <col min="11312" max="11312" width="11" style="89"/>
    <col min="11313" max="11313" width="11" style="89"/>
    <col min="11314" max="11314" width="11" style="89"/>
    <col min="11315" max="11315" width="11" style="89"/>
    <col min="11316" max="11316" width="11" style="89"/>
    <col min="11317" max="11317" width="11" style="89"/>
    <col min="11318" max="11318" width="11" style="89"/>
    <col min="11319" max="11319" width="11" style="89"/>
    <col min="11320" max="11320" width="11" style="89"/>
    <col min="11321" max="11321" width="11" style="89"/>
    <col min="11322" max="11322" width="11" style="89"/>
    <col min="11323" max="11323" width="11" style="89"/>
    <col min="11324" max="11324" width="11" style="89"/>
    <col min="11325" max="11325" width="11" style="89"/>
    <col min="11326" max="11326" width="11" style="89"/>
    <col min="11327" max="11327" width="11" style="89"/>
    <col min="11328" max="11328" width="11" style="89"/>
    <col min="11329" max="11329" width="11" style="89"/>
    <col min="11330" max="11330" width="11" style="89"/>
    <col min="11331" max="11331" width="11" style="89"/>
    <col min="11332" max="11332" width="11" style="89"/>
    <col min="11333" max="11333" width="11" style="89"/>
    <col min="11334" max="11334" width="11" style="89"/>
    <col min="11335" max="11335" width="11" style="89"/>
    <col min="11336" max="11336" width="11" style="89"/>
    <col min="11337" max="11337" width="11" style="89"/>
    <col min="11338" max="11338" width="11" style="89"/>
    <col min="11339" max="11339" width="11" style="89"/>
    <col min="11340" max="11340" width="11" style="89"/>
    <col min="11341" max="11341" width="11" style="89"/>
    <col min="11342" max="11342" width="11" style="89"/>
    <col min="11343" max="11343" width="11" style="89"/>
    <col min="11344" max="11344" width="11" style="89"/>
    <col min="11345" max="11345" width="11" style="89"/>
    <col min="11346" max="11346" width="11" style="89"/>
    <col min="11347" max="11347" width="11" style="89"/>
    <col min="11348" max="11348" width="11" style="89"/>
    <col min="11349" max="11349" width="11" style="89"/>
    <col min="11350" max="11350" width="11" style="89"/>
    <col min="11351" max="11351" width="11" style="89"/>
    <col min="11352" max="11352" width="11" style="89"/>
    <col min="11353" max="11353" width="11" style="89"/>
    <col min="11354" max="11354" width="11" style="89"/>
    <col min="11355" max="11355" width="11" style="89"/>
    <col min="11356" max="11356" width="11" style="89"/>
    <col min="11357" max="11357" width="11" style="89"/>
    <col min="11358" max="11358" width="11" style="89"/>
    <col min="11359" max="11359" width="11" style="89"/>
    <col min="11360" max="11360" width="11" style="89"/>
    <col min="11361" max="11361" width="11" style="89"/>
    <col min="11362" max="11362" width="11" style="89"/>
    <col min="11363" max="11363" width="11" style="89"/>
    <col min="11364" max="11364" width="11" style="89"/>
    <col min="11365" max="11365" width="11" style="89"/>
    <col min="11366" max="11366" width="11" style="89"/>
    <col min="11367" max="11367" width="11" style="89"/>
    <col min="11368" max="11368" width="11" style="89"/>
    <col min="11369" max="11369" width="11" style="89"/>
    <col min="11370" max="11370" width="11" style="89"/>
    <col min="11371" max="11371" width="11" style="89"/>
    <col min="11372" max="11372" width="11" style="89"/>
    <col min="11373" max="11373" width="11" style="89"/>
    <col min="11374" max="11374" width="11" style="89"/>
    <col min="11375" max="11375" width="11" style="89"/>
    <col min="11376" max="11376" width="11" style="89"/>
    <col min="11377" max="11377" width="11" style="89"/>
    <col min="11378" max="11378" width="11" style="89"/>
    <col min="11379" max="11379" width="11" style="89"/>
    <col min="11380" max="11380" width="11" style="89"/>
    <col min="11381" max="11381" width="11" style="89"/>
    <col min="11382" max="11382" width="11" style="89"/>
    <col min="11383" max="11383" width="11" style="89"/>
    <col min="11384" max="11384" width="11" style="89"/>
    <col min="11385" max="11385" width="11" style="89"/>
    <col min="11386" max="11386" width="11" style="89"/>
    <col min="11387" max="11387" width="11" style="89"/>
    <col min="11388" max="11388" width="11" style="89"/>
    <col min="11389" max="11389" width="11" style="89"/>
    <col min="11390" max="11390" width="11" style="89"/>
    <col min="11391" max="11391" width="11" style="89"/>
    <col min="11392" max="11392" width="11" style="89"/>
    <col min="11393" max="11393" width="11" style="89"/>
    <col min="11394" max="11394" width="11" style="89"/>
    <col min="11395" max="11395" width="11" style="89"/>
    <col min="11396" max="11396" width="11" style="89"/>
    <col min="11397" max="11397" width="11" style="89"/>
    <col min="11398" max="11398" width="11" style="89"/>
    <col min="11399" max="11399" width="11" style="89"/>
    <col min="11400" max="11400" width="11" style="89"/>
    <col min="11401" max="11401" width="11" style="89"/>
    <col min="11402" max="11402" width="11" style="89"/>
    <col min="11403" max="11403" width="11" style="89"/>
    <col min="11404" max="11404" width="11" style="89"/>
    <col min="11405" max="11405" width="11" style="89"/>
    <col min="11406" max="11406" width="11" style="89"/>
    <col min="11407" max="11407" width="11" style="89"/>
    <col min="11408" max="11408" width="11" style="89"/>
    <col min="11409" max="11409" width="11" style="89"/>
    <col min="11410" max="11410" width="11" style="89"/>
    <col min="11411" max="11411" width="11" style="89"/>
    <col min="11412" max="11412" width="11" style="89"/>
    <col min="11413" max="11413" width="11" style="89"/>
    <col min="11414" max="11414" width="11" style="89"/>
    <col min="11415" max="11415" width="11" style="89"/>
    <col min="11416" max="11416" width="11" style="89"/>
    <col min="11417" max="11417" width="11" style="89"/>
    <col min="11418" max="11418" width="11" style="89"/>
    <col min="11419" max="11419" width="11" style="89"/>
    <col min="11420" max="11420" width="11" style="89"/>
    <col min="11421" max="11421" width="11" style="89"/>
    <col min="11422" max="11422" width="11" style="89"/>
    <col min="11423" max="11423" width="11" style="89"/>
    <col min="11424" max="11424" width="11" style="89"/>
    <col min="11425" max="11425" width="11" style="89"/>
    <col min="11426" max="11426" width="11" style="89"/>
    <col min="11427" max="11427" width="11" style="89"/>
    <col min="11428" max="11428" width="11" style="89"/>
    <col min="11429" max="11429" width="11" style="89"/>
    <col min="11430" max="11430" width="11" style="89"/>
    <col min="11431" max="11431" width="11" style="89"/>
    <col min="11432" max="11432" width="11" style="89"/>
    <col min="11433" max="11433" width="11" style="89"/>
    <col min="11434" max="11434" width="11" style="89"/>
    <col min="11435" max="11435" width="11" style="89"/>
    <col min="11436" max="11436" width="11" style="89"/>
    <col min="11437" max="11437" width="11" style="89"/>
    <col min="11438" max="11438" width="11" style="89"/>
    <col min="11439" max="11439" width="11" style="89"/>
    <col min="11440" max="11440" width="11" style="89"/>
    <col min="11441" max="11441" width="11" style="89"/>
    <col min="11442" max="11442" width="11" style="89"/>
    <col min="11443" max="11443" width="11" style="89"/>
    <col min="11444" max="11444" width="11" style="89"/>
    <col min="11445" max="11445" width="11" style="89"/>
    <col min="11446" max="11446" width="11" style="89"/>
    <col min="11447" max="11447" width="11" style="89"/>
    <col min="11448" max="11448" width="11" style="89"/>
    <col min="11449" max="11449" width="11" style="89"/>
    <col min="11450" max="11450" width="11" style="89"/>
    <col min="11451" max="11451" width="11" style="89"/>
    <col min="11452" max="11452" width="11" style="89"/>
    <col min="11453" max="11453" width="11" style="89"/>
    <col min="11454" max="11454" width="11" style="89"/>
    <col min="11455" max="11455" width="11" style="89"/>
    <col min="11456" max="11456" width="11" style="89"/>
    <col min="11457" max="11457" width="11" style="89"/>
    <col min="11458" max="11458" width="11" style="89"/>
    <col min="11459" max="11459" width="11" style="89"/>
    <col min="11460" max="11460" width="11" style="89"/>
    <col min="11461" max="11461" width="11" style="89"/>
    <col min="11462" max="11462" width="11" style="89"/>
    <col min="11463" max="11463" width="11" style="89"/>
    <col min="11464" max="11464" width="11" style="89"/>
    <col min="11465" max="11465" width="11" style="89"/>
    <col min="11466" max="11466" width="11" style="89"/>
    <col min="11467" max="11467" width="11" style="89"/>
    <col min="11468" max="11468" width="11" style="89"/>
    <col min="11469" max="11469" width="11" style="89"/>
    <col min="11470" max="11470" width="11" style="89"/>
    <col min="11471" max="11471" width="11" style="89"/>
    <col min="11472" max="11472" width="11" style="89"/>
    <col min="11473" max="11473" width="11" style="89"/>
    <col min="11474" max="11474" width="11" style="89"/>
    <col min="11475" max="11475" width="11" style="89"/>
    <col min="11476" max="11476" width="11" style="89"/>
    <col min="11477" max="11477" width="11" style="89"/>
    <col min="11478" max="11478" width="11" style="89"/>
    <col min="11479" max="11479" width="11" style="89"/>
    <col min="11480" max="11480" width="11" style="89"/>
    <col min="11481" max="11481" width="11" style="89"/>
    <col min="11482" max="11482" width="11" style="89"/>
    <col min="11483" max="11483" width="11" style="89"/>
    <col min="11484" max="11484" width="11" style="89"/>
    <col min="11485" max="11485" width="11" style="89"/>
    <col min="11486" max="11486" width="11" style="89"/>
    <col min="11487" max="11487" width="11" style="89"/>
    <col min="11488" max="11488" width="11" style="89"/>
    <col min="11489" max="11489" width="11" style="89"/>
    <col min="11490" max="11490" width="11" style="89"/>
    <col min="11491" max="11491" width="11" style="89"/>
    <col min="11492" max="11492" width="11" style="89"/>
    <col min="11493" max="11493" width="11" style="89"/>
    <col min="11494" max="11494" width="11" style="89"/>
    <col min="11495" max="11495" width="11" style="89"/>
    <col min="11496" max="11496" width="11" style="89"/>
    <col min="11497" max="11497" width="11" style="89"/>
    <col min="11498" max="11498" width="11" style="89"/>
    <col min="11499" max="11499" width="11" style="89"/>
    <col min="11500" max="11500" width="11" style="89"/>
    <col min="11501" max="11501" width="11" style="89"/>
    <col min="11502" max="11502" width="11" style="89"/>
    <col min="11503" max="11503" width="11" style="89"/>
    <col min="11504" max="11504" width="11" style="89"/>
    <col min="11505" max="11505" width="11" style="89"/>
    <col min="11506" max="11506" width="11" style="89"/>
    <col min="11507" max="11507" width="11" style="89"/>
    <col min="11508" max="11508" width="11" style="89"/>
    <col min="11509" max="11509" width="11" style="89"/>
    <col min="11510" max="11510" width="11" style="89"/>
    <col min="11511" max="11511" width="11" style="89"/>
    <col min="11512" max="11512" width="11" style="89"/>
    <col min="11513" max="11513" width="11" style="89"/>
    <col min="11514" max="11514" width="11" style="89"/>
    <col min="11515" max="11515" width="11" style="89"/>
    <col min="11516" max="11516" width="11" style="89"/>
    <col min="11517" max="11517" width="11" style="89"/>
    <col min="11518" max="11518" width="11" style="89"/>
    <col min="11519" max="11519" width="11" style="89"/>
    <col min="11520" max="11520" width="11" style="89"/>
    <col min="11521" max="11521" width="10.140625" customWidth="true" style="89"/>
    <col min="11522" max="11522" width="10.140625" customWidth="true" style="89"/>
    <col min="11523" max="11523" width="10.140625" customWidth="true" style="89"/>
    <col min="11524" max="11524" width="10.140625" customWidth="true" style="89"/>
    <col min="11525" max="11525" width="10.140625" customWidth="true" style="89"/>
    <col min="11526" max="11526" width="10.140625" customWidth="true" style="89"/>
    <col min="11527" max="11527" width="10.140625" customWidth="true" style="89"/>
    <col min="11528" max="11528" width="10.140625" customWidth="true" style="89"/>
    <col min="11529" max="11529" width="10.140625" customWidth="true" style="89"/>
    <col min="11530" max="11530" width="11" style="89"/>
    <col min="11531" max="11531" width="11" style="89"/>
    <col min="11532" max="11532" width="11" style="89"/>
    <col min="11533" max="11533" width="11" style="89"/>
    <col min="11534" max="11534" width="11" style="89"/>
    <col min="11535" max="11535" width="11" style="89"/>
    <col min="11536" max="11536" width="11" style="89"/>
    <col min="11537" max="11537" width="11" style="89"/>
    <col min="11538" max="11538" width="11" style="89"/>
    <col min="11539" max="11539" width="11" style="89"/>
    <col min="11540" max="11540" width="11" style="89"/>
    <col min="11541" max="11541" width="11" style="89"/>
    <col min="11542" max="11542" width="11" style="89"/>
    <col min="11543" max="11543" width="11" style="89"/>
    <col min="11544" max="11544" width="11" style="89"/>
    <col min="11545" max="11545" width="11" style="89"/>
    <col min="11546" max="11546" width="11" style="89"/>
    <col min="11547" max="11547" width="11" style="89"/>
    <col min="11548" max="11548" width="11" style="89"/>
    <col min="11549" max="11549" width="11" style="89"/>
    <col min="11550" max="11550" width="11" style="89"/>
    <col min="11551" max="11551" width="11" style="89"/>
    <col min="11552" max="11552" width="11" style="89"/>
    <col min="11553" max="11553" width="11" style="89"/>
    <col min="11554" max="11554" width="11" style="89"/>
    <col min="11555" max="11555" width="11" style="89"/>
    <col min="11556" max="11556" width="11" style="89"/>
    <col min="11557" max="11557" width="11" style="89"/>
    <col min="11558" max="11558" width="11" style="89"/>
    <col min="11559" max="11559" width="11" style="89"/>
    <col min="11560" max="11560" width="11" style="89"/>
    <col min="11561" max="11561" width="11" style="89"/>
    <col min="11562" max="11562" width="11" style="89"/>
    <col min="11563" max="11563" width="11" style="89"/>
    <col min="11564" max="11564" width="11" style="89"/>
    <col min="11565" max="11565" width="11" style="89"/>
    <col min="11566" max="11566" width="11" style="89"/>
    <col min="11567" max="11567" width="11" style="89"/>
    <col min="11568" max="11568" width="11" style="89"/>
    <col min="11569" max="11569" width="11" style="89"/>
    <col min="11570" max="11570" width="11" style="89"/>
    <col min="11571" max="11571" width="11" style="89"/>
    <col min="11572" max="11572" width="11" style="89"/>
    <col min="11573" max="11573" width="11" style="89"/>
    <col min="11574" max="11574" width="11" style="89"/>
    <col min="11575" max="11575" width="11" style="89"/>
    <col min="11576" max="11576" width="11" style="89"/>
    <col min="11577" max="11577" width="11" style="89"/>
    <col min="11578" max="11578" width="11" style="89"/>
    <col min="11579" max="11579" width="11" style="89"/>
    <col min="11580" max="11580" width="11" style="89"/>
    <col min="11581" max="11581" width="11" style="89"/>
    <col min="11582" max="11582" width="11" style="89"/>
    <col min="11583" max="11583" width="11" style="89"/>
    <col min="11584" max="11584" width="11" style="89"/>
    <col min="11585" max="11585" width="11" style="89"/>
    <col min="11586" max="11586" width="11" style="89"/>
    <col min="11587" max="11587" width="11" style="89"/>
    <col min="11588" max="11588" width="11" style="89"/>
    <col min="11589" max="11589" width="11" style="89"/>
    <col min="11590" max="11590" width="11" style="89"/>
    <col min="11591" max="11591" width="11" style="89"/>
    <col min="11592" max="11592" width="11" style="89"/>
    <col min="11593" max="11593" width="11" style="89"/>
    <col min="11594" max="11594" width="11" style="89"/>
    <col min="11595" max="11595" width="11" style="89"/>
    <col min="11596" max="11596" width="11" style="89"/>
    <col min="11597" max="11597" width="11" style="89"/>
    <col min="11598" max="11598" width="11" style="89"/>
    <col min="11599" max="11599" width="11" style="89"/>
    <col min="11600" max="11600" width="11" style="89"/>
    <col min="11601" max="11601" width="11" style="89"/>
    <col min="11602" max="11602" width="11" style="89"/>
    <col min="11603" max="11603" width="11" style="89"/>
    <col min="11604" max="11604" width="11" style="89"/>
    <col min="11605" max="11605" width="11" style="89"/>
    <col min="11606" max="11606" width="11" style="89"/>
    <col min="11607" max="11607" width="11" style="89"/>
    <col min="11608" max="11608" width="11" style="89"/>
    <col min="11609" max="11609" width="11" style="89"/>
    <col min="11610" max="11610" width="11" style="89"/>
    <col min="11611" max="11611" width="11" style="89"/>
    <col min="11612" max="11612" width="11" style="89"/>
    <col min="11613" max="11613" width="11" style="89"/>
    <col min="11614" max="11614" width="11" style="89"/>
    <col min="11615" max="11615" width="11" style="89"/>
    <col min="11616" max="11616" width="11" style="89"/>
    <col min="11617" max="11617" width="11" style="89"/>
    <col min="11618" max="11618" width="11" style="89"/>
    <col min="11619" max="11619" width="11" style="89"/>
    <col min="11620" max="11620" width="11" style="89"/>
    <col min="11621" max="11621" width="11" style="89"/>
    <col min="11622" max="11622" width="11" style="89"/>
    <col min="11623" max="11623" width="11" style="89"/>
    <col min="11624" max="11624" width="11" style="89"/>
    <col min="11625" max="11625" width="11" style="89"/>
    <col min="11626" max="11626" width="11" style="89"/>
    <col min="11627" max="11627" width="11" style="89"/>
    <col min="11628" max="11628" width="11" style="89"/>
    <col min="11629" max="11629" width="11" style="89"/>
    <col min="11630" max="11630" width="11" style="89"/>
    <col min="11631" max="11631" width="11" style="89"/>
    <col min="11632" max="11632" width="11" style="89"/>
    <col min="11633" max="11633" width="11" style="89"/>
    <col min="11634" max="11634" width="11" style="89"/>
    <col min="11635" max="11635" width="11" style="89"/>
    <col min="11636" max="11636" width="11" style="89"/>
    <col min="11637" max="11637" width="11" style="89"/>
    <col min="11638" max="11638" width="11" style="89"/>
    <col min="11639" max="11639" width="11" style="89"/>
    <col min="11640" max="11640" width="11" style="89"/>
    <col min="11641" max="11641" width="11" style="89"/>
    <col min="11642" max="11642" width="11" style="89"/>
    <col min="11643" max="11643" width="11" style="89"/>
    <col min="11644" max="11644" width="11" style="89"/>
    <col min="11645" max="11645" width="11" style="89"/>
    <col min="11646" max="11646" width="11" style="89"/>
    <col min="11647" max="11647" width="11" style="89"/>
    <col min="11648" max="11648" width="11" style="89"/>
    <col min="11649" max="11649" width="11" style="89"/>
    <col min="11650" max="11650" width="11" style="89"/>
    <col min="11651" max="11651" width="11" style="89"/>
    <col min="11652" max="11652" width="11" style="89"/>
    <col min="11653" max="11653" width="11" style="89"/>
    <col min="11654" max="11654" width="11" style="89"/>
    <col min="11655" max="11655" width="11" style="89"/>
    <col min="11656" max="11656" width="11" style="89"/>
    <col min="11657" max="11657" width="11" style="89"/>
    <col min="11658" max="11658" width="11" style="89"/>
    <col min="11659" max="11659" width="11" style="89"/>
    <col min="11660" max="11660" width="11" style="89"/>
    <col min="11661" max="11661" width="11" style="89"/>
    <col min="11662" max="11662" width="11" style="89"/>
    <col min="11663" max="11663" width="11" style="89"/>
    <col min="11664" max="11664" width="11" style="89"/>
    <col min="11665" max="11665" width="11" style="89"/>
    <col min="11666" max="11666" width="11" style="89"/>
    <col min="11667" max="11667" width="11" style="89"/>
    <col min="11668" max="11668" width="11" style="89"/>
    <col min="11669" max="11669" width="11" style="89"/>
    <col min="11670" max="11670" width="11" style="89"/>
    <col min="11671" max="11671" width="11" style="89"/>
    <col min="11672" max="11672" width="11" style="89"/>
    <col min="11673" max="11673" width="11" style="89"/>
    <col min="11674" max="11674" width="11" style="89"/>
    <col min="11675" max="11675" width="11" style="89"/>
    <col min="11676" max="11676" width="11" style="89"/>
    <col min="11677" max="11677" width="11" style="89"/>
    <col min="11678" max="11678" width="11" style="89"/>
    <col min="11679" max="11679" width="11" style="89"/>
    <col min="11680" max="11680" width="11" style="89"/>
    <col min="11681" max="11681" width="11" style="89"/>
    <col min="11682" max="11682" width="11" style="89"/>
    <col min="11683" max="11683" width="11" style="89"/>
    <col min="11684" max="11684" width="11" style="89"/>
    <col min="11685" max="11685" width="11" style="89"/>
    <col min="11686" max="11686" width="11" style="89"/>
    <col min="11687" max="11687" width="11" style="89"/>
    <col min="11688" max="11688" width="11" style="89"/>
    <col min="11689" max="11689" width="11" style="89"/>
    <col min="11690" max="11690" width="11" style="89"/>
    <col min="11691" max="11691" width="11" style="89"/>
    <col min="11692" max="11692" width="11" style="89"/>
    <col min="11693" max="11693" width="11" style="89"/>
    <col min="11694" max="11694" width="11" style="89"/>
    <col min="11695" max="11695" width="11" style="89"/>
    <col min="11696" max="11696" width="11" style="89"/>
    <col min="11697" max="11697" width="11" style="89"/>
    <col min="11698" max="11698" width="11" style="89"/>
    <col min="11699" max="11699" width="11" style="89"/>
    <col min="11700" max="11700" width="11" style="89"/>
    <col min="11701" max="11701" width="11" style="89"/>
    <col min="11702" max="11702" width="11" style="89"/>
    <col min="11703" max="11703" width="11" style="89"/>
    <col min="11704" max="11704" width="11" style="89"/>
    <col min="11705" max="11705" width="11" style="89"/>
    <col min="11706" max="11706" width="11" style="89"/>
    <col min="11707" max="11707" width="11" style="89"/>
    <col min="11708" max="11708" width="11" style="89"/>
    <col min="11709" max="11709" width="11" style="89"/>
    <col min="11710" max="11710" width="11" style="89"/>
    <col min="11711" max="11711" width="11" style="89"/>
    <col min="11712" max="11712" width="11" style="89"/>
    <col min="11713" max="11713" width="11" style="89"/>
    <col min="11714" max="11714" width="11" style="89"/>
    <col min="11715" max="11715" width="11" style="89"/>
    <col min="11716" max="11716" width="11" style="89"/>
    <col min="11717" max="11717" width="11" style="89"/>
    <col min="11718" max="11718" width="11" style="89"/>
    <col min="11719" max="11719" width="11" style="89"/>
    <col min="11720" max="11720" width="11" style="89"/>
    <col min="11721" max="11721" width="11" style="89"/>
    <col min="11722" max="11722" width="11" style="89"/>
    <col min="11723" max="11723" width="11" style="89"/>
    <col min="11724" max="11724" width="11" style="89"/>
    <col min="11725" max="11725" width="11" style="89"/>
    <col min="11726" max="11726" width="11" style="89"/>
    <col min="11727" max="11727" width="11" style="89"/>
    <col min="11728" max="11728" width="11" style="89"/>
    <col min="11729" max="11729" width="11" style="89"/>
    <col min="11730" max="11730" width="11" style="89"/>
    <col min="11731" max="11731" width="11" style="89"/>
    <col min="11732" max="11732" width="11" style="89"/>
    <col min="11733" max="11733" width="11" style="89"/>
    <col min="11734" max="11734" width="11" style="89"/>
    <col min="11735" max="11735" width="11" style="89"/>
    <col min="11736" max="11736" width="11" style="89"/>
    <col min="11737" max="11737" width="11" style="89"/>
    <col min="11738" max="11738" width="11" style="89"/>
    <col min="11739" max="11739" width="11" style="89"/>
    <col min="11740" max="11740" width="11" style="89"/>
    <col min="11741" max="11741" width="11" style="89"/>
    <col min="11742" max="11742" width="11" style="89"/>
    <col min="11743" max="11743" width="11" style="89"/>
    <col min="11744" max="11744" width="11" style="89"/>
    <col min="11745" max="11745" width="11" style="89"/>
    <col min="11746" max="11746" width="11" style="89"/>
    <col min="11747" max="11747" width="11" style="89"/>
    <col min="11748" max="11748" width="11" style="89"/>
    <col min="11749" max="11749" width="11" style="89"/>
    <col min="11750" max="11750" width="11" style="89"/>
    <col min="11751" max="11751" width="11" style="89"/>
    <col min="11752" max="11752" width="11" style="89"/>
    <col min="11753" max="11753" width="11" style="89"/>
    <col min="11754" max="11754" width="11" style="89"/>
    <col min="11755" max="11755" width="11" style="89"/>
    <col min="11756" max="11756" width="11" style="89"/>
    <col min="11757" max="11757" width="11" style="89"/>
    <col min="11758" max="11758" width="11" style="89"/>
    <col min="11759" max="11759" width="11" style="89"/>
    <col min="11760" max="11760" width="11" style="89"/>
    <col min="11761" max="11761" width="11" style="89"/>
    <col min="11762" max="11762" width="11" style="89"/>
    <col min="11763" max="11763" width="11" style="89"/>
    <col min="11764" max="11764" width="11" style="89"/>
    <col min="11765" max="11765" width="11" style="89"/>
    <col min="11766" max="11766" width="11" style="89"/>
    <col min="11767" max="11767" width="11" style="89"/>
    <col min="11768" max="11768" width="11" style="89"/>
    <col min="11769" max="11769" width="11" style="89"/>
    <col min="11770" max="11770" width="11" style="89"/>
    <col min="11771" max="11771" width="11" style="89"/>
    <col min="11772" max="11772" width="11" style="89"/>
    <col min="11773" max="11773" width="11" style="89"/>
    <col min="11774" max="11774" width="11" style="89"/>
    <col min="11775" max="11775" width="11" style="89"/>
    <col min="11776" max="11776" width="11" style="89"/>
    <col min="11777" max="11777" width="10.140625" customWidth="true" style="89"/>
    <col min="11778" max="11778" width="10.140625" customWidth="true" style="89"/>
    <col min="11779" max="11779" width="10.140625" customWidth="true" style="89"/>
    <col min="11780" max="11780" width="10.140625" customWidth="true" style="89"/>
    <col min="11781" max="11781" width="10.140625" customWidth="true" style="89"/>
    <col min="11782" max="11782" width="10.140625" customWidth="true" style="89"/>
    <col min="11783" max="11783" width="10.140625" customWidth="true" style="89"/>
    <col min="11784" max="11784" width="10.140625" customWidth="true" style="89"/>
    <col min="11785" max="11785" width="10.140625" customWidth="true" style="89"/>
    <col min="11786" max="11786" width="11" style="89"/>
    <col min="11787" max="11787" width="11" style="89"/>
    <col min="11788" max="11788" width="11" style="89"/>
    <col min="11789" max="11789" width="11" style="89"/>
    <col min="11790" max="11790" width="11" style="89"/>
    <col min="11791" max="11791" width="11" style="89"/>
    <col min="11792" max="11792" width="11" style="89"/>
    <col min="11793" max="11793" width="11" style="89"/>
    <col min="11794" max="11794" width="11" style="89"/>
    <col min="11795" max="11795" width="11" style="89"/>
    <col min="11796" max="11796" width="11" style="89"/>
    <col min="11797" max="11797" width="11" style="89"/>
    <col min="11798" max="11798" width="11" style="89"/>
    <col min="11799" max="11799" width="11" style="89"/>
    <col min="11800" max="11800" width="11" style="89"/>
    <col min="11801" max="11801" width="11" style="89"/>
    <col min="11802" max="11802" width="11" style="89"/>
    <col min="11803" max="11803" width="11" style="89"/>
    <col min="11804" max="11804" width="11" style="89"/>
    <col min="11805" max="11805" width="11" style="89"/>
    <col min="11806" max="11806" width="11" style="89"/>
    <col min="11807" max="11807" width="11" style="89"/>
    <col min="11808" max="11808" width="11" style="89"/>
    <col min="11809" max="11809" width="11" style="89"/>
    <col min="11810" max="11810" width="11" style="89"/>
    <col min="11811" max="11811" width="11" style="89"/>
    <col min="11812" max="11812" width="11" style="89"/>
    <col min="11813" max="11813" width="11" style="89"/>
    <col min="11814" max="11814" width="11" style="89"/>
    <col min="11815" max="11815" width="11" style="89"/>
    <col min="11816" max="11816" width="11" style="89"/>
    <col min="11817" max="11817" width="11" style="89"/>
    <col min="11818" max="11818" width="11" style="89"/>
    <col min="11819" max="11819" width="11" style="89"/>
    <col min="11820" max="11820" width="11" style="89"/>
    <col min="11821" max="11821" width="11" style="89"/>
    <col min="11822" max="11822" width="11" style="89"/>
    <col min="11823" max="11823" width="11" style="89"/>
    <col min="11824" max="11824" width="11" style="89"/>
    <col min="11825" max="11825" width="11" style="89"/>
    <col min="11826" max="11826" width="11" style="89"/>
    <col min="11827" max="11827" width="11" style="89"/>
    <col min="11828" max="11828" width="11" style="89"/>
    <col min="11829" max="11829" width="11" style="89"/>
    <col min="11830" max="11830" width="11" style="89"/>
    <col min="11831" max="11831" width="11" style="89"/>
    <col min="11832" max="11832" width="11" style="89"/>
    <col min="11833" max="11833" width="11" style="89"/>
    <col min="11834" max="11834" width="11" style="89"/>
    <col min="11835" max="11835" width="11" style="89"/>
    <col min="11836" max="11836" width="11" style="89"/>
    <col min="11837" max="11837" width="11" style="89"/>
    <col min="11838" max="11838" width="11" style="89"/>
    <col min="11839" max="11839" width="11" style="89"/>
    <col min="11840" max="11840" width="11" style="89"/>
    <col min="11841" max="11841" width="11" style="89"/>
    <col min="11842" max="11842" width="11" style="89"/>
    <col min="11843" max="11843" width="11" style="89"/>
    <col min="11844" max="11844" width="11" style="89"/>
    <col min="11845" max="11845" width="11" style="89"/>
    <col min="11846" max="11846" width="11" style="89"/>
    <col min="11847" max="11847" width="11" style="89"/>
    <col min="11848" max="11848" width="11" style="89"/>
    <col min="11849" max="11849" width="11" style="89"/>
    <col min="11850" max="11850" width="11" style="89"/>
    <col min="11851" max="11851" width="11" style="89"/>
    <col min="11852" max="11852" width="11" style="89"/>
    <col min="11853" max="11853" width="11" style="89"/>
    <col min="11854" max="11854" width="11" style="89"/>
    <col min="11855" max="11855" width="11" style="89"/>
    <col min="11856" max="11856" width="11" style="89"/>
    <col min="11857" max="11857" width="11" style="89"/>
    <col min="11858" max="11858" width="11" style="89"/>
    <col min="11859" max="11859" width="11" style="89"/>
    <col min="11860" max="11860" width="11" style="89"/>
    <col min="11861" max="11861" width="11" style="89"/>
    <col min="11862" max="11862" width="11" style="89"/>
    <col min="11863" max="11863" width="11" style="89"/>
    <col min="11864" max="11864" width="11" style="89"/>
    <col min="11865" max="11865" width="11" style="89"/>
    <col min="11866" max="11866" width="11" style="89"/>
    <col min="11867" max="11867" width="11" style="89"/>
    <col min="11868" max="11868" width="11" style="89"/>
    <col min="11869" max="11869" width="11" style="89"/>
    <col min="11870" max="11870" width="11" style="89"/>
    <col min="11871" max="11871" width="11" style="89"/>
    <col min="11872" max="11872" width="11" style="89"/>
    <col min="11873" max="11873" width="11" style="89"/>
    <col min="11874" max="11874" width="11" style="89"/>
    <col min="11875" max="11875" width="11" style="89"/>
    <col min="11876" max="11876" width="11" style="89"/>
    <col min="11877" max="11877" width="11" style="89"/>
    <col min="11878" max="11878" width="11" style="89"/>
    <col min="11879" max="11879" width="11" style="89"/>
    <col min="11880" max="11880" width="11" style="89"/>
    <col min="11881" max="11881" width="11" style="89"/>
    <col min="11882" max="11882" width="11" style="89"/>
    <col min="11883" max="11883" width="11" style="89"/>
    <col min="11884" max="11884" width="11" style="89"/>
    <col min="11885" max="11885" width="11" style="89"/>
    <col min="11886" max="11886" width="11" style="89"/>
    <col min="11887" max="11887" width="11" style="89"/>
    <col min="11888" max="11888" width="11" style="89"/>
    <col min="11889" max="11889" width="11" style="89"/>
    <col min="11890" max="11890" width="11" style="89"/>
    <col min="11891" max="11891" width="11" style="89"/>
    <col min="11892" max="11892" width="11" style="89"/>
    <col min="11893" max="11893" width="11" style="89"/>
    <col min="11894" max="11894" width="11" style="89"/>
    <col min="11895" max="11895" width="11" style="89"/>
    <col min="11896" max="11896" width="11" style="89"/>
    <col min="11897" max="11897" width="11" style="89"/>
    <col min="11898" max="11898" width="11" style="89"/>
    <col min="11899" max="11899" width="11" style="89"/>
    <col min="11900" max="11900" width="11" style="89"/>
    <col min="11901" max="11901" width="11" style="89"/>
    <col min="11902" max="11902" width="11" style="89"/>
    <col min="11903" max="11903" width="11" style="89"/>
    <col min="11904" max="11904" width="11" style="89"/>
    <col min="11905" max="11905" width="11" style="89"/>
    <col min="11906" max="11906" width="11" style="89"/>
    <col min="11907" max="11907" width="11" style="89"/>
    <col min="11908" max="11908" width="11" style="89"/>
    <col min="11909" max="11909" width="11" style="89"/>
    <col min="11910" max="11910" width="11" style="89"/>
    <col min="11911" max="11911" width="11" style="89"/>
    <col min="11912" max="11912" width="11" style="89"/>
    <col min="11913" max="11913" width="11" style="89"/>
    <col min="11914" max="11914" width="11" style="89"/>
    <col min="11915" max="11915" width="11" style="89"/>
    <col min="11916" max="11916" width="11" style="89"/>
    <col min="11917" max="11917" width="11" style="89"/>
    <col min="11918" max="11918" width="11" style="89"/>
    <col min="11919" max="11919" width="11" style="89"/>
    <col min="11920" max="11920" width="11" style="89"/>
    <col min="11921" max="11921" width="11" style="89"/>
    <col min="11922" max="11922" width="11" style="89"/>
    <col min="11923" max="11923" width="11" style="89"/>
    <col min="11924" max="11924" width="11" style="89"/>
    <col min="11925" max="11925" width="11" style="89"/>
    <col min="11926" max="11926" width="11" style="89"/>
    <col min="11927" max="11927" width="11" style="89"/>
    <col min="11928" max="11928" width="11" style="89"/>
    <col min="11929" max="11929" width="11" style="89"/>
    <col min="11930" max="11930" width="11" style="89"/>
    <col min="11931" max="11931" width="11" style="89"/>
    <col min="11932" max="11932" width="11" style="89"/>
    <col min="11933" max="11933" width="11" style="89"/>
    <col min="11934" max="11934" width="11" style="89"/>
    <col min="11935" max="11935" width="11" style="89"/>
    <col min="11936" max="11936" width="11" style="89"/>
    <col min="11937" max="11937" width="11" style="89"/>
    <col min="11938" max="11938" width="11" style="89"/>
    <col min="11939" max="11939" width="11" style="89"/>
    <col min="11940" max="11940" width="11" style="89"/>
    <col min="11941" max="11941" width="11" style="89"/>
    <col min="11942" max="11942" width="11" style="89"/>
    <col min="11943" max="11943" width="11" style="89"/>
    <col min="11944" max="11944" width="11" style="89"/>
    <col min="11945" max="11945" width="11" style="89"/>
    <col min="11946" max="11946" width="11" style="89"/>
    <col min="11947" max="11947" width="11" style="89"/>
    <col min="11948" max="11948" width="11" style="89"/>
    <col min="11949" max="11949" width="11" style="89"/>
    <col min="11950" max="11950" width="11" style="89"/>
    <col min="11951" max="11951" width="11" style="89"/>
    <col min="11952" max="11952" width="11" style="89"/>
    <col min="11953" max="11953" width="11" style="89"/>
    <col min="11954" max="11954" width="11" style="89"/>
    <col min="11955" max="11955" width="11" style="89"/>
    <col min="11956" max="11956" width="11" style="89"/>
    <col min="11957" max="11957" width="11" style="89"/>
    <col min="11958" max="11958" width="11" style="89"/>
    <col min="11959" max="11959" width="11" style="89"/>
    <col min="11960" max="11960" width="11" style="89"/>
    <col min="11961" max="11961" width="11" style="89"/>
    <col min="11962" max="11962" width="11" style="89"/>
    <col min="11963" max="11963" width="11" style="89"/>
    <col min="11964" max="11964" width="11" style="89"/>
    <col min="11965" max="11965" width="11" style="89"/>
    <col min="11966" max="11966" width="11" style="89"/>
    <col min="11967" max="11967" width="11" style="89"/>
    <col min="11968" max="11968" width="11" style="89"/>
    <col min="11969" max="11969" width="11" style="89"/>
    <col min="11970" max="11970" width="11" style="89"/>
    <col min="11971" max="11971" width="11" style="89"/>
    <col min="11972" max="11972" width="11" style="89"/>
    <col min="11973" max="11973" width="11" style="89"/>
    <col min="11974" max="11974" width="11" style="89"/>
    <col min="11975" max="11975" width="11" style="89"/>
    <col min="11976" max="11976" width="11" style="89"/>
    <col min="11977" max="11977" width="11" style="89"/>
    <col min="11978" max="11978" width="11" style="89"/>
    <col min="11979" max="11979" width="11" style="89"/>
    <col min="11980" max="11980" width="11" style="89"/>
    <col min="11981" max="11981" width="11" style="89"/>
    <col min="11982" max="11982" width="11" style="89"/>
    <col min="11983" max="11983" width="11" style="89"/>
    <col min="11984" max="11984" width="11" style="89"/>
    <col min="11985" max="11985" width="11" style="89"/>
    <col min="11986" max="11986" width="11" style="89"/>
    <col min="11987" max="11987" width="11" style="89"/>
    <col min="11988" max="11988" width="11" style="89"/>
    <col min="11989" max="11989" width="11" style="89"/>
    <col min="11990" max="11990" width="11" style="89"/>
    <col min="11991" max="11991" width="11" style="89"/>
    <col min="11992" max="11992" width="11" style="89"/>
    <col min="11993" max="11993" width="11" style="89"/>
    <col min="11994" max="11994" width="11" style="89"/>
    <col min="11995" max="11995" width="11" style="89"/>
    <col min="11996" max="11996" width="11" style="89"/>
    <col min="11997" max="11997" width="11" style="89"/>
    <col min="11998" max="11998" width="11" style="89"/>
    <col min="11999" max="11999" width="11" style="89"/>
    <col min="12000" max="12000" width="11" style="89"/>
    <col min="12001" max="12001" width="11" style="89"/>
    <col min="12002" max="12002" width="11" style="89"/>
    <col min="12003" max="12003" width="11" style="89"/>
    <col min="12004" max="12004" width="11" style="89"/>
    <col min="12005" max="12005" width="11" style="89"/>
    <col min="12006" max="12006" width="11" style="89"/>
    <col min="12007" max="12007" width="11" style="89"/>
    <col min="12008" max="12008" width="11" style="89"/>
    <col min="12009" max="12009" width="11" style="89"/>
    <col min="12010" max="12010" width="11" style="89"/>
    <col min="12011" max="12011" width="11" style="89"/>
    <col min="12012" max="12012" width="11" style="89"/>
    <col min="12013" max="12013" width="11" style="89"/>
    <col min="12014" max="12014" width="11" style="89"/>
    <col min="12015" max="12015" width="11" style="89"/>
    <col min="12016" max="12016" width="11" style="89"/>
    <col min="12017" max="12017" width="11" style="89"/>
    <col min="12018" max="12018" width="11" style="89"/>
    <col min="12019" max="12019" width="11" style="89"/>
    <col min="12020" max="12020" width="11" style="89"/>
    <col min="12021" max="12021" width="11" style="89"/>
    <col min="12022" max="12022" width="11" style="89"/>
    <col min="12023" max="12023" width="11" style="89"/>
    <col min="12024" max="12024" width="11" style="89"/>
    <col min="12025" max="12025" width="11" style="89"/>
    <col min="12026" max="12026" width="11" style="89"/>
    <col min="12027" max="12027" width="11" style="89"/>
    <col min="12028" max="12028" width="11" style="89"/>
    <col min="12029" max="12029" width="11" style="89"/>
    <col min="12030" max="12030" width="11" style="89"/>
    <col min="12031" max="12031" width="11" style="89"/>
    <col min="12032" max="12032" width="11" style="89"/>
    <col min="12033" max="12033" width="10.140625" customWidth="true" style="89"/>
    <col min="12034" max="12034" width="10.140625" customWidth="true" style="89"/>
    <col min="12035" max="12035" width="10.140625" customWidth="true" style="89"/>
    <col min="12036" max="12036" width="10.140625" customWidth="true" style="89"/>
    <col min="12037" max="12037" width="10.140625" customWidth="true" style="89"/>
    <col min="12038" max="12038" width="10.140625" customWidth="true" style="89"/>
    <col min="12039" max="12039" width="10.140625" customWidth="true" style="89"/>
    <col min="12040" max="12040" width="10.140625" customWidth="true" style="89"/>
    <col min="12041" max="12041" width="10.140625" customWidth="true" style="89"/>
    <col min="12042" max="12042" width="11" style="89"/>
    <col min="12043" max="12043" width="11" style="89"/>
    <col min="12044" max="12044" width="11" style="89"/>
    <col min="12045" max="12045" width="11" style="89"/>
    <col min="12046" max="12046" width="11" style="89"/>
    <col min="12047" max="12047" width="11" style="89"/>
    <col min="12048" max="12048" width="11" style="89"/>
    <col min="12049" max="12049" width="11" style="89"/>
    <col min="12050" max="12050" width="11" style="89"/>
    <col min="12051" max="12051" width="11" style="89"/>
    <col min="12052" max="12052" width="11" style="89"/>
    <col min="12053" max="12053" width="11" style="89"/>
    <col min="12054" max="12054" width="11" style="89"/>
    <col min="12055" max="12055" width="11" style="89"/>
    <col min="12056" max="12056" width="11" style="89"/>
    <col min="12057" max="12057" width="11" style="89"/>
    <col min="12058" max="12058" width="11" style="89"/>
    <col min="12059" max="12059" width="11" style="89"/>
    <col min="12060" max="12060" width="11" style="89"/>
    <col min="12061" max="12061" width="11" style="89"/>
    <col min="12062" max="12062" width="11" style="89"/>
    <col min="12063" max="12063" width="11" style="89"/>
    <col min="12064" max="12064" width="11" style="89"/>
    <col min="12065" max="12065" width="11" style="89"/>
    <col min="12066" max="12066" width="11" style="89"/>
    <col min="12067" max="12067" width="11" style="89"/>
    <col min="12068" max="12068" width="11" style="89"/>
    <col min="12069" max="12069" width="11" style="89"/>
    <col min="12070" max="12070" width="11" style="89"/>
    <col min="12071" max="12071" width="11" style="89"/>
    <col min="12072" max="12072" width="11" style="89"/>
    <col min="12073" max="12073" width="11" style="89"/>
    <col min="12074" max="12074" width="11" style="89"/>
    <col min="12075" max="12075" width="11" style="89"/>
    <col min="12076" max="12076" width="11" style="89"/>
    <col min="12077" max="12077" width="11" style="89"/>
    <col min="12078" max="12078" width="11" style="89"/>
    <col min="12079" max="12079" width="11" style="89"/>
    <col min="12080" max="12080" width="11" style="89"/>
    <col min="12081" max="12081" width="11" style="89"/>
    <col min="12082" max="12082" width="11" style="89"/>
    <col min="12083" max="12083" width="11" style="89"/>
    <col min="12084" max="12084" width="11" style="89"/>
    <col min="12085" max="12085" width="11" style="89"/>
    <col min="12086" max="12086" width="11" style="89"/>
    <col min="12087" max="12087" width="11" style="89"/>
    <col min="12088" max="12088" width="11" style="89"/>
    <col min="12089" max="12089" width="11" style="89"/>
    <col min="12090" max="12090" width="11" style="89"/>
    <col min="12091" max="12091" width="11" style="89"/>
    <col min="12092" max="12092" width="11" style="89"/>
    <col min="12093" max="12093" width="11" style="89"/>
    <col min="12094" max="12094" width="11" style="89"/>
    <col min="12095" max="12095" width="11" style="89"/>
    <col min="12096" max="12096" width="11" style="89"/>
    <col min="12097" max="12097" width="11" style="89"/>
    <col min="12098" max="12098" width="11" style="89"/>
    <col min="12099" max="12099" width="11" style="89"/>
    <col min="12100" max="12100" width="11" style="89"/>
    <col min="12101" max="12101" width="11" style="89"/>
    <col min="12102" max="12102" width="11" style="89"/>
    <col min="12103" max="12103" width="11" style="89"/>
    <col min="12104" max="12104" width="11" style="89"/>
    <col min="12105" max="12105" width="11" style="89"/>
    <col min="12106" max="12106" width="11" style="89"/>
    <col min="12107" max="12107" width="11" style="89"/>
    <col min="12108" max="12108" width="11" style="89"/>
    <col min="12109" max="12109" width="11" style="89"/>
    <col min="12110" max="12110" width="11" style="89"/>
    <col min="12111" max="12111" width="11" style="89"/>
    <col min="12112" max="12112" width="11" style="89"/>
    <col min="12113" max="12113" width="11" style="89"/>
    <col min="12114" max="12114" width="11" style="89"/>
    <col min="12115" max="12115" width="11" style="89"/>
    <col min="12116" max="12116" width="11" style="89"/>
    <col min="12117" max="12117" width="11" style="89"/>
    <col min="12118" max="12118" width="11" style="89"/>
    <col min="12119" max="12119" width="11" style="89"/>
    <col min="12120" max="12120" width="11" style="89"/>
    <col min="12121" max="12121" width="11" style="89"/>
    <col min="12122" max="12122" width="11" style="89"/>
    <col min="12123" max="12123" width="11" style="89"/>
    <col min="12124" max="12124" width="11" style="89"/>
    <col min="12125" max="12125" width="11" style="89"/>
    <col min="12126" max="12126" width="11" style="89"/>
    <col min="12127" max="12127" width="11" style="89"/>
    <col min="12128" max="12128" width="11" style="89"/>
    <col min="12129" max="12129" width="11" style="89"/>
    <col min="12130" max="12130" width="11" style="89"/>
    <col min="12131" max="12131" width="11" style="89"/>
    <col min="12132" max="12132" width="11" style="89"/>
    <col min="12133" max="12133" width="11" style="89"/>
    <col min="12134" max="12134" width="11" style="89"/>
    <col min="12135" max="12135" width="11" style="89"/>
    <col min="12136" max="12136" width="11" style="89"/>
    <col min="12137" max="12137" width="11" style="89"/>
    <col min="12138" max="12138" width="11" style="89"/>
    <col min="12139" max="12139" width="11" style="89"/>
    <col min="12140" max="12140" width="11" style="89"/>
    <col min="12141" max="12141" width="11" style="89"/>
    <col min="12142" max="12142" width="11" style="89"/>
    <col min="12143" max="12143" width="11" style="89"/>
    <col min="12144" max="12144" width="11" style="89"/>
    <col min="12145" max="12145" width="11" style="89"/>
    <col min="12146" max="12146" width="11" style="89"/>
    <col min="12147" max="12147" width="11" style="89"/>
    <col min="12148" max="12148" width="11" style="89"/>
    <col min="12149" max="12149" width="11" style="89"/>
    <col min="12150" max="12150" width="11" style="89"/>
    <col min="12151" max="12151" width="11" style="89"/>
    <col min="12152" max="12152" width="11" style="89"/>
    <col min="12153" max="12153" width="11" style="89"/>
    <col min="12154" max="12154" width="11" style="89"/>
    <col min="12155" max="12155" width="11" style="89"/>
    <col min="12156" max="12156" width="11" style="89"/>
    <col min="12157" max="12157" width="11" style="89"/>
    <col min="12158" max="12158" width="11" style="89"/>
    <col min="12159" max="12159" width="11" style="89"/>
    <col min="12160" max="12160" width="11" style="89"/>
    <col min="12161" max="12161" width="11" style="89"/>
    <col min="12162" max="12162" width="11" style="89"/>
    <col min="12163" max="12163" width="11" style="89"/>
    <col min="12164" max="12164" width="11" style="89"/>
    <col min="12165" max="12165" width="11" style="89"/>
    <col min="12166" max="12166" width="11" style="89"/>
    <col min="12167" max="12167" width="11" style="89"/>
    <col min="12168" max="12168" width="11" style="89"/>
    <col min="12169" max="12169" width="11" style="89"/>
    <col min="12170" max="12170" width="11" style="89"/>
    <col min="12171" max="12171" width="11" style="89"/>
    <col min="12172" max="12172" width="11" style="89"/>
    <col min="12173" max="12173" width="11" style="89"/>
    <col min="12174" max="12174" width="11" style="89"/>
    <col min="12175" max="12175" width="11" style="89"/>
    <col min="12176" max="12176" width="11" style="89"/>
    <col min="12177" max="12177" width="11" style="89"/>
    <col min="12178" max="12178" width="11" style="89"/>
    <col min="12179" max="12179" width="11" style="89"/>
    <col min="12180" max="12180" width="11" style="89"/>
    <col min="12181" max="12181" width="11" style="89"/>
    <col min="12182" max="12182" width="11" style="89"/>
    <col min="12183" max="12183" width="11" style="89"/>
    <col min="12184" max="12184" width="11" style="89"/>
    <col min="12185" max="12185" width="11" style="89"/>
    <col min="12186" max="12186" width="11" style="89"/>
    <col min="12187" max="12187" width="11" style="89"/>
    <col min="12188" max="12188" width="11" style="89"/>
    <col min="12189" max="12189" width="11" style="89"/>
    <col min="12190" max="12190" width="11" style="89"/>
    <col min="12191" max="12191" width="11" style="89"/>
    <col min="12192" max="12192" width="11" style="89"/>
    <col min="12193" max="12193" width="11" style="89"/>
    <col min="12194" max="12194" width="11" style="89"/>
    <col min="12195" max="12195" width="11" style="89"/>
    <col min="12196" max="12196" width="11" style="89"/>
    <col min="12197" max="12197" width="11" style="89"/>
    <col min="12198" max="12198" width="11" style="89"/>
    <col min="12199" max="12199" width="11" style="89"/>
    <col min="12200" max="12200" width="11" style="89"/>
    <col min="12201" max="12201" width="11" style="89"/>
    <col min="12202" max="12202" width="11" style="89"/>
    <col min="12203" max="12203" width="11" style="89"/>
    <col min="12204" max="12204" width="11" style="89"/>
    <col min="12205" max="12205" width="11" style="89"/>
    <col min="12206" max="12206" width="11" style="89"/>
    <col min="12207" max="12207" width="11" style="89"/>
    <col min="12208" max="12208" width="11" style="89"/>
    <col min="12209" max="12209" width="11" style="89"/>
    <col min="12210" max="12210" width="11" style="89"/>
    <col min="12211" max="12211" width="11" style="89"/>
    <col min="12212" max="12212" width="11" style="89"/>
    <col min="12213" max="12213" width="11" style="89"/>
    <col min="12214" max="12214" width="11" style="89"/>
    <col min="12215" max="12215" width="11" style="89"/>
    <col min="12216" max="12216" width="11" style="89"/>
    <col min="12217" max="12217" width="11" style="89"/>
    <col min="12218" max="12218" width="11" style="89"/>
    <col min="12219" max="12219" width="11" style="89"/>
    <col min="12220" max="12220" width="11" style="89"/>
    <col min="12221" max="12221" width="11" style="89"/>
    <col min="12222" max="12222" width="11" style="89"/>
    <col min="12223" max="12223" width="11" style="89"/>
    <col min="12224" max="12224" width="11" style="89"/>
    <col min="12225" max="12225" width="11" style="89"/>
    <col min="12226" max="12226" width="11" style="89"/>
    <col min="12227" max="12227" width="11" style="89"/>
    <col min="12228" max="12228" width="11" style="89"/>
    <col min="12229" max="12229" width="11" style="89"/>
    <col min="12230" max="12230" width="11" style="89"/>
    <col min="12231" max="12231" width="11" style="89"/>
    <col min="12232" max="12232" width="11" style="89"/>
    <col min="12233" max="12233" width="11" style="89"/>
    <col min="12234" max="12234" width="11" style="89"/>
    <col min="12235" max="12235" width="11" style="89"/>
    <col min="12236" max="12236" width="11" style="89"/>
    <col min="12237" max="12237" width="11" style="89"/>
    <col min="12238" max="12238" width="11" style="89"/>
    <col min="12239" max="12239" width="11" style="89"/>
    <col min="12240" max="12240" width="11" style="89"/>
    <col min="12241" max="12241" width="11" style="89"/>
    <col min="12242" max="12242" width="11" style="89"/>
    <col min="12243" max="12243" width="11" style="89"/>
    <col min="12244" max="12244" width="11" style="89"/>
    <col min="12245" max="12245" width="11" style="89"/>
    <col min="12246" max="12246" width="11" style="89"/>
    <col min="12247" max="12247" width="11" style="89"/>
    <col min="12248" max="12248" width="11" style="89"/>
    <col min="12249" max="12249" width="11" style="89"/>
    <col min="12250" max="12250" width="11" style="89"/>
    <col min="12251" max="12251" width="11" style="89"/>
    <col min="12252" max="12252" width="11" style="89"/>
    <col min="12253" max="12253" width="11" style="89"/>
    <col min="12254" max="12254" width="11" style="89"/>
    <col min="12255" max="12255" width="11" style="89"/>
    <col min="12256" max="12256" width="11" style="89"/>
    <col min="12257" max="12257" width="11" style="89"/>
    <col min="12258" max="12258" width="11" style="89"/>
    <col min="12259" max="12259" width="11" style="89"/>
    <col min="12260" max="12260" width="11" style="89"/>
    <col min="12261" max="12261" width="11" style="89"/>
    <col min="12262" max="12262" width="11" style="89"/>
    <col min="12263" max="12263" width="11" style="89"/>
    <col min="12264" max="12264" width="11" style="89"/>
    <col min="12265" max="12265" width="11" style="89"/>
    <col min="12266" max="12266" width="11" style="89"/>
    <col min="12267" max="12267" width="11" style="89"/>
    <col min="12268" max="12268" width="11" style="89"/>
    <col min="12269" max="12269" width="11" style="89"/>
    <col min="12270" max="12270" width="11" style="89"/>
    <col min="12271" max="12271" width="11" style="89"/>
    <col min="12272" max="12272" width="11" style="89"/>
    <col min="12273" max="12273" width="11" style="89"/>
    <col min="12274" max="12274" width="11" style="89"/>
    <col min="12275" max="12275" width="11" style="89"/>
    <col min="12276" max="12276" width="11" style="89"/>
    <col min="12277" max="12277" width="11" style="89"/>
    <col min="12278" max="12278" width="11" style="89"/>
    <col min="12279" max="12279" width="11" style="89"/>
    <col min="12280" max="12280" width="11" style="89"/>
    <col min="12281" max="12281" width="11" style="89"/>
    <col min="12282" max="12282" width="11" style="89"/>
    <col min="12283" max="12283" width="11" style="89"/>
    <col min="12284" max="12284" width="11" style="89"/>
    <col min="12285" max="12285" width="11" style="89"/>
    <col min="12286" max="12286" width="11" style="89"/>
    <col min="12287" max="12287" width="11" style="89"/>
    <col min="12288" max="12288" width="11" style="89"/>
    <col min="12289" max="12289" width="10.140625" customWidth="true" style="89"/>
    <col min="12290" max="12290" width="10.140625" customWidth="true" style="89"/>
    <col min="12291" max="12291" width="10.140625" customWidth="true" style="89"/>
    <col min="12292" max="12292" width="10.140625" customWidth="true" style="89"/>
    <col min="12293" max="12293" width="10.140625" customWidth="true" style="89"/>
    <col min="12294" max="12294" width="10.140625" customWidth="true" style="89"/>
    <col min="12295" max="12295" width="10.140625" customWidth="true" style="89"/>
    <col min="12296" max="12296" width="10.140625" customWidth="true" style="89"/>
    <col min="12297" max="12297" width="10.140625" customWidth="true" style="89"/>
    <col min="12298" max="12298" width="11" style="89"/>
    <col min="12299" max="12299" width="11" style="89"/>
    <col min="12300" max="12300" width="11" style="89"/>
    <col min="12301" max="12301" width="11" style="89"/>
    <col min="12302" max="12302" width="11" style="89"/>
    <col min="12303" max="12303" width="11" style="89"/>
    <col min="12304" max="12304" width="11" style="89"/>
    <col min="12305" max="12305" width="11" style="89"/>
    <col min="12306" max="12306" width="11" style="89"/>
    <col min="12307" max="12307" width="11" style="89"/>
    <col min="12308" max="12308" width="11" style="89"/>
    <col min="12309" max="12309" width="11" style="89"/>
    <col min="12310" max="12310" width="11" style="89"/>
    <col min="12311" max="12311" width="11" style="89"/>
    <col min="12312" max="12312" width="11" style="89"/>
    <col min="12313" max="12313" width="11" style="89"/>
    <col min="12314" max="12314" width="11" style="89"/>
    <col min="12315" max="12315" width="11" style="89"/>
    <col min="12316" max="12316" width="11" style="89"/>
    <col min="12317" max="12317" width="11" style="89"/>
    <col min="12318" max="12318" width="11" style="89"/>
    <col min="12319" max="12319" width="11" style="89"/>
    <col min="12320" max="12320" width="11" style="89"/>
    <col min="12321" max="12321" width="11" style="89"/>
    <col min="12322" max="12322" width="11" style="89"/>
    <col min="12323" max="12323" width="11" style="89"/>
    <col min="12324" max="12324" width="11" style="89"/>
    <col min="12325" max="12325" width="11" style="89"/>
    <col min="12326" max="12326" width="11" style="89"/>
    <col min="12327" max="12327" width="11" style="89"/>
    <col min="12328" max="12328" width="11" style="89"/>
    <col min="12329" max="12329" width="11" style="89"/>
    <col min="12330" max="12330" width="11" style="89"/>
    <col min="12331" max="12331" width="11" style="89"/>
    <col min="12332" max="12332" width="11" style="89"/>
    <col min="12333" max="12333" width="11" style="89"/>
    <col min="12334" max="12334" width="11" style="89"/>
    <col min="12335" max="12335" width="11" style="89"/>
    <col min="12336" max="12336" width="11" style="89"/>
    <col min="12337" max="12337" width="11" style="89"/>
    <col min="12338" max="12338" width="11" style="89"/>
    <col min="12339" max="12339" width="11" style="89"/>
    <col min="12340" max="12340" width="11" style="89"/>
    <col min="12341" max="12341" width="11" style="89"/>
    <col min="12342" max="12342" width="11" style="89"/>
    <col min="12343" max="12343" width="11" style="89"/>
    <col min="12344" max="12344" width="11" style="89"/>
    <col min="12345" max="12345" width="11" style="89"/>
    <col min="12346" max="12346" width="11" style="89"/>
    <col min="12347" max="12347" width="11" style="89"/>
    <col min="12348" max="12348" width="11" style="89"/>
    <col min="12349" max="12349" width="11" style="89"/>
    <col min="12350" max="12350" width="11" style="89"/>
    <col min="12351" max="12351" width="11" style="89"/>
    <col min="12352" max="12352" width="11" style="89"/>
    <col min="12353" max="12353" width="11" style="89"/>
    <col min="12354" max="12354" width="11" style="89"/>
    <col min="12355" max="12355" width="11" style="89"/>
    <col min="12356" max="12356" width="11" style="89"/>
    <col min="12357" max="12357" width="11" style="89"/>
    <col min="12358" max="12358" width="11" style="89"/>
    <col min="12359" max="12359" width="11" style="89"/>
    <col min="12360" max="12360" width="11" style="89"/>
    <col min="12361" max="12361" width="11" style="89"/>
    <col min="12362" max="12362" width="11" style="89"/>
    <col min="12363" max="12363" width="11" style="89"/>
    <col min="12364" max="12364" width="11" style="89"/>
    <col min="12365" max="12365" width="11" style="89"/>
    <col min="12366" max="12366" width="11" style="89"/>
    <col min="12367" max="12367" width="11" style="89"/>
    <col min="12368" max="12368" width="11" style="89"/>
    <col min="12369" max="12369" width="11" style="89"/>
    <col min="12370" max="12370" width="11" style="89"/>
    <col min="12371" max="12371" width="11" style="89"/>
    <col min="12372" max="12372" width="11" style="89"/>
    <col min="12373" max="12373" width="11" style="89"/>
    <col min="12374" max="12374" width="11" style="89"/>
    <col min="12375" max="12375" width="11" style="89"/>
    <col min="12376" max="12376" width="11" style="89"/>
    <col min="12377" max="12377" width="11" style="89"/>
    <col min="12378" max="12378" width="11" style="89"/>
    <col min="12379" max="12379" width="11" style="89"/>
    <col min="12380" max="12380" width="11" style="89"/>
    <col min="12381" max="12381" width="11" style="89"/>
    <col min="12382" max="12382" width="11" style="89"/>
    <col min="12383" max="12383" width="11" style="89"/>
    <col min="12384" max="12384" width="11" style="89"/>
    <col min="12385" max="12385" width="11" style="89"/>
    <col min="12386" max="12386" width="11" style="89"/>
    <col min="12387" max="12387" width="11" style="89"/>
    <col min="12388" max="12388" width="11" style="89"/>
    <col min="12389" max="12389" width="11" style="89"/>
    <col min="12390" max="12390" width="11" style="89"/>
    <col min="12391" max="12391" width="11" style="89"/>
    <col min="12392" max="12392" width="11" style="89"/>
    <col min="12393" max="12393" width="11" style="89"/>
    <col min="12394" max="12394" width="11" style="89"/>
    <col min="12395" max="12395" width="11" style="89"/>
    <col min="12396" max="12396" width="11" style="89"/>
    <col min="12397" max="12397" width="11" style="89"/>
    <col min="12398" max="12398" width="11" style="89"/>
    <col min="12399" max="12399" width="11" style="89"/>
    <col min="12400" max="12400" width="11" style="89"/>
    <col min="12401" max="12401" width="11" style="89"/>
    <col min="12402" max="12402" width="11" style="89"/>
    <col min="12403" max="12403" width="11" style="89"/>
    <col min="12404" max="12404" width="11" style="89"/>
    <col min="12405" max="12405" width="11" style="89"/>
    <col min="12406" max="12406" width="11" style="89"/>
    <col min="12407" max="12407" width="11" style="89"/>
    <col min="12408" max="12408" width="11" style="89"/>
    <col min="12409" max="12409" width="11" style="89"/>
    <col min="12410" max="12410" width="11" style="89"/>
    <col min="12411" max="12411" width="11" style="89"/>
    <col min="12412" max="12412" width="11" style="89"/>
    <col min="12413" max="12413" width="11" style="89"/>
    <col min="12414" max="12414" width="11" style="89"/>
    <col min="12415" max="12415" width="11" style="89"/>
    <col min="12416" max="12416" width="11" style="89"/>
    <col min="12417" max="12417" width="11" style="89"/>
    <col min="12418" max="12418" width="11" style="89"/>
    <col min="12419" max="12419" width="11" style="89"/>
    <col min="12420" max="12420" width="11" style="89"/>
    <col min="12421" max="12421" width="11" style="89"/>
    <col min="12422" max="12422" width="11" style="89"/>
    <col min="12423" max="12423" width="11" style="89"/>
    <col min="12424" max="12424" width="11" style="89"/>
    <col min="12425" max="12425" width="11" style="89"/>
    <col min="12426" max="12426" width="11" style="89"/>
    <col min="12427" max="12427" width="11" style="89"/>
    <col min="12428" max="12428" width="11" style="89"/>
    <col min="12429" max="12429" width="11" style="89"/>
    <col min="12430" max="12430" width="11" style="89"/>
    <col min="12431" max="12431" width="11" style="89"/>
    <col min="12432" max="12432" width="11" style="89"/>
    <col min="12433" max="12433" width="11" style="89"/>
    <col min="12434" max="12434" width="11" style="89"/>
    <col min="12435" max="12435" width="11" style="89"/>
    <col min="12436" max="12436" width="11" style="89"/>
    <col min="12437" max="12437" width="11" style="89"/>
    <col min="12438" max="12438" width="11" style="89"/>
    <col min="12439" max="12439" width="11" style="89"/>
    <col min="12440" max="12440" width="11" style="89"/>
    <col min="12441" max="12441" width="11" style="89"/>
    <col min="12442" max="12442" width="11" style="89"/>
    <col min="12443" max="12443" width="11" style="89"/>
    <col min="12444" max="12444" width="11" style="89"/>
    <col min="12445" max="12445" width="11" style="89"/>
    <col min="12446" max="12446" width="11" style="89"/>
    <col min="12447" max="12447" width="11" style="89"/>
    <col min="12448" max="12448" width="11" style="89"/>
    <col min="12449" max="12449" width="11" style="89"/>
    <col min="12450" max="12450" width="11" style="89"/>
    <col min="12451" max="12451" width="11" style="89"/>
    <col min="12452" max="12452" width="11" style="89"/>
    <col min="12453" max="12453" width="11" style="89"/>
    <col min="12454" max="12454" width="11" style="89"/>
    <col min="12455" max="12455" width="11" style="89"/>
    <col min="12456" max="12456" width="11" style="89"/>
    <col min="12457" max="12457" width="11" style="89"/>
    <col min="12458" max="12458" width="11" style="89"/>
    <col min="12459" max="12459" width="11" style="89"/>
    <col min="12460" max="12460" width="11" style="89"/>
    <col min="12461" max="12461" width="11" style="89"/>
    <col min="12462" max="12462" width="11" style="89"/>
    <col min="12463" max="12463" width="11" style="89"/>
    <col min="12464" max="12464" width="11" style="89"/>
    <col min="12465" max="12465" width="11" style="89"/>
    <col min="12466" max="12466" width="11" style="89"/>
    <col min="12467" max="12467" width="11" style="89"/>
    <col min="12468" max="12468" width="11" style="89"/>
    <col min="12469" max="12469" width="11" style="89"/>
    <col min="12470" max="12470" width="11" style="89"/>
    <col min="12471" max="12471" width="11" style="89"/>
    <col min="12472" max="12472" width="11" style="89"/>
    <col min="12473" max="12473" width="11" style="89"/>
    <col min="12474" max="12474" width="11" style="89"/>
    <col min="12475" max="12475" width="11" style="89"/>
    <col min="12476" max="12476" width="11" style="89"/>
    <col min="12477" max="12477" width="11" style="89"/>
    <col min="12478" max="12478" width="11" style="89"/>
    <col min="12479" max="12479" width="11" style="89"/>
    <col min="12480" max="12480" width="11" style="89"/>
    <col min="12481" max="12481" width="11" style="89"/>
    <col min="12482" max="12482" width="11" style="89"/>
    <col min="12483" max="12483" width="11" style="89"/>
    <col min="12484" max="12484" width="11" style="89"/>
    <col min="12485" max="12485" width="11" style="89"/>
    <col min="12486" max="12486" width="11" style="89"/>
    <col min="12487" max="12487" width="11" style="89"/>
    <col min="12488" max="12488" width="11" style="89"/>
    <col min="12489" max="12489" width="11" style="89"/>
    <col min="12490" max="12490" width="11" style="89"/>
    <col min="12491" max="12491" width="11" style="89"/>
    <col min="12492" max="12492" width="11" style="89"/>
    <col min="12493" max="12493" width="11" style="89"/>
    <col min="12494" max="12494" width="11" style="89"/>
    <col min="12495" max="12495" width="11" style="89"/>
    <col min="12496" max="12496" width="11" style="89"/>
    <col min="12497" max="12497" width="11" style="89"/>
    <col min="12498" max="12498" width="11" style="89"/>
    <col min="12499" max="12499" width="11" style="89"/>
    <col min="12500" max="12500" width="11" style="89"/>
    <col min="12501" max="12501" width="11" style="89"/>
    <col min="12502" max="12502" width="11" style="89"/>
    <col min="12503" max="12503" width="11" style="89"/>
    <col min="12504" max="12504" width="11" style="89"/>
    <col min="12505" max="12505" width="11" style="89"/>
    <col min="12506" max="12506" width="11" style="89"/>
    <col min="12507" max="12507" width="11" style="89"/>
    <col min="12508" max="12508" width="11" style="89"/>
    <col min="12509" max="12509" width="11" style="89"/>
    <col min="12510" max="12510" width="11" style="89"/>
    <col min="12511" max="12511" width="11" style="89"/>
    <col min="12512" max="12512" width="11" style="89"/>
    <col min="12513" max="12513" width="11" style="89"/>
    <col min="12514" max="12514" width="11" style="89"/>
    <col min="12515" max="12515" width="11" style="89"/>
    <col min="12516" max="12516" width="11" style="89"/>
    <col min="12517" max="12517" width="11" style="89"/>
    <col min="12518" max="12518" width="11" style="89"/>
    <col min="12519" max="12519" width="11" style="89"/>
    <col min="12520" max="12520" width="11" style="89"/>
    <col min="12521" max="12521" width="11" style="89"/>
    <col min="12522" max="12522" width="11" style="89"/>
    <col min="12523" max="12523" width="11" style="89"/>
    <col min="12524" max="12524" width="11" style="89"/>
    <col min="12525" max="12525" width="11" style="89"/>
    <col min="12526" max="12526" width="11" style="89"/>
    <col min="12527" max="12527" width="11" style="89"/>
    <col min="12528" max="12528" width="11" style="89"/>
    <col min="12529" max="12529" width="11" style="89"/>
    <col min="12530" max="12530" width="11" style="89"/>
    <col min="12531" max="12531" width="11" style="89"/>
    <col min="12532" max="12532" width="11" style="89"/>
    <col min="12533" max="12533" width="11" style="89"/>
    <col min="12534" max="12534" width="11" style="89"/>
    <col min="12535" max="12535" width="11" style="89"/>
    <col min="12536" max="12536" width="11" style="89"/>
    <col min="12537" max="12537" width="11" style="89"/>
    <col min="12538" max="12538" width="11" style="89"/>
    <col min="12539" max="12539" width="11" style="89"/>
    <col min="12540" max="12540" width="11" style="89"/>
    <col min="12541" max="12541" width="11" style="89"/>
    <col min="12542" max="12542" width="11" style="89"/>
    <col min="12543" max="12543" width="11" style="89"/>
    <col min="12544" max="12544" width="11" style="89"/>
    <col min="12545" max="12545" width="10.140625" customWidth="true" style="89"/>
    <col min="12546" max="12546" width="10.140625" customWidth="true" style="89"/>
    <col min="12547" max="12547" width="10.140625" customWidth="true" style="89"/>
    <col min="12548" max="12548" width="10.140625" customWidth="true" style="89"/>
    <col min="12549" max="12549" width="10.140625" customWidth="true" style="89"/>
    <col min="12550" max="12550" width="10.140625" customWidth="true" style="89"/>
    <col min="12551" max="12551" width="10.140625" customWidth="true" style="89"/>
    <col min="12552" max="12552" width="10.140625" customWidth="true" style="89"/>
    <col min="12553" max="12553" width="10.140625" customWidth="true" style="89"/>
    <col min="12554" max="12554" width="11" style="89"/>
    <col min="12555" max="12555" width="11" style="89"/>
    <col min="12556" max="12556" width="11" style="89"/>
    <col min="12557" max="12557" width="11" style="89"/>
    <col min="12558" max="12558" width="11" style="89"/>
    <col min="12559" max="12559" width="11" style="89"/>
    <col min="12560" max="12560" width="11" style="89"/>
    <col min="12561" max="12561" width="11" style="89"/>
    <col min="12562" max="12562" width="11" style="89"/>
    <col min="12563" max="12563" width="11" style="89"/>
    <col min="12564" max="12564" width="11" style="89"/>
    <col min="12565" max="12565" width="11" style="89"/>
    <col min="12566" max="12566" width="11" style="89"/>
    <col min="12567" max="12567" width="11" style="89"/>
    <col min="12568" max="12568" width="11" style="89"/>
    <col min="12569" max="12569" width="11" style="89"/>
    <col min="12570" max="12570" width="11" style="89"/>
    <col min="12571" max="12571" width="11" style="89"/>
    <col min="12572" max="12572" width="11" style="89"/>
    <col min="12573" max="12573" width="11" style="89"/>
    <col min="12574" max="12574" width="11" style="89"/>
    <col min="12575" max="12575" width="11" style="89"/>
    <col min="12576" max="12576" width="11" style="89"/>
    <col min="12577" max="12577" width="11" style="89"/>
    <col min="12578" max="12578" width="11" style="89"/>
    <col min="12579" max="12579" width="11" style="89"/>
    <col min="12580" max="12580" width="11" style="89"/>
    <col min="12581" max="12581" width="11" style="89"/>
    <col min="12582" max="12582" width="11" style="89"/>
    <col min="12583" max="12583" width="11" style="89"/>
    <col min="12584" max="12584" width="11" style="89"/>
    <col min="12585" max="12585" width="11" style="89"/>
    <col min="12586" max="12586" width="11" style="89"/>
    <col min="12587" max="12587" width="11" style="89"/>
    <col min="12588" max="12588" width="11" style="89"/>
    <col min="12589" max="12589" width="11" style="89"/>
    <col min="12590" max="12590" width="11" style="89"/>
    <col min="12591" max="12591" width="11" style="89"/>
    <col min="12592" max="12592" width="11" style="89"/>
    <col min="12593" max="12593" width="11" style="89"/>
    <col min="12594" max="12594" width="11" style="89"/>
    <col min="12595" max="12595" width="11" style="89"/>
    <col min="12596" max="12596" width="11" style="89"/>
    <col min="12597" max="12597" width="11" style="89"/>
    <col min="12598" max="12598" width="11" style="89"/>
    <col min="12599" max="12599" width="11" style="89"/>
    <col min="12600" max="12600" width="11" style="89"/>
    <col min="12601" max="12601" width="11" style="89"/>
    <col min="12602" max="12602" width="11" style="89"/>
    <col min="12603" max="12603" width="11" style="89"/>
    <col min="12604" max="12604" width="11" style="89"/>
    <col min="12605" max="12605" width="11" style="89"/>
    <col min="12606" max="12606" width="11" style="89"/>
    <col min="12607" max="12607" width="11" style="89"/>
    <col min="12608" max="12608" width="11" style="89"/>
    <col min="12609" max="12609" width="11" style="89"/>
    <col min="12610" max="12610" width="11" style="89"/>
    <col min="12611" max="12611" width="11" style="89"/>
    <col min="12612" max="12612" width="11" style="89"/>
    <col min="12613" max="12613" width="11" style="89"/>
    <col min="12614" max="12614" width="11" style="89"/>
    <col min="12615" max="12615" width="11" style="89"/>
    <col min="12616" max="12616" width="11" style="89"/>
    <col min="12617" max="12617" width="11" style="89"/>
    <col min="12618" max="12618" width="11" style="89"/>
    <col min="12619" max="12619" width="11" style="89"/>
    <col min="12620" max="12620" width="11" style="89"/>
    <col min="12621" max="12621" width="11" style="89"/>
    <col min="12622" max="12622" width="11" style="89"/>
    <col min="12623" max="12623" width="11" style="89"/>
    <col min="12624" max="12624" width="11" style="89"/>
    <col min="12625" max="12625" width="11" style="89"/>
    <col min="12626" max="12626" width="11" style="89"/>
    <col min="12627" max="12627" width="11" style="89"/>
    <col min="12628" max="12628" width="11" style="89"/>
    <col min="12629" max="12629" width="11" style="89"/>
    <col min="12630" max="12630" width="11" style="89"/>
    <col min="12631" max="12631" width="11" style="89"/>
    <col min="12632" max="12632" width="11" style="89"/>
    <col min="12633" max="12633" width="11" style="89"/>
    <col min="12634" max="12634" width="11" style="89"/>
    <col min="12635" max="12635" width="11" style="89"/>
    <col min="12636" max="12636" width="11" style="89"/>
    <col min="12637" max="12637" width="11" style="89"/>
    <col min="12638" max="12638" width="11" style="89"/>
    <col min="12639" max="12639" width="11" style="89"/>
    <col min="12640" max="12640" width="11" style="89"/>
    <col min="12641" max="12641" width="11" style="89"/>
    <col min="12642" max="12642" width="11" style="89"/>
    <col min="12643" max="12643" width="11" style="89"/>
    <col min="12644" max="12644" width="11" style="89"/>
    <col min="12645" max="12645" width="11" style="89"/>
    <col min="12646" max="12646" width="11" style="89"/>
    <col min="12647" max="12647" width="11" style="89"/>
    <col min="12648" max="12648" width="11" style="89"/>
    <col min="12649" max="12649" width="11" style="89"/>
    <col min="12650" max="12650" width="11" style="89"/>
    <col min="12651" max="12651" width="11" style="89"/>
    <col min="12652" max="12652" width="11" style="89"/>
    <col min="12653" max="12653" width="11" style="89"/>
    <col min="12654" max="12654" width="11" style="89"/>
    <col min="12655" max="12655" width="11" style="89"/>
    <col min="12656" max="12656" width="11" style="89"/>
    <col min="12657" max="12657" width="11" style="89"/>
    <col min="12658" max="12658" width="11" style="89"/>
    <col min="12659" max="12659" width="11" style="89"/>
    <col min="12660" max="12660" width="11" style="89"/>
    <col min="12661" max="12661" width="11" style="89"/>
    <col min="12662" max="12662" width="11" style="89"/>
    <col min="12663" max="12663" width="11" style="89"/>
    <col min="12664" max="12664" width="11" style="89"/>
    <col min="12665" max="12665" width="11" style="89"/>
    <col min="12666" max="12666" width="11" style="89"/>
    <col min="12667" max="12667" width="11" style="89"/>
    <col min="12668" max="12668" width="11" style="89"/>
    <col min="12669" max="12669" width="11" style="89"/>
    <col min="12670" max="12670" width="11" style="89"/>
    <col min="12671" max="12671" width="11" style="89"/>
    <col min="12672" max="12672" width="11" style="89"/>
    <col min="12673" max="12673" width="11" style="89"/>
    <col min="12674" max="12674" width="11" style="89"/>
    <col min="12675" max="12675" width="11" style="89"/>
    <col min="12676" max="12676" width="11" style="89"/>
    <col min="12677" max="12677" width="11" style="89"/>
    <col min="12678" max="12678" width="11" style="89"/>
    <col min="12679" max="12679" width="11" style="89"/>
    <col min="12680" max="12680" width="11" style="89"/>
    <col min="12681" max="12681" width="11" style="89"/>
    <col min="12682" max="12682" width="11" style="89"/>
    <col min="12683" max="12683" width="11" style="89"/>
    <col min="12684" max="12684" width="11" style="89"/>
    <col min="12685" max="12685" width="11" style="89"/>
    <col min="12686" max="12686" width="11" style="89"/>
    <col min="12687" max="12687" width="11" style="89"/>
    <col min="12688" max="12688" width="11" style="89"/>
    <col min="12689" max="12689" width="11" style="89"/>
    <col min="12690" max="12690" width="11" style="89"/>
    <col min="12691" max="12691" width="11" style="89"/>
    <col min="12692" max="12692" width="11" style="89"/>
    <col min="12693" max="12693" width="11" style="89"/>
    <col min="12694" max="12694" width="11" style="89"/>
    <col min="12695" max="12695" width="11" style="89"/>
    <col min="12696" max="12696" width="11" style="89"/>
    <col min="12697" max="12697" width="11" style="89"/>
    <col min="12698" max="12698" width="11" style="89"/>
    <col min="12699" max="12699" width="11" style="89"/>
    <col min="12700" max="12700" width="11" style="89"/>
    <col min="12701" max="12701" width="11" style="89"/>
    <col min="12702" max="12702" width="11" style="89"/>
    <col min="12703" max="12703" width="11" style="89"/>
    <col min="12704" max="12704" width="11" style="89"/>
    <col min="12705" max="12705" width="11" style="89"/>
    <col min="12706" max="12706" width="11" style="89"/>
    <col min="12707" max="12707" width="11" style="89"/>
    <col min="12708" max="12708" width="11" style="89"/>
    <col min="12709" max="12709" width="11" style="89"/>
    <col min="12710" max="12710" width="11" style="89"/>
    <col min="12711" max="12711" width="11" style="89"/>
    <col min="12712" max="12712" width="11" style="89"/>
    <col min="12713" max="12713" width="11" style="89"/>
    <col min="12714" max="12714" width="11" style="89"/>
    <col min="12715" max="12715" width="11" style="89"/>
    <col min="12716" max="12716" width="11" style="89"/>
    <col min="12717" max="12717" width="11" style="89"/>
    <col min="12718" max="12718" width="11" style="89"/>
    <col min="12719" max="12719" width="11" style="89"/>
    <col min="12720" max="12720" width="11" style="89"/>
    <col min="12721" max="12721" width="11" style="89"/>
    <col min="12722" max="12722" width="11" style="89"/>
    <col min="12723" max="12723" width="11" style="89"/>
    <col min="12724" max="12724" width="11" style="89"/>
    <col min="12725" max="12725" width="11" style="89"/>
    <col min="12726" max="12726" width="11" style="89"/>
    <col min="12727" max="12727" width="11" style="89"/>
    <col min="12728" max="12728" width="11" style="89"/>
    <col min="12729" max="12729" width="11" style="89"/>
    <col min="12730" max="12730" width="11" style="89"/>
    <col min="12731" max="12731" width="11" style="89"/>
    <col min="12732" max="12732" width="11" style="89"/>
    <col min="12733" max="12733" width="11" style="89"/>
    <col min="12734" max="12734" width="11" style="89"/>
    <col min="12735" max="12735" width="11" style="89"/>
    <col min="12736" max="12736" width="11" style="89"/>
    <col min="12737" max="12737" width="11" style="89"/>
    <col min="12738" max="12738" width="11" style="89"/>
    <col min="12739" max="12739" width="11" style="89"/>
    <col min="12740" max="12740" width="11" style="89"/>
    <col min="12741" max="12741" width="11" style="89"/>
    <col min="12742" max="12742" width="11" style="89"/>
    <col min="12743" max="12743" width="11" style="89"/>
    <col min="12744" max="12744" width="11" style="89"/>
    <col min="12745" max="12745" width="11" style="89"/>
    <col min="12746" max="12746" width="11" style="89"/>
    <col min="12747" max="12747" width="11" style="89"/>
    <col min="12748" max="12748" width="11" style="89"/>
    <col min="12749" max="12749" width="11" style="89"/>
    <col min="12750" max="12750" width="11" style="89"/>
    <col min="12751" max="12751" width="11" style="89"/>
    <col min="12752" max="12752" width="11" style="89"/>
    <col min="12753" max="12753" width="11" style="89"/>
    <col min="12754" max="12754" width="11" style="89"/>
    <col min="12755" max="12755" width="11" style="89"/>
    <col min="12756" max="12756" width="11" style="89"/>
    <col min="12757" max="12757" width="11" style="89"/>
    <col min="12758" max="12758" width="11" style="89"/>
    <col min="12759" max="12759" width="11" style="89"/>
    <col min="12760" max="12760" width="11" style="89"/>
    <col min="12761" max="12761" width="11" style="89"/>
    <col min="12762" max="12762" width="11" style="89"/>
    <col min="12763" max="12763" width="11" style="89"/>
    <col min="12764" max="12764" width="11" style="89"/>
    <col min="12765" max="12765" width="11" style="89"/>
    <col min="12766" max="12766" width="11" style="89"/>
    <col min="12767" max="12767" width="11" style="89"/>
    <col min="12768" max="12768" width="11" style="89"/>
    <col min="12769" max="12769" width="11" style="89"/>
    <col min="12770" max="12770" width="11" style="89"/>
    <col min="12771" max="12771" width="11" style="89"/>
    <col min="12772" max="12772" width="11" style="89"/>
    <col min="12773" max="12773" width="11" style="89"/>
    <col min="12774" max="12774" width="11" style="89"/>
    <col min="12775" max="12775" width="11" style="89"/>
    <col min="12776" max="12776" width="11" style="89"/>
    <col min="12777" max="12777" width="11" style="89"/>
    <col min="12778" max="12778" width="11" style="89"/>
    <col min="12779" max="12779" width="11" style="89"/>
    <col min="12780" max="12780" width="11" style="89"/>
    <col min="12781" max="12781" width="11" style="89"/>
    <col min="12782" max="12782" width="11" style="89"/>
    <col min="12783" max="12783" width="11" style="89"/>
    <col min="12784" max="12784" width="11" style="89"/>
    <col min="12785" max="12785" width="11" style="89"/>
    <col min="12786" max="12786" width="11" style="89"/>
    <col min="12787" max="12787" width="11" style="89"/>
    <col min="12788" max="12788" width="11" style="89"/>
    <col min="12789" max="12789" width="11" style="89"/>
    <col min="12790" max="12790" width="11" style="89"/>
    <col min="12791" max="12791" width="11" style="89"/>
    <col min="12792" max="12792" width="11" style="89"/>
    <col min="12793" max="12793" width="11" style="89"/>
    <col min="12794" max="12794" width="11" style="89"/>
    <col min="12795" max="12795" width="11" style="89"/>
    <col min="12796" max="12796" width="11" style="89"/>
    <col min="12797" max="12797" width="11" style="89"/>
    <col min="12798" max="12798" width="11" style="89"/>
    <col min="12799" max="12799" width="11" style="89"/>
    <col min="12800" max="12800" width="11" style="89"/>
    <col min="12801" max="12801" width="10.140625" customWidth="true" style="89"/>
    <col min="12802" max="12802" width="10.140625" customWidth="true" style="89"/>
    <col min="12803" max="12803" width="10.140625" customWidth="true" style="89"/>
    <col min="12804" max="12804" width="10.140625" customWidth="true" style="89"/>
    <col min="12805" max="12805" width="10.140625" customWidth="true" style="89"/>
    <col min="12806" max="12806" width="10.140625" customWidth="true" style="89"/>
    <col min="12807" max="12807" width="10.140625" customWidth="true" style="89"/>
    <col min="12808" max="12808" width="10.140625" customWidth="true" style="89"/>
    <col min="12809" max="12809" width="10.140625" customWidth="true" style="89"/>
    <col min="12810" max="12810" width="11" style="89"/>
    <col min="12811" max="12811" width="11" style="89"/>
    <col min="12812" max="12812" width="11" style="89"/>
    <col min="12813" max="12813" width="11" style="89"/>
    <col min="12814" max="12814" width="11" style="89"/>
    <col min="12815" max="12815" width="11" style="89"/>
    <col min="12816" max="12816" width="11" style="89"/>
    <col min="12817" max="12817" width="11" style="89"/>
    <col min="12818" max="12818" width="11" style="89"/>
    <col min="12819" max="12819" width="11" style="89"/>
    <col min="12820" max="12820" width="11" style="89"/>
    <col min="12821" max="12821" width="11" style="89"/>
    <col min="12822" max="12822" width="11" style="89"/>
    <col min="12823" max="12823" width="11" style="89"/>
    <col min="12824" max="12824" width="11" style="89"/>
    <col min="12825" max="12825" width="11" style="89"/>
    <col min="12826" max="12826" width="11" style="89"/>
    <col min="12827" max="12827" width="11" style="89"/>
    <col min="12828" max="12828" width="11" style="89"/>
    <col min="12829" max="12829" width="11" style="89"/>
    <col min="12830" max="12830" width="11" style="89"/>
    <col min="12831" max="12831" width="11" style="89"/>
    <col min="12832" max="12832" width="11" style="89"/>
    <col min="12833" max="12833" width="11" style="89"/>
    <col min="12834" max="12834" width="11" style="89"/>
    <col min="12835" max="12835" width="11" style="89"/>
    <col min="12836" max="12836" width="11" style="89"/>
    <col min="12837" max="12837" width="11" style="89"/>
    <col min="12838" max="12838" width="11" style="89"/>
    <col min="12839" max="12839" width="11" style="89"/>
    <col min="12840" max="12840" width="11" style="89"/>
    <col min="12841" max="12841" width="11" style="89"/>
    <col min="12842" max="12842" width="11" style="89"/>
    <col min="12843" max="12843" width="11" style="89"/>
    <col min="12844" max="12844" width="11" style="89"/>
    <col min="12845" max="12845" width="11" style="89"/>
    <col min="12846" max="12846" width="11" style="89"/>
    <col min="12847" max="12847" width="11" style="89"/>
    <col min="12848" max="12848" width="11" style="89"/>
    <col min="12849" max="12849" width="11" style="89"/>
    <col min="12850" max="12850" width="11" style="89"/>
    <col min="12851" max="12851" width="11" style="89"/>
    <col min="12852" max="12852" width="11" style="89"/>
    <col min="12853" max="12853" width="11" style="89"/>
    <col min="12854" max="12854" width="11" style="89"/>
    <col min="12855" max="12855" width="11" style="89"/>
    <col min="12856" max="12856" width="11" style="89"/>
    <col min="12857" max="12857" width="11" style="89"/>
    <col min="12858" max="12858" width="11" style="89"/>
    <col min="12859" max="12859" width="11" style="89"/>
    <col min="12860" max="12860" width="11" style="89"/>
    <col min="12861" max="12861" width="11" style="89"/>
    <col min="12862" max="12862" width="11" style="89"/>
    <col min="12863" max="12863" width="11" style="89"/>
    <col min="12864" max="12864" width="11" style="89"/>
    <col min="12865" max="12865" width="11" style="89"/>
    <col min="12866" max="12866" width="11" style="89"/>
    <col min="12867" max="12867" width="11" style="89"/>
    <col min="12868" max="12868" width="11" style="89"/>
    <col min="12869" max="12869" width="11" style="89"/>
    <col min="12870" max="12870" width="11" style="89"/>
    <col min="12871" max="12871" width="11" style="89"/>
    <col min="12872" max="12872" width="11" style="89"/>
    <col min="12873" max="12873" width="11" style="89"/>
    <col min="12874" max="12874" width="11" style="89"/>
    <col min="12875" max="12875" width="11" style="89"/>
    <col min="12876" max="12876" width="11" style="89"/>
    <col min="12877" max="12877" width="11" style="89"/>
    <col min="12878" max="12878" width="11" style="89"/>
    <col min="12879" max="12879" width="11" style="89"/>
    <col min="12880" max="12880" width="11" style="89"/>
    <col min="12881" max="12881" width="11" style="89"/>
    <col min="12882" max="12882" width="11" style="89"/>
    <col min="12883" max="12883" width="11" style="89"/>
    <col min="12884" max="12884" width="11" style="89"/>
    <col min="12885" max="12885" width="11" style="89"/>
    <col min="12886" max="12886" width="11" style="89"/>
    <col min="12887" max="12887" width="11" style="89"/>
    <col min="12888" max="12888" width="11" style="89"/>
    <col min="12889" max="12889" width="11" style="89"/>
    <col min="12890" max="12890" width="11" style="89"/>
    <col min="12891" max="12891" width="11" style="89"/>
    <col min="12892" max="12892" width="11" style="89"/>
    <col min="12893" max="12893" width="11" style="89"/>
    <col min="12894" max="12894" width="11" style="89"/>
    <col min="12895" max="12895" width="11" style="89"/>
    <col min="12896" max="12896" width="11" style="89"/>
    <col min="12897" max="12897" width="11" style="89"/>
    <col min="12898" max="12898" width="11" style="89"/>
    <col min="12899" max="12899" width="11" style="89"/>
    <col min="12900" max="12900" width="11" style="89"/>
    <col min="12901" max="12901" width="11" style="89"/>
    <col min="12902" max="12902" width="11" style="89"/>
    <col min="12903" max="12903" width="11" style="89"/>
    <col min="12904" max="12904" width="11" style="89"/>
    <col min="12905" max="12905" width="11" style="89"/>
    <col min="12906" max="12906" width="11" style="89"/>
    <col min="12907" max="12907" width="11" style="89"/>
    <col min="12908" max="12908" width="11" style="89"/>
    <col min="12909" max="12909" width="11" style="89"/>
    <col min="12910" max="12910" width="11" style="89"/>
    <col min="12911" max="12911" width="11" style="89"/>
    <col min="12912" max="12912" width="11" style="89"/>
    <col min="12913" max="12913" width="11" style="89"/>
    <col min="12914" max="12914" width="11" style="89"/>
    <col min="12915" max="12915" width="11" style="89"/>
    <col min="12916" max="12916" width="11" style="89"/>
    <col min="12917" max="12917" width="11" style="89"/>
    <col min="12918" max="12918" width="11" style="89"/>
    <col min="12919" max="12919" width="11" style="89"/>
    <col min="12920" max="12920" width="11" style="89"/>
    <col min="12921" max="12921" width="11" style="89"/>
    <col min="12922" max="12922" width="11" style="89"/>
    <col min="12923" max="12923" width="11" style="89"/>
    <col min="12924" max="12924" width="11" style="89"/>
    <col min="12925" max="12925" width="11" style="89"/>
    <col min="12926" max="12926" width="11" style="89"/>
    <col min="12927" max="12927" width="11" style="89"/>
    <col min="12928" max="12928" width="11" style="89"/>
    <col min="12929" max="12929" width="11" style="89"/>
    <col min="12930" max="12930" width="11" style="89"/>
    <col min="12931" max="12931" width="11" style="89"/>
    <col min="12932" max="12932" width="11" style="89"/>
    <col min="12933" max="12933" width="11" style="89"/>
    <col min="12934" max="12934" width="11" style="89"/>
    <col min="12935" max="12935" width="11" style="89"/>
    <col min="12936" max="12936" width="11" style="89"/>
    <col min="12937" max="12937" width="11" style="89"/>
    <col min="12938" max="12938" width="11" style="89"/>
    <col min="12939" max="12939" width="11" style="89"/>
    <col min="12940" max="12940" width="11" style="89"/>
    <col min="12941" max="12941" width="11" style="89"/>
    <col min="12942" max="12942" width="11" style="89"/>
    <col min="12943" max="12943" width="11" style="89"/>
    <col min="12944" max="12944" width="11" style="89"/>
    <col min="12945" max="12945" width="11" style="89"/>
    <col min="12946" max="12946" width="11" style="89"/>
    <col min="12947" max="12947" width="11" style="89"/>
    <col min="12948" max="12948" width="11" style="89"/>
    <col min="12949" max="12949" width="11" style="89"/>
    <col min="12950" max="12950" width="11" style="89"/>
    <col min="12951" max="12951" width="11" style="89"/>
    <col min="12952" max="12952" width="11" style="89"/>
    <col min="12953" max="12953" width="11" style="89"/>
    <col min="12954" max="12954" width="11" style="89"/>
    <col min="12955" max="12955" width="11" style="89"/>
    <col min="12956" max="12956" width="11" style="89"/>
    <col min="12957" max="12957" width="11" style="89"/>
    <col min="12958" max="12958" width="11" style="89"/>
    <col min="12959" max="12959" width="11" style="89"/>
    <col min="12960" max="12960" width="11" style="89"/>
    <col min="12961" max="12961" width="11" style="89"/>
    <col min="12962" max="12962" width="11" style="89"/>
    <col min="12963" max="12963" width="11" style="89"/>
    <col min="12964" max="12964" width="11" style="89"/>
    <col min="12965" max="12965" width="11" style="89"/>
    <col min="12966" max="12966" width="11" style="89"/>
    <col min="12967" max="12967" width="11" style="89"/>
    <col min="12968" max="12968" width="11" style="89"/>
    <col min="12969" max="12969" width="11" style="89"/>
    <col min="12970" max="12970" width="11" style="89"/>
    <col min="12971" max="12971" width="11" style="89"/>
    <col min="12972" max="12972" width="11" style="89"/>
    <col min="12973" max="12973" width="11" style="89"/>
    <col min="12974" max="12974" width="11" style="89"/>
    <col min="12975" max="12975" width="11" style="89"/>
    <col min="12976" max="12976" width="11" style="89"/>
    <col min="12977" max="12977" width="11" style="89"/>
    <col min="12978" max="12978" width="11" style="89"/>
    <col min="12979" max="12979" width="11" style="89"/>
    <col min="12980" max="12980" width="11" style="89"/>
    <col min="12981" max="12981" width="11" style="89"/>
    <col min="12982" max="12982" width="11" style="89"/>
    <col min="12983" max="12983" width="11" style="89"/>
    <col min="12984" max="12984" width="11" style="89"/>
    <col min="12985" max="12985" width="11" style="89"/>
    <col min="12986" max="12986" width="11" style="89"/>
    <col min="12987" max="12987" width="11" style="89"/>
    <col min="12988" max="12988" width="11" style="89"/>
    <col min="12989" max="12989" width="11" style="89"/>
    <col min="12990" max="12990" width="11" style="89"/>
    <col min="12991" max="12991" width="11" style="89"/>
    <col min="12992" max="12992" width="11" style="89"/>
    <col min="12993" max="12993" width="11" style="89"/>
    <col min="12994" max="12994" width="11" style="89"/>
    <col min="12995" max="12995" width="11" style="89"/>
    <col min="12996" max="12996" width="11" style="89"/>
    <col min="12997" max="12997" width="11" style="89"/>
    <col min="12998" max="12998" width="11" style="89"/>
    <col min="12999" max="12999" width="11" style="89"/>
    <col min="13000" max="13000" width="11" style="89"/>
    <col min="13001" max="13001" width="11" style="89"/>
    <col min="13002" max="13002" width="11" style="89"/>
    <col min="13003" max="13003" width="11" style="89"/>
    <col min="13004" max="13004" width="11" style="89"/>
    <col min="13005" max="13005" width="11" style="89"/>
    <col min="13006" max="13006" width="11" style="89"/>
    <col min="13007" max="13007" width="11" style="89"/>
    <col min="13008" max="13008" width="11" style="89"/>
    <col min="13009" max="13009" width="11" style="89"/>
    <col min="13010" max="13010" width="11" style="89"/>
    <col min="13011" max="13011" width="11" style="89"/>
    <col min="13012" max="13012" width="11" style="89"/>
    <col min="13013" max="13013" width="11" style="89"/>
    <col min="13014" max="13014" width="11" style="89"/>
    <col min="13015" max="13015" width="11" style="89"/>
    <col min="13016" max="13016" width="11" style="89"/>
    <col min="13017" max="13017" width="11" style="89"/>
    <col min="13018" max="13018" width="11" style="89"/>
    <col min="13019" max="13019" width="11" style="89"/>
    <col min="13020" max="13020" width="11" style="89"/>
    <col min="13021" max="13021" width="11" style="89"/>
    <col min="13022" max="13022" width="11" style="89"/>
    <col min="13023" max="13023" width="11" style="89"/>
    <col min="13024" max="13024" width="11" style="89"/>
    <col min="13025" max="13025" width="11" style="89"/>
    <col min="13026" max="13026" width="11" style="89"/>
    <col min="13027" max="13027" width="11" style="89"/>
    <col min="13028" max="13028" width="11" style="89"/>
    <col min="13029" max="13029" width="11" style="89"/>
    <col min="13030" max="13030" width="11" style="89"/>
    <col min="13031" max="13031" width="11" style="89"/>
    <col min="13032" max="13032" width="11" style="89"/>
    <col min="13033" max="13033" width="11" style="89"/>
    <col min="13034" max="13034" width="11" style="89"/>
    <col min="13035" max="13035" width="11" style="89"/>
    <col min="13036" max="13036" width="11" style="89"/>
    <col min="13037" max="13037" width="11" style="89"/>
    <col min="13038" max="13038" width="11" style="89"/>
    <col min="13039" max="13039" width="11" style="89"/>
    <col min="13040" max="13040" width="11" style="89"/>
    <col min="13041" max="13041" width="11" style="89"/>
    <col min="13042" max="13042" width="11" style="89"/>
    <col min="13043" max="13043" width="11" style="89"/>
    <col min="13044" max="13044" width="11" style="89"/>
    <col min="13045" max="13045" width="11" style="89"/>
    <col min="13046" max="13046" width="11" style="89"/>
    <col min="13047" max="13047" width="11" style="89"/>
    <col min="13048" max="13048" width="11" style="89"/>
    <col min="13049" max="13049" width="11" style="89"/>
    <col min="13050" max="13050" width="11" style="89"/>
    <col min="13051" max="13051" width="11" style="89"/>
    <col min="13052" max="13052" width="11" style="89"/>
    <col min="13053" max="13053" width="11" style="89"/>
    <col min="13054" max="13054" width="11" style="89"/>
    <col min="13055" max="13055" width="11" style="89"/>
    <col min="13056" max="13056" width="11" style="89"/>
    <col min="13057" max="13057" width="10.140625" customWidth="true" style="89"/>
    <col min="13058" max="13058" width="10.140625" customWidth="true" style="89"/>
    <col min="13059" max="13059" width="10.140625" customWidth="true" style="89"/>
    <col min="13060" max="13060" width="10.140625" customWidth="true" style="89"/>
    <col min="13061" max="13061" width="10.140625" customWidth="true" style="89"/>
    <col min="13062" max="13062" width="10.140625" customWidth="true" style="89"/>
    <col min="13063" max="13063" width="10.140625" customWidth="true" style="89"/>
    <col min="13064" max="13064" width="10.140625" customWidth="true" style="89"/>
    <col min="13065" max="13065" width="10.140625" customWidth="true" style="89"/>
    <col min="13066" max="13066" width="11" style="89"/>
    <col min="13067" max="13067" width="11" style="89"/>
    <col min="13068" max="13068" width="11" style="89"/>
    <col min="13069" max="13069" width="11" style="89"/>
    <col min="13070" max="13070" width="11" style="89"/>
    <col min="13071" max="13071" width="11" style="89"/>
    <col min="13072" max="13072" width="11" style="89"/>
    <col min="13073" max="13073" width="11" style="89"/>
    <col min="13074" max="13074" width="11" style="89"/>
    <col min="13075" max="13075" width="11" style="89"/>
    <col min="13076" max="13076" width="11" style="89"/>
    <col min="13077" max="13077" width="11" style="89"/>
    <col min="13078" max="13078" width="11" style="89"/>
    <col min="13079" max="13079" width="11" style="89"/>
    <col min="13080" max="13080" width="11" style="89"/>
    <col min="13081" max="13081" width="11" style="89"/>
    <col min="13082" max="13082" width="11" style="89"/>
    <col min="13083" max="13083" width="11" style="89"/>
    <col min="13084" max="13084" width="11" style="89"/>
    <col min="13085" max="13085" width="11" style="89"/>
    <col min="13086" max="13086" width="11" style="89"/>
    <col min="13087" max="13087" width="11" style="89"/>
    <col min="13088" max="13088" width="11" style="89"/>
    <col min="13089" max="13089" width="11" style="89"/>
    <col min="13090" max="13090" width="11" style="89"/>
    <col min="13091" max="13091" width="11" style="89"/>
    <col min="13092" max="13092" width="11" style="89"/>
    <col min="13093" max="13093" width="11" style="89"/>
    <col min="13094" max="13094" width="11" style="89"/>
    <col min="13095" max="13095" width="11" style="89"/>
    <col min="13096" max="13096" width="11" style="89"/>
    <col min="13097" max="13097" width="11" style="89"/>
    <col min="13098" max="13098" width="11" style="89"/>
    <col min="13099" max="13099" width="11" style="89"/>
    <col min="13100" max="13100" width="11" style="89"/>
    <col min="13101" max="13101" width="11" style="89"/>
    <col min="13102" max="13102" width="11" style="89"/>
    <col min="13103" max="13103" width="11" style="89"/>
    <col min="13104" max="13104" width="11" style="89"/>
    <col min="13105" max="13105" width="11" style="89"/>
    <col min="13106" max="13106" width="11" style="89"/>
    <col min="13107" max="13107" width="11" style="89"/>
    <col min="13108" max="13108" width="11" style="89"/>
    <col min="13109" max="13109" width="11" style="89"/>
    <col min="13110" max="13110" width="11" style="89"/>
    <col min="13111" max="13111" width="11" style="89"/>
    <col min="13112" max="13112" width="11" style="89"/>
    <col min="13113" max="13113" width="11" style="89"/>
    <col min="13114" max="13114" width="11" style="89"/>
    <col min="13115" max="13115" width="11" style="89"/>
    <col min="13116" max="13116" width="11" style="89"/>
    <col min="13117" max="13117" width="11" style="89"/>
    <col min="13118" max="13118" width="11" style="89"/>
    <col min="13119" max="13119" width="11" style="89"/>
    <col min="13120" max="13120" width="11" style="89"/>
    <col min="13121" max="13121" width="11" style="89"/>
    <col min="13122" max="13122" width="11" style="89"/>
    <col min="13123" max="13123" width="11" style="89"/>
    <col min="13124" max="13124" width="11" style="89"/>
    <col min="13125" max="13125" width="11" style="89"/>
    <col min="13126" max="13126" width="11" style="89"/>
    <col min="13127" max="13127" width="11" style="89"/>
    <col min="13128" max="13128" width="11" style="89"/>
    <col min="13129" max="13129" width="11" style="89"/>
    <col min="13130" max="13130" width="11" style="89"/>
    <col min="13131" max="13131" width="11" style="89"/>
    <col min="13132" max="13132" width="11" style="89"/>
    <col min="13133" max="13133" width="11" style="89"/>
    <col min="13134" max="13134" width="11" style="89"/>
    <col min="13135" max="13135" width="11" style="89"/>
    <col min="13136" max="13136" width="11" style="89"/>
    <col min="13137" max="13137" width="11" style="89"/>
    <col min="13138" max="13138" width="11" style="89"/>
    <col min="13139" max="13139" width="11" style="89"/>
    <col min="13140" max="13140" width="11" style="89"/>
    <col min="13141" max="13141" width="11" style="89"/>
    <col min="13142" max="13142" width="11" style="89"/>
    <col min="13143" max="13143" width="11" style="89"/>
    <col min="13144" max="13144" width="11" style="89"/>
    <col min="13145" max="13145" width="11" style="89"/>
    <col min="13146" max="13146" width="11" style="89"/>
    <col min="13147" max="13147" width="11" style="89"/>
    <col min="13148" max="13148" width="11" style="89"/>
    <col min="13149" max="13149" width="11" style="89"/>
    <col min="13150" max="13150" width="11" style="89"/>
    <col min="13151" max="13151" width="11" style="89"/>
    <col min="13152" max="13152" width="11" style="89"/>
    <col min="13153" max="13153" width="11" style="89"/>
    <col min="13154" max="13154" width="11" style="89"/>
    <col min="13155" max="13155" width="11" style="89"/>
    <col min="13156" max="13156" width="11" style="89"/>
    <col min="13157" max="13157" width="11" style="89"/>
    <col min="13158" max="13158" width="11" style="89"/>
    <col min="13159" max="13159" width="11" style="89"/>
    <col min="13160" max="13160" width="11" style="89"/>
    <col min="13161" max="13161" width="11" style="89"/>
    <col min="13162" max="13162" width="11" style="89"/>
    <col min="13163" max="13163" width="11" style="89"/>
    <col min="13164" max="13164" width="11" style="89"/>
    <col min="13165" max="13165" width="11" style="89"/>
    <col min="13166" max="13166" width="11" style="89"/>
    <col min="13167" max="13167" width="11" style="89"/>
    <col min="13168" max="13168" width="11" style="89"/>
    <col min="13169" max="13169" width="11" style="89"/>
    <col min="13170" max="13170" width="11" style="89"/>
    <col min="13171" max="13171" width="11" style="89"/>
    <col min="13172" max="13172" width="11" style="89"/>
    <col min="13173" max="13173" width="11" style="89"/>
    <col min="13174" max="13174" width="11" style="89"/>
    <col min="13175" max="13175" width="11" style="89"/>
    <col min="13176" max="13176" width="11" style="89"/>
    <col min="13177" max="13177" width="11" style="89"/>
    <col min="13178" max="13178" width="11" style="89"/>
    <col min="13179" max="13179" width="11" style="89"/>
    <col min="13180" max="13180" width="11" style="89"/>
    <col min="13181" max="13181" width="11" style="89"/>
    <col min="13182" max="13182" width="11" style="89"/>
    <col min="13183" max="13183" width="11" style="89"/>
    <col min="13184" max="13184" width="11" style="89"/>
    <col min="13185" max="13185" width="11" style="89"/>
    <col min="13186" max="13186" width="11" style="89"/>
    <col min="13187" max="13187" width="11" style="89"/>
    <col min="13188" max="13188" width="11" style="89"/>
    <col min="13189" max="13189" width="11" style="89"/>
    <col min="13190" max="13190" width="11" style="89"/>
    <col min="13191" max="13191" width="11" style="89"/>
    <col min="13192" max="13192" width="11" style="89"/>
    <col min="13193" max="13193" width="11" style="89"/>
    <col min="13194" max="13194" width="11" style="89"/>
    <col min="13195" max="13195" width="11" style="89"/>
    <col min="13196" max="13196" width="11" style="89"/>
    <col min="13197" max="13197" width="11" style="89"/>
    <col min="13198" max="13198" width="11" style="89"/>
    <col min="13199" max="13199" width="11" style="89"/>
    <col min="13200" max="13200" width="11" style="89"/>
    <col min="13201" max="13201" width="11" style="89"/>
    <col min="13202" max="13202" width="11" style="89"/>
    <col min="13203" max="13203" width="11" style="89"/>
    <col min="13204" max="13204" width="11" style="89"/>
    <col min="13205" max="13205" width="11" style="89"/>
    <col min="13206" max="13206" width="11" style="89"/>
    <col min="13207" max="13207" width="11" style="89"/>
    <col min="13208" max="13208" width="11" style="89"/>
    <col min="13209" max="13209" width="11" style="89"/>
    <col min="13210" max="13210" width="11" style="89"/>
    <col min="13211" max="13211" width="11" style="89"/>
    <col min="13212" max="13212" width="11" style="89"/>
    <col min="13213" max="13213" width="11" style="89"/>
    <col min="13214" max="13214" width="11" style="89"/>
    <col min="13215" max="13215" width="11" style="89"/>
    <col min="13216" max="13216" width="11" style="89"/>
    <col min="13217" max="13217" width="11" style="89"/>
    <col min="13218" max="13218" width="11" style="89"/>
    <col min="13219" max="13219" width="11" style="89"/>
    <col min="13220" max="13220" width="11" style="89"/>
    <col min="13221" max="13221" width="11" style="89"/>
    <col min="13222" max="13222" width="11" style="89"/>
    <col min="13223" max="13223" width="11" style="89"/>
    <col min="13224" max="13224" width="11" style="89"/>
    <col min="13225" max="13225" width="11" style="89"/>
    <col min="13226" max="13226" width="11" style="89"/>
    <col min="13227" max="13227" width="11" style="89"/>
    <col min="13228" max="13228" width="11" style="89"/>
    <col min="13229" max="13229" width="11" style="89"/>
    <col min="13230" max="13230" width="11" style="89"/>
    <col min="13231" max="13231" width="11" style="89"/>
    <col min="13232" max="13232" width="11" style="89"/>
    <col min="13233" max="13233" width="11" style="89"/>
    <col min="13234" max="13234" width="11" style="89"/>
    <col min="13235" max="13235" width="11" style="89"/>
    <col min="13236" max="13236" width="11" style="89"/>
    <col min="13237" max="13237" width="11" style="89"/>
    <col min="13238" max="13238" width="11" style="89"/>
    <col min="13239" max="13239" width="11" style="89"/>
    <col min="13240" max="13240" width="11" style="89"/>
    <col min="13241" max="13241" width="11" style="89"/>
    <col min="13242" max="13242" width="11" style="89"/>
    <col min="13243" max="13243" width="11" style="89"/>
    <col min="13244" max="13244" width="11" style="89"/>
    <col min="13245" max="13245" width="11" style="89"/>
    <col min="13246" max="13246" width="11" style="89"/>
    <col min="13247" max="13247" width="11" style="89"/>
    <col min="13248" max="13248" width="11" style="89"/>
    <col min="13249" max="13249" width="11" style="89"/>
    <col min="13250" max="13250" width="11" style="89"/>
    <col min="13251" max="13251" width="11" style="89"/>
    <col min="13252" max="13252" width="11" style="89"/>
    <col min="13253" max="13253" width="11" style="89"/>
    <col min="13254" max="13254" width="11" style="89"/>
    <col min="13255" max="13255" width="11" style="89"/>
    <col min="13256" max="13256" width="11" style="89"/>
    <col min="13257" max="13257" width="11" style="89"/>
    <col min="13258" max="13258" width="11" style="89"/>
    <col min="13259" max="13259" width="11" style="89"/>
    <col min="13260" max="13260" width="11" style="89"/>
    <col min="13261" max="13261" width="11" style="89"/>
    <col min="13262" max="13262" width="11" style="89"/>
    <col min="13263" max="13263" width="11" style="89"/>
    <col min="13264" max="13264" width="11" style="89"/>
    <col min="13265" max="13265" width="11" style="89"/>
    <col min="13266" max="13266" width="11" style="89"/>
    <col min="13267" max="13267" width="11" style="89"/>
    <col min="13268" max="13268" width="11" style="89"/>
    <col min="13269" max="13269" width="11" style="89"/>
    <col min="13270" max="13270" width="11" style="89"/>
    <col min="13271" max="13271" width="11" style="89"/>
    <col min="13272" max="13272" width="11" style="89"/>
    <col min="13273" max="13273" width="11" style="89"/>
    <col min="13274" max="13274" width="11" style="89"/>
    <col min="13275" max="13275" width="11" style="89"/>
    <col min="13276" max="13276" width="11" style="89"/>
    <col min="13277" max="13277" width="11" style="89"/>
    <col min="13278" max="13278" width="11" style="89"/>
    <col min="13279" max="13279" width="11" style="89"/>
    <col min="13280" max="13280" width="11" style="89"/>
    <col min="13281" max="13281" width="11" style="89"/>
    <col min="13282" max="13282" width="11" style="89"/>
    <col min="13283" max="13283" width="11" style="89"/>
    <col min="13284" max="13284" width="11" style="89"/>
    <col min="13285" max="13285" width="11" style="89"/>
    <col min="13286" max="13286" width="11" style="89"/>
    <col min="13287" max="13287" width="11" style="89"/>
    <col min="13288" max="13288" width="11" style="89"/>
    <col min="13289" max="13289" width="11" style="89"/>
    <col min="13290" max="13290" width="11" style="89"/>
    <col min="13291" max="13291" width="11" style="89"/>
    <col min="13292" max="13292" width="11" style="89"/>
    <col min="13293" max="13293" width="11" style="89"/>
    <col min="13294" max="13294" width="11" style="89"/>
    <col min="13295" max="13295" width="11" style="89"/>
    <col min="13296" max="13296" width="11" style="89"/>
    <col min="13297" max="13297" width="11" style="89"/>
    <col min="13298" max="13298" width="11" style="89"/>
    <col min="13299" max="13299" width="11" style="89"/>
    <col min="13300" max="13300" width="11" style="89"/>
    <col min="13301" max="13301" width="11" style="89"/>
    <col min="13302" max="13302" width="11" style="89"/>
    <col min="13303" max="13303" width="11" style="89"/>
    <col min="13304" max="13304" width="11" style="89"/>
    <col min="13305" max="13305" width="11" style="89"/>
    <col min="13306" max="13306" width="11" style="89"/>
    <col min="13307" max="13307" width="11" style="89"/>
    <col min="13308" max="13308" width="11" style="89"/>
    <col min="13309" max="13309" width="11" style="89"/>
    <col min="13310" max="13310" width="11" style="89"/>
    <col min="13311" max="13311" width="11" style="89"/>
    <col min="13312" max="13312" width="11" style="89"/>
    <col min="13313" max="13313" width="10.140625" customWidth="true" style="89"/>
    <col min="13314" max="13314" width="10.140625" customWidth="true" style="89"/>
    <col min="13315" max="13315" width="10.140625" customWidth="true" style="89"/>
    <col min="13316" max="13316" width="10.140625" customWidth="true" style="89"/>
    <col min="13317" max="13317" width="10.140625" customWidth="true" style="89"/>
    <col min="13318" max="13318" width="10.140625" customWidth="true" style="89"/>
    <col min="13319" max="13319" width="10.140625" customWidth="true" style="89"/>
    <col min="13320" max="13320" width="10.140625" customWidth="true" style="89"/>
    <col min="13321" max="13321" width="10.140625" customWidth="true" style="89"/>
    <col min="13322" max="13322" width="11" style="89"/>
    <col min="13323" max="13323" width="11" style="89"/>
    <col min="13324" max="13324" width="11" style="89"/>
    <col min="13325" max="13325" width="11" style="89"/>
    <col min="13326" max="13326" width="11" style="89"/>
    <col min="13327" max="13327" width="11" style="89"/>
    <col min="13328" max="13328" width="11" style="89"/>
    <col min="13329" max="13329" width="11" style="89"/>
    <col min="13330" max="13330" width="11" style="89"/>
    <col min="13331" max="13331" width="11" style="89"/>
    <col min="13332" max="13332" width="11" style="89"/>
    <col min="13333" max="13333" width="11" style="89"/>
    <col min="13334" max="13334" width="11" style="89"/>
    <col min="13335" max="13335" width="11" style="89"/>
    <col min="13336" max="13336" width="11" style="89"/>
    <col min="13337" max="13337" width="11" style="89"/>
    <col min="13338" max="13338" width="11" style="89"/>
    <col min="13339" max="13339" width="11" style="89"/>
    <col min="13340" max="13340" width="11" style="89"/>
    <col min="13341" max="13341" width="11" style="89"/>
    <col min="13342" max="13342" width="11" style="89"/>
    <col min="13343" max="13343" width="11" style="89"/>
    <col min="13344" max="13344" width="11" style="89"/>
    <col min="13345" max="13345" width="11" style="89"/>
    <col min="13346" max="13346" width="11" style="89"/>
    <col min="13347" max="13347" width="11" style="89"/>
    <col min="13348" max="13348" width="11" style="89"/>
    <col min="13349" max="13349" width="11" style="89"/>
    <col min="13350" max="13350" width="11" style="89"/>
    <col min="13351" max="13351" width="11" style="89"/>
    <col min="13352" max="13352" width="11" style="89"/>
    <col min="13353" max="13353" width="11" style="89"/>
    <col min="13354" max="13354" width="11" style="89"/>
    <col min="13355" max="13355" width="11" style="89"/>
    <col min="13356" max="13356" width="11" style="89"/>
    <col min="13357" max="13357" width="11" style="89"/>
    <col min="13358" max="13358" width="11" style="89"/>
    <col min="13359" max="13359" width="11" style="89"/>
    <col min="13360" max="13360" width="11" style="89"/>
    <col min="13361" max="13361" width="11" style="89"/>
    <col min="13362" max="13362" width="11" style="89"/>
    <col min="13363" max="13363" width="11" style="89"/>
    <col min="13364" max="13364" width="11" style="89"/>
    <col min="13365" max="13365" width="11" style="89"/>
    <col min="13366" max="13366" width="11" style="89"/>
    <col min="13367" max="13367" width="11" style="89"/>
    <col min="13368" max="13368" width="11" style="89"/>
    <col min="13369" max="13369" width="11" style="89"/>
    <col min="13370" max="13370" width="11" style="89"/>
    <col min="13371" max="13371" width="11" style="89"/>
    <col min="13372" max="13372" width="11" style="89"/>
    <col min="13373" max="13373" width="11" style="89"/>
    <col min="13374" max="13374" width="11" style="89"/>
    <col min="13375" max="13375" width="11" style="89"/>
    <col min="13376" max="13376" width="11" style="89"/>
    <col min="13377" max="13377" width="11" style="89"/>
    <col min="13378" max="13378" width="11" style="89"/>
    <col min="13379" max="13379" width="11" style="89"/>
    <col min="13380" max="13380" width="11" style="89"/>
    <col min="13381" max="13381" width="11" style="89"/>
    <col min="13382" max="13382" width="11" style="89"/>
    <col min="13383" max="13383" width="11" style="89"/>
    <col min="13384" max="13384" width="11" style="89"/>
    <col min="13385" max="13385" width="11" style="89"/>
    <col min="13386" max="13386" width="11" style="89"/>
    <col min="13387" max="13387" width="11" style="89"/>
    <col min="13388" max="13388" width="11" style="89"/>
    <col min="13389" max="13389" width="11" style="89"/>
    <col min="13390" max="13390" width="11" style="89"/>
    <col min="13391" max="13391" width="11" style="89"/>
    <col min="13392" max="13392" width="11" style="89"/>
    <col min="13393" max="13393" width="11" style="89"/>
    <col min="13394" max="13394" width="11" style="89"/>
    <col min="13395" max="13395" width="11" style="89"/>
    <col min="13396" max="13396" width="11" style="89"/>
    <col min="13397" max="13397" width="11" style="89"/>
    <col min="13398" max="13398" width="11" style="89"/>
    <col min="13399" max="13399" width="11" style="89"/>
    <col min="13400" max="13400" width="11" style="89"/>
    <col min="13401" max="13401" width="11" style="89"/>
    <col min="13402" max="13402" width="11" style="89"/>
    <col min="13403" max="13403" width="11" style="89"/>
    <col min="13404" max="13404" width="11" style="89"/>
    <col min="13405" max="13405" width="11" style="89"/>
    <col min="13406" max="13406" width="11" style="89"/>
    <col min="13407" max="13407" width="11" style="89"/>
    <col min="13408" max="13408" width="11" style="89"/>
    <col min="13409" max="13409" width="11" style="89"/>
    <col min="13410" max="13410" width="11" style="89"/>
    <col min="13411" max="13411" width="11" style="89"/>
    <col min="13412" max="13412" width="11" style="89"/>
    <col min="13413" max="13413" width="11" style="89"/>
    <col min="13414" max="13414" width="11" style="89"/>
    <col min="13415" max="13415" width="11" style="89"/>
    <col min="13416" max="13416" width="11" style="89"/>
    <col min="13417" max="13417" width="11" style="89"/>
    <col min="13418" max="13418" width="11" style="89"/>
    <col min="13419" max="13419" width="11" style="89"/>
    <col min="13420" max="13420" width="11" style="89"/>
    <col min="13421" max="13421" width="11" style="89"/>
    <col min="13422" max="13422" width="11" style="89"/>
    <col min="13423" max="13423" width="11" style="89"/>
    <col min="13424" max="13424" width="11" style="89"/>
    <col min="13425" max="13425" width="11" style="89"/>
    <col min="13426" max="13426" width="11" style="89"/>
    <col min="13427" max="13427" width="11" style="89"/>
    <col min="13428" max="13428" width="11" style="89"/>
    <col min="13429" max="13429" width="11" style="89"/>
    <col min="13430" max="13430" width="11" style="89"/>
    <col min="13431" max="13431" width="11" style="89"/>
    <col min="13432" max="13432" width="11" style="89"/>
    <col min="13433" max="13433" width="11" style="89"/>
    <col min="13434" max="13434" width="11" style="89"/>
    <col min="13435" max="13435" width="11" style="89"/>
    <col min="13436" max="13436" width="11" style="89"/>
    <col min="13437" max="13437" width="11" style="89"/>
    <col min="13438" max="13438" width="11" style="89"/>
    <col min="13439" max="13439" width="11" style="89"/>
    <col min="13440" max="13440" width="11" style="89"/>
    <col min="13441" max="13441" width="11" style="89"/>
    <col min="13442" max="13442" width="11" style="89"/>
    <col min="13443" max="13443" width="11" style="89"/>
    <col min="13444" max="13444" width="11" style="89"/>
    <col min="13445" max="13445" width="11" style="89"/>
    <col min="13446" max="13446" width="11" style="89"/>
    <col min="13447" max="13447" width="11" style="89"/>
    <col min="13448" max="13448" width="11" style="89"/>
    <col min="13449" max="13449" width="11" style="89"/>
    <col min="13450" max="13450" width="11" style="89"/>
    <col min="13451" max="13451" width="11" style="89"/>
    <col min="13452" max="13452" width="11" style="89"/>
    <col min="13453" max="13453" width="11" style="89"/>
    <col min="13454" max="13454" width="11" style="89"/>
    <col min="13455" max="13455" width="11" style="89"/>
    <col min="13456" max="13456" width="11" style="89"/>
    <col min="13457" max="13457" width="11" style="89"/>
    <col min="13458" max="13458" width="11" style="89"/>
    <col min="13459" max="13459" width="11" style="89"/>
    <col min="13460" max="13460" width="11" style="89"/>
    <col min="13461" max="13461" width="11" style="89"/>
    <col min="13462" max="13462" width="11" style="89"/>
    <col min="13463" max="13463" width="11" style="89"/>
    <col min="13464" max="13464" width="11" style="89"/>
    <col min="13465" max="13465" width="11" style="89"/>
    <col min="13466" max="13466" width="11" style="89"/>
    <col min="13467" max="13467" width="11" style="89"/>
    <col min="13468" max="13468" width="11" style="89"/>
    <col min="13469" max="13469" width="11" style="89"/>
    <col min="13470" max="13470" width="11" style="89"/>
    <col min="13471" max="13471" width="11" style="89"/>
    <col min="13472" max="13472" width="11" style="89"/>
    <col min="13473" max="13473" width="11" style="89"/>
    <col min="13474" max="13474" width="11" style="89"/>
    <col min="13475" max="13475" width="11" style="89"/>
    <col min="13476" max="13476" width="11" style="89"/>
    <col min="13477" max="13477" width="11" style="89"/>
    <col min="13478" max="13478" width="11" style="89"/>
    <col min="13479" max="13479" width="11" style="89"/>
    <col min="13480" max="13480" width="11" style="89"/>
    <col min="13481" max="13481" width="11" style="89"/>
    <col min="13482" max="13482" width="11" style="89"/>
    <col min="13483" max="13483" width="11" style="89"/>
    <col min="13484" max="13484" width="11" style="89"/>
    <col min="13485" max="13485" width="11" style="89"/>
    <col min="13486" max="13486" width="11" style="89"/>
    <col min="13487" max="13487" width="11" style="89"/>
    <col min="13488" max="13488" width="11" style="89"/>
    <col min="13489" max="13489" width="11" style="89"/>
    <col min="13490" max="13490" width="11" style="89"/>
    <col min="13491" max="13491" width="11" style="89"/>
    <col min="13492" max="13492" width="11" style="89"/>
    <col min="13493" max="13493" width="11" style="89"/>
    <col min="13494" max="13494" width="11" style="89"/>
    <col min="13495" max="13495" width="11" style="89"/>
    <col min="13496" max="13496" width="11" style="89"/>
    <col min="13497" max="13497" width="11" style="89"/>
    <col min="13498" max="13498" width="11" style="89"/>
    <col min="13499" max="13499" width="11" style="89"/>
    <col min="13500" max="13500" width="11" style="89"/>
    <col min="13501" max="13501" width="11" style="89"/>
    <col min="13502" max="13502" width="11" style="89"/>
    <col min="13503" max="13503" width="11" style="89"/>
    <col min="13504" max="13504" width="11" style="89"/>
    <col min="13505" max="13505" width="11" style="89"/>
    <col min="13506" max="13506" width="11" style="89"/>
    <col min="13507" max="13507" width="11" style="89"/>
    <col min="13508" max="13508" width="11" style="89"/>
    <col min="13509" max="13509" width="11" style="89"/>
    <col min="13510" max="13510" width="11" style="89"/>
    <col min="13511" max="13511" width="11" style="89"/>
    <col min="13512" max="13512" width="11" style="89"/>
    <col min="13513" max="13513" width="11" style="89"/>
    <col min="13514" max="13514" width="11" style="89"/>
    <col min="13515" max="13515" width="11" style="89"/>
    <col min="13516" max="13516" width="11" style="89"/>
    <col min="13517" max="13517" width="11" style="89"/>
    <col min="13518" max="13518" width="11" style="89"/>
    <col min="13519" max="13519" width="11" style="89"/>
    <col min="13520" max="13520" width="11" style="89"/>
    <col min="13521" max="13521" width="11" style="89"/>
    <col min="13522" max="13522" width="11" style="89"/>
    <col min="13523" max="13523" width="11" style="89"/>
    <col min="13524" max="13524" width="11" style="89"/>
    <col min="13525" max="13525" width="11" style="89"/>
    <col min="13526" max="13526" width="11" style="89"/>
    <col min="13527" max="13527" width="11" style="89"/>
    <col min="13528" max="13528" width="11" style="89"/>
    <col min="13529" max="13529" width="11" style="89"/>
    <col min="13530" max="13530" width="11" style="89"/>
    <col min="13531" max="13531" width="11" style="89"/>
    <col min="13532" max="13532" width="11" style="89"/>
    <col min="13533" max="13533" width="11" style="89"/>
    <col min="13534" max="13534" width="11" style="89"/>
    <col min="13535" max="13535" width="11" style="89"/>
    <col min="13536" max="13536" width="11" style="89"/>
    <col min="13537" max="13537" width="11" style="89"/>
    <col min="13538" max="13538" width="11" style="89"/>
    <col min="13539" max="13539" width="11" style="89"/>
    <col min="13540" max="13540" width="11" style="89"/>
    <col min="13541" max="13541" width="11" style="89"/>
    <col min="13542" max="13542" width="11" style="89"/>
    <col min="13543" max="13543" width="11" style="89"/>
    <col min="13544" max="13544" width="11" style="89"/>
    <col min="13545" max="13545" width="11" style="89"/>
    <col min="13546" max="13546" width="11" style="89"/>
    <col min="13547" max="13547" width="11" style="89"/>
    <col min="13548" max="13548" width="11" style="89"/>
    <col min="13549" max="13549" width="11" style="89"/>
    <col min="13550" max="13550" width="11" style="89"/>
    <col min="13551" max="13551" width="11" style="89"/>
    <col min="13552" max="13552" width="11" style="89"/>
    <col min="13553" max="13553" width="11" style="89"/>
    <col min="13554" max="13554" width="11" style="89"/>
    <col min="13555" max="13555" width="11" style="89"/>
    <col min="13556" max="13556" width="11" style="89"/>
    <col min="13557" max="13557" width="11" style="89"/>
    <col min="13558" max="13558" width="11" style="89"/>
    <col min="13559" max="13559" width="11" style="89"/>
    <col min="13560" max="13560" width="11" style="89"/>
    <col min="13561" max="13561" width="11" style="89"/>
    <col min="13562" max="13562" width="11" style="89"/>
    <col min="13563" max="13563" width="11" style="89"/>
    <col min="13564" max="13564" width="11" style="89"/>
    <col min="13565" max="13565" width="11" style="89"/>
    <col min="13566" max="13566" width="11" style="89"/>
    <col min="13567" max="13567" width="11" style="89"/>
    <col min="13568" max="13568" width="11" style="89"/>
    <col min="13569" max="13569" width="10.140625" customWidth="true" style="89"/>
    <col min="13570" max="13570" width="10.140625" customWidth="true" style="89"/>
    <col min="13571" max="13571" width="10.140625" customWidth="true" style="89"/>
    <col min="13572" max="13572" width="10.140625" customWidth="true" style="89"/>
    <col min="13573" max="13573" width="10.140625" customWidth="true" style="89"/>
    <col min="13574" max="13574" width="10.140625" customWidth="true" style="89"/>
    <col min="13575" max="13575" width="10.140625" customWidth="true" style="89"/>
    <col min="13576" max="13576" width="10.140625" customWidth="true" style="89"/>
    <col min="13577" max="13577" width="10.140625" customWidth="true" style="89"/>
    <col min="13578" max="13578" width="11" style="89"/>
    <col min="13579" max="13579" width="11" style="89"/>
    <col min="13580" max="13580" width="11" style="89"/>
    <col min="13581" max="13581" width="11" style="89"/>
    <col min="13582" max="13582" width="11" style="89"/>
    <col min="13583" max="13583" width="11" style="89"/>
    <col min="13584" max="13584" width="11" style="89"/>
    <col min="13585" max="13585" width="11" style="89"/>
    <col min="13586" max="13586" width="11" style="89"/>
    <col min="13587" max="13587" width="11" style="89"/>
    <col min="13588" max="13588" width="11" style="89"/>
    <col min="13589" max="13589" width="11" style="89"/>
    <col min="13590" max="13590" width="11" style="89"/>
    <col min="13591" max="13591" width="11" style="89"/>
    <col min="13592" max="13592" width="11" style="89"/>
    <col min="13593" max="13593" width="11" style="89"/>
    <col min="13594" max="13594" width="11" style="89"/>
    <col min="13595" max="13595" width="11" style="89"/>
    <col min="13596" max="13596" width="11" style="89"/>
    <col min="13597" max="13597" width="11" style="89"/>
    <col min="13598" max="13598" width="11" style="89"/>
    <col min="13599" max="13599" width="11" style="89"/>
    <col min="13600" max="13600" width="11" style="89"/>
    <col min="13601" max="13601" width="11" style="89"/>
    <col min="13602" max="13602" width="11" style="89"/>
    <col min="13603" max="13603" width="11" style="89"/>
    <col min="13604" max="13604" width="11" style="89"/>
    <col min="13605" max="13605" width="11" style="89"/>
    <col min="13606" max="13606" width="11" style="89"/>
    <col min="13607" max="13607" width="11" style="89"/>
    <col min="13608" max="13608" width="11" style="89"/>
    <col min="13609" max="13609" width="11" style="89"/>
    <col min="13610" max="13610" width="11" style="89"/>
    <col min="13611" max="13611" width="11" style="89"/>
    <col min="13612" max="13612" width="11" style="89"/>
    <col min="13613" max="13613" width="11" style="89"/>
    <col min="13614" max="13614" width="11" style="89"/>
    <col min="13615" max="13615" width="11" style="89"/>
    <col min="13616" max="13616" width="11" style="89"/>
    <col min="13617" max="13617" width="11" style="89"/>
    <col min="13618" max="13618" width="11" style="89"/>
    <col min="13619" max="13619" width="11" style="89"/>
    <col min="13620" max="13620" width="11" style="89"/>
    <col min="13621" max="13621" width="11" style="89"/>
    <col min="13622" max="13622" width="11" style="89"/>
    <col min="13623" max="13623" width="11" style="89"/>
    <col min="13624" max="13624" width="11" style="89"/>
    <col min="13625" max="13625" width="11" style="89"/>
    <col min="13626" max="13626" width="11" style="89"/>
    <col min="13627" max="13627" width="11" style="89"/>
    <col min="13628" max="13628" width="11" style="89"/>
    <col min="13629" max="13629" width="11" style="89"/>
    <col min="13630" max="13630" width="11" style="89"/>
    <col min="13631" max="13631" width="11" style="89"/>
    <col min="13632" max="13632" width="11" style="89"/>
    <col min="13633" max="13633" width="11" style="89"/>
    <col min="13634" max="13634" width="11" style="89"/>
    <col min="13635" max="13635" width="11" style="89"/>
    <col min="13636" max="13636" width="11" style="89"/>
    <col min="13637" max="13637" width="11" style="89"/>
    <col min="13638" max="13638" width="11" style="89"/>
    <col min="13639" max="13639" width="11" style="89"/>
    <col min="13640" max="13640" width="11" style="89"/>
    <col min="13641" max="13641" width="11" style="89"/>
    <col min="13642" max="13642" width="11" style="89"/>
    <col min="13643" max="13643" width="11" style="89"/>
    <col min="13644" max="13644" width="11" style="89"/>
    <col min="13645" max="13645" width="11" style="89"/>
    <col min="13646" max="13646" width="11" style="89"/>
    <col min="13647" max="13647" width="11" style="89"/>
    <col min="13648" max="13648" width="11" style="89"/>
    <col min="13649" max="13649" width="11" style="89"/>
    <col min="13650" max="13650" width="11" style="89"/>
    <col min="13651" max="13651" width="11" style="89"/>
    <col min="13652" max="13652" width="11" style="89"/>
    <col min="13653" max="13653" width="11" style="89"/>
    <col min="13654" max="13654" width="11" style="89"/>
    <col min="13655" max="13655" width="11" style="89"/>
    <col min="13656" max="13656" width="11" style="89"/>
    <col min="13657" max="13657" width="11" style="89"/>
    <col min="13658" max="13658" width="11" style="89"/>
    <col min="13659" max="13659" width="11" style="89"/>
    <col min="13660" max="13660" width="11" style="89"/>
    <col min="13661" max="13661" width="11" style="89"/>
    <col min="13662" max="13662" width="11" style="89"/>
    <col min="13663" max="13663" width="11" style="89"/>
    <col min="13664" max="13664" width="11" style="89"/>
    <col min="13665" max="13665" width="11" style="89"/>
    <col min="13666" max="13666" width="11" style="89"/>
    <col min="13667" max="13667" width="11" style="89"/>
    <col min="13668" max="13668" width="11" style="89"/>
    <col min="13669" max="13669" width="11" style="89"/>
    <col min="13670" max="13670" width="11" style="89"/>
    <col min="13671" max="13671" width="11" style="89"/>
    <col min="13672" max="13672" width="11" style="89"/>
    <col min="13673" max="13673" width="11" style="89"/>
    <col min="13674" max="13674" width="11" style="89"/>
    <col min="13675" max="13675" width="11" style="89"/>
    <col min="13676" max="13676" width="11" style="89"/>
    <col min="13677" max="13677" width="11" style="89"/>
    <col min="13678" max="13678" width="11" style="89"/>
    <col min="13679" max="13679" width="11" style="89"/>
    <col min="13680" max="13680" width="11" style="89"/>
    <col min="13681" max="13681" width="11" style="89"/>
    <col min="13682" max="13682" width="11" style="89"/>
    <col min="13683" max="13683" width="11" style="89"/>
    <col min="13684" max="13684" width="11" style="89"/>
    <col min="13685" max="13685" width="11" style="89"/>
    <col min="13686" max="13686" width="11" style="89"/>
    <col min="13687" max="13687" width="11" style="89"/>
    <col min="13688" max="13688" width="11" style="89"/>
    <col min="13689" max="13689" width="11" style="89"/>
    <col min="13690" max="13690" width="11" style="89"/>
    <col min="13691" max="13691" width="11" style="89"/>
    <col min="13692" max="13692" width="11" style="89"/>
    <col min="13693" max="13693" width="11" style="89"/>
    <col min="13694" max="13694" width="11" style="89"/>
    <col min="13695" max="13695" width="11" style="89"/>
    <col min="13696" max="13696" width="11" style="89"/>
    <col min="13697" max="13697" width="11" style="89"/>
    <col min="13698" max="13698" width="11" style="89"/>
    <col min="13699" max="13699" width="11" style="89"/>
    <col min="13700" max="13700" width="11" style="89"/>
    <col min="13701" max="13701" width="11" style="89"/>
    <col min="13702" max="13702" width="11" style="89"/>
    <col min="13703" max="13703" width="11" style="89"/>
    <col min="13704" max="13704" width="11" style="89"/>
    <col min="13705" max="13705" width="11" style="89"/>
    <col min="13706" max="13706" width="11" style="89"/>
    <col min="13707" max="13707" width="11" style="89"/>
    <col min="13708" max="13708" width="11" style="89"/>
    <col min="13709" max="13709" width="11" style="89"/>
    <col min="13710" max="13710" width="11" style="89"/>
    <col min="13711" max="13711" width="11" style="89"/>
    <col min="13712" max="13712" width="11" style="89"/>
    <col min="13713" max="13713" width="11" style="89"/>
    <col min="13714" max="13714" width="11" style="89"/>
    <col min="13715" max="13715" width="11" style="89"/>
    <col min="13716" max="13716" width="11" style="89"/>
    <col min="13717" max="13717" width="11" style="89"/>
    <col min="13718" max="13718" width="11" style="89"/>
    <col min="13719" max="13719" width="11" style="89"/>
    <col min="13720" max="13720" width="11" style="89"/>
    <col min="13721" max="13721" width="11" style="89"/>
    <col min="13722" max="13722" width="11" style="89"/>
    <col min="13723" max="13723" width="11" style="89"/>
    <col min="13724" max="13724" width="11" style="89"/>
    <col min="13725" max="13725" width="11" style="89"/>
    <col min="13726" max="13726" width="11" style="89"/>
    <col min="13727" max="13727" width="11" style="89"/>
    <col min="13728" max="13728" width="11" style="89"/>
    <col min="13729" max="13729" width="11" style="89"/>
    <col min="13730" max="13730" width="11" style="89"/>
    <col min="13731" max="13731" width="11" style="89"/>
    <col min="13732" max="13732" width="11" style="89"/>
    <col min="13733" max="13733" width="11" style="89"/>
    <col min="13734" max="13734" width="11" style="89"/>
    <col min="13735" max="13735" width="11" style="89"/>
    <col min="13736" max="13736" width="11" style="89"/>
    <col min="13737" max="13737" width="11" style="89"/>
    <col min="13738" max="13738" width="11" style="89"/>
    <col min="13739" max="13739" width="11" style="89"/>
    <col min="13740" max="13740" width="11" style="89"/>
    <col min="13741" max="13741" width="11" style="89"/>
    <col min="13742" max="13742" width="11" style="89"/>
    <col min="13743" max="13743" width="11" style="89"/>
    <col min="13744" max="13744" width="11" style="89"/>
    <col min="13745" max="13745" width="11" style="89"/>
    <col min="13746" max="13746" width="11" style="89"/>
    <col min="13747" max="13747" width="11" style="89"/>
    <col min="13748" max="13748" width="11" style="89"/>
    <col min="13749" max="13749" width="11" style="89"/>
    <col min="13750" max="13750" width="11" style="89"/>
    <col min="13751" max="13751" width="11" style="89"/>
    <col min="13752" max="13752" width="11" style="89"/>
    <col min="13753" max="13753" width="11" style="89"/>
    <col min="13754" max="13754" width="11" style="89"/>
    <col min="13755" max="13755" width="11" style="89"/>
    <col min="13756" max="13756" width="11" style="89"/>
    <col min="13757" max="13757" width="11" style="89"/>
    <col min="13758" max="13758" width="11" style="89"/>
    <col min="13759" max="13759" width="11" style="89"/>
    <col min="13760" max="13760" width="11" style="89"/>
    <col min="13761" max="13761" width="11" style="89"/>
    <col min="13762" max="13762" width="11" style="89"/>
    <col min="13763" max="13763" width="11" style="89"/>
    <col min="13764" max="13764" width="11" style="89"/>
    <col min="13765" max="13765" width="11" style="89"/>
    <col min="13766" max="13766" width="11" style="89"/>
    <col min="13767" max="13767" width="11" style="89"/>
    <col min="13768" max="13768" width="11" style="89"/>
    <col min="13769" max="13769" width="11" style="89"/>
    <col min="13770" max="13770" width="11" style="89"/>
    <col min="13771" max="13771" width="11" style="89"/>
    <col min="13772" max="13772" width="11" style="89"/>
    <col min="13773" max="13773" width="11" style="89"/>
    <col min="13774" max="13774" width="11" style="89"/>
    <col min="13775" max="13775" width="11" style="89"/>
    <col min="13776" max="13776" width="11" style="89"/>
    <col min="13777" max="13777" width="11" style="89"/>
    <col min="13778" max="13778" width="11" style="89"/>
    <col min="13779" max="13779" width="11" style="89"/>
    <col min="13780" max="13780" width="11" style="89"/>
    <col min="13781" max="13781" width="11" style="89"/>
    <col min="13782" max="13782" width="11" style="89"/>
    <col min="13783" max="13783" width="11" style="89"/>
    <col min="13784" max="13784" width="11" style="89"/>
    <col min="13785" max="13785" width="11" style="89"/>
    <col min="13786" max="13786" width="11" style="89"/>
    <col min="13787" max="13787" width="11" style="89"/>
    <col min="13788" max="13788" width="11" style="89"/>
    <col min="13789" max="13789" width="11" style="89"/>
    <col min="13790" max="13790" width="11" style="89"/>
    <col min="13791" max="13791" width="11" style="89"/>
    <col min="13792" max="13792" width="11" style="89"/>
    <col min="13793" max="13793" width="11" style="89"/>
    <col min="13794" max="13794" width="11" style="89"/>
    <col min="13795" max="13795" width="11" style="89"/>
    <col min="13796" max="13796" width="11" style="89"/>
    <col min="13797" max="13797" width="11" style="89"/>
    <col min="13798" max="13798" width="11" style="89"/>
    <col min="13799" max="13799" width="11" style="89"/>
    <col min="13800" max="13800" width="11" style="89"/>
    <col min="13801" max="13801" width="11" style="89"/>
    <col min="13802" max="13802" width="11" style="89"/>
    <col min="13803" max="13803" width="11" style="89"/>
    <col min="13804" max="13804" width="11" style="89"/>
    <col min="13805" max="13805" width="11" style="89"/>
    <col min="13806" max="13806" width="11" style="89"/>
    <col min="13807" max="13807" width="11" style="89"/>
    <col min="13808" max="13808" width="11" style="89"/>
    <col min="13809" max="13809" width="11" style="89"/>
    <col min="13810" max="13810" width="11" style="89"/>
    <col min="13811" max="13811" width="11" style="89"/>
    <col min="13812" max="13812" width="11" style="89"/>
    <col min="13813" max="13813" width="11" style="89"/>
    <col min="13814" max="13814" width="11" style="89"/>
    <col min="13815" max="13815" width="11" style="89"/>
    <col min="13816" max="13816" width="11" style="89"/>
    <col min="13817" max="13817" width="11" style="89"/>
    <col min="13818" max="13818" width="11" style="89"/>
    <col min="13819" max="13819" width="11" style="89"/>
    <col min="13820" max="13820" width="11" style="89"/>
    <col min="13821" max="13821" width="11" style="89"/>
    <col min="13822" max="13822" width="11" style="89"/>
    <col min="13823" max="13823" width="11" style="89"/>
    <col min="13824" max="13824" width="11" style="89"/>
    <col min="13825" max="13825" width="10.140625" customWidth="true" style="89"/>
    <col min="13826" max="13826" width="10.140625" customWidth="true" style="89"/>
    <col min="13827" max="13827" width="10.140625" customWidth="true" style="89"/>
    <col min="13828" max="13828" width="10.140625" customWidth="true" style="89"/>
    <col min="13829" max="13829" width="10.140625" customWidth="true" style="89"/>
    <col min="13830" max="13830" width="10.140625" customWidth="true" style="89"/>
    <col min="13831" max="13831" width="10.140625" customWidth="true" style="89"/>
    <col min="13832" max="13832" width="10.140625" customWidth="true" style="89"/>
    <col min="13833" max="13833" width="10.140625" customWidth="true" style="89"/>
    <col min="13834" max="13834" width="11" style="89"/>
    <col min="13835" max="13835" width="11" style="89"/>
    <col min="13836" max="13836" width="11" style="89"/>
    <col min="13837" max="13837" width="11" style="89"/>
    <col min="13838" max="13838" width="11" style="89"/>
    <col min="13839" max="13839" width="11" style="89"/>
    <col min="13840" max="13840" width="11" style="89"/>
    <col min="13841" max="13841" width="11" style="89"/>
    <col min="13842" max="13842" width="11" style="89"/>
    <col min="13843" max="13843" width="11" style="89"/>
    <col min="13844" max="13844" width="11" style="89"/>
    <col min="13845" max="13845" width="11" style="89"/>
    <col min="13846" max="13846" width="11" style="89"/>
    <col min="13847" max="13847" width="11" style="89"/>
    <col min="13848" max="13848" width="11" style="89"/>
    <col min="13849" max="13849" width="11" style="89"/>
    <col min="13850" max="13850" width="11" style="89"/>
    <col min="13851" max="13851" width="11" style="89"/>
    <col min="13852" max="13852" width="11" style="89"/>
    <col min="13853" max="13853" width="11" style="89"/>
    <col min="13854" max="13854" width="11" style="89"/>
    <col min="13855" max="13855" width="11" style="89"/>
    <col min="13856" max="13856" width="11" style="89"/>
    <col min="13857" max="13857" width="11" style="89"/>
    <col min="13858" max="13858" width="11" style="89"/>
    <col min="13859" max="13859" width="11" style="89"/>
    <col min="13860" max="13860" width="11" style="89"/>
    <col min="13861" max="13861" width="11" style="89"/>
    <col min="13862" max="13862" width="11" style="89"/>
    <col min="13863" max="13863" width="11" style="89"/>
    <col min="13864" max="13864" width="11" style="89"/>
    <col min="13865" max="13865" width="11" style="89"/>
    <col min="13866" max="13866" width="11" style="89"/>
    <col min="13867" max="13867" width="11" style="89"/>
    <col min="13868" max="13868" width="11" style="89"/>
    <col min="13869" max="13869" width="11" style="89"/>
    <col min="13870" max="13870" width="11" style="89"/>
    <col min="13871" max="13871" width="11" style="89"/>
    <col min="13872" max="13872" width="11" style="89"/>
    <col min="13873" max="13873" width="11" style="89"/>
    <col min="13874" max="13874" width="11" style="89"/>
    <col min="13875" max="13875" width="11" style="89"/>
    <col min="13876" max="13876" width="11" style="89"/>
    <col min="13877" max="13877" width="11" style="89"/>
    <col min="13878" max="13878" width="11" style="89"/>
    <col min="13879" max="13879" width="11" style="89"/>
    <col min="13880" max="13880" width="11" style="89"/>
    <col min="13881" max="13881" width="11" style="89"/>
    <col min="13882" max="13882" width="11" style="89"/>
    <col min="13883" max="13883" width="11" style="89"/>
    <col min="13884" max="13884" width="11" style="89"/>
    <col min="13885" max="13885" width="11" style="89"/>
    <col min="13886" max="13886" width="11" style="89"/>
    <col min="13887" max="13887" width="11" style="89"/>
    <col min="13888" max="13888" width="11" style="89"/>
    <col min="13889" max="13889" width="11" style="89"/>
    <col min="13890" max="13890" width="11" style="89"/>
    <col min="13891" max="13891" width="11" style="89"/>
    <col min="13892" max="13892" width="11" style="89"/>
    <col min="13893" max="13893" width="11" style="89"/>
    <col min="13894" max="13894" width="11" style="89"/>
    <col min="13895" max="13895" width="11" style="89"/>
    <col min="13896" max="13896" width="11" style="89"/>
    <col min="13897" max="13897" width="11" style="89"/>
    <col min="13898" max="13898" width="11" style="89"/>
    <col min="13899" max="13899" width="11" style="89"/>
    <col min="13900" max="13900" width="11" style="89"/>
    <col min="13901" max="13901" width="11" style="89"/>
    <col min="13902" max="13902" width="11" style="89"/>
    <col min="13903" max="13903" width="11" style="89"/>
    <col min="13904" max="13904" width="11" style="89"/>
    <col min="13905" max="13905" width="11" style="89"/>
    <col min="13906" max="13906" width="11" style="89"/>
    <col min="13907" max="13907" width="11" style="89"/>
    <col min="13908" max="13908" width="11" style="89"/>
    <col min="13909" max="13909" width="11" style="89"/>
    <col min="13910" max="13910" width="11" style="89"/>
    <col min="13911" max="13911" width="11" style="89"/>
    <col min="13912" max="13912" width="11" style="89"/>
    <col min="13913" max="13913" width="11" style="89"/>
    <col min="13914" max="13914" width="11" style="89"/>
    <col min="13915" max="13915" width="11" style="89"/>
    <col min="13916" max="13916" width="11" style="89"/>
    <col min="13917" max="13917" width="11" style="89"/>
    <col min="13918" max="13918" width="11" style="89"/>
    <col min="13919" max="13919" width="11" style="89"/>
    <col min="13920" max="13920" width="11" style="89"/>
    <col min="13921" max="13921" width="11" style="89"/>
    <col min="13922" max="13922" width="11" style="89"/>
    <col min="13923" max="13923" width="11" style="89"/>
    <col min="13924" max="13924" width="11" style="89"/>
    <col min="13925" max="13925" width="11" style="89"/>
    <col min="13926" max="13926" width="11" style="89"/>
    <col min="13927" max="13927" width="11" style="89"/>
    <col min="13928" max="13928" width="11" style="89"/>
    <col min="13929" max="13929" width="11" style="89"/>
    <col min="13930" max="13930" width="11" style="89"/>
    <col min="13931" max="13931" width="11" style="89"/>
    <col min="13932" max="13932" width="11" style="89"/>
    <col min="13933" max="13933" width="11" style="89"/>
    <col min="13934" max="13934" width="11" style="89"/>
    <col min="13935" max="13935" width="11" style="89"/>
    <col min="13936" max="13936" width="11" style="89"/>
    <col min="13937" max="13937" width="11" style="89"/>
    <col min="13938" max="13938" width="11" style="89"/>
    <col min="13939" max="13939" width="11" style="89"/>
    <col min="13940" max="13940" width="11" style="89"/>
    <col min="13941" max="13941" width="11" style="89"/>
    <col min="13942" max="13942" width="11" style="89"/>
    <col min="13943" max="13943" width="11" style="89"/>
    <col min="13944" max="13944" width="11" style="89"/>
    <col min="13945" max="13945" width="11" style="89"/>
    <col min="13946" max="13946" width="11" style="89"/>
    <col min="13947" max="13947" width="11" style="89"/>
    <col min="13948" max="13948" width="11" style="89"/>
    <col min="13949" max="13949" width="11" style="89"/>
    <col min="13950" max="13950" width="11" style="89"/>
    <col min="13951" max="13951" width="11" style="89"/>
    <col min="13952" max="13952" width="11" style="89"/>
    <col min="13953" max="13953" width="11" style="89"/>
    <col min="13954" max="13954" width="11" style="89"/>
    <col min="13955" max="13955" width="11" style="89"/>
    <col min="13956" max="13956" width="11" style="89"/>
    <col min="13957" max="13957" width="11" style="89"/>
    <col min="13958" max="13958" width="11" style="89"/>
    <col min="13959" max="13959" width="11" style="89"/>
    <col min="13960" max="13960" width="11" style="89"/>
    <col min="13961" max="13961" width="11" style="89"/>
    <col min="13962" max="13962" width="11" style="89"/>
    <col min="13963" max="13963" width="11" style="89"/>
    <col min="13964" max="13964" width="11" style="89"/>
    <col min="13965" max="13965" width="11" style="89"/>
    <col min="13966" max="13966" width="11" style="89"/>
    <col min="13967" max="13967" width="11" style="89"/>
    <col min="13968" max="13968" width="11" style="89"/>
    <col min="13969" max="13969" width="11" style="89"/>
    <col min="13970" max="13970" width="11" style="89"/>
    <col min="13971" max="13971" width="11" style="89"/>
    <col min="13972" max="13972" width="11" style="89"/>
    <col min="13973" max="13973" width="11" style="89"/>
    <col min="13974" max="13974" width="11" style="89"/>
    <col min="13975" max="13975" width="11" style="89"/>
    <col min="13976" max="13976" width="11" style="89"/>
    <col min="13977" max="13977" width="11" style="89"/>
    <col min="13978" max="13978" width="11" style="89"/>
    <col min="13979" max="13979" width="11" style="89"/>
    <col min="13980" max="13980" width="11" style="89"/>
    <col min="13981" max="13981" width="11" style="89"/>
    <col min="13982" max="13982" width="11" style="89"/>
    <col min="13983" max="13983" width="11" style="89"/>
    <col min="13984" max="13984" width="11" style="89"/>
    <col min="13985" max="13985" width="11" style="89"/>
    <col min="13986" max="13986" width="11" style="89"/>
    <col min="13987" max="13987" width="11" style="89"/>
    <col min="13988" max="13988" width="11" style="89"/>
    <col min="13989" max="13989" width="11" style="89"/>
    <col min="13990" max="13990" width="11" style="89"/>
    <col min="13991" max="13991" width="11" style="89"/>
    <col min="13992" max="13992" width="11" style="89"/>
    <col min="13993" max="13993" width="11" style="89"/>
    <col min="13994" max="13994" width="11" style="89"/>
    <col min="13995" max="13995" width="11" style="89"/>
    <col min="13996" max="13996" width="11" style="89"/>
    <col min="13997" max="13997" width="11" style="89"/>
    <col min="13998" max="13998" width="11" style="89"/>
    <col min="13999" max="13999" width="11" style="89"/>
    <col min="14000" max="14000" width="11" style="89"/>
    <col min="14001" max="14001" width="11" style="89"/>
    <col min="14002" max="14002" width="11" style="89"/>
    <col min="14003" max="14003" width="11" style="89"/>
    <col min="14004" max="14004" width="11" style="89"/>
    <col min="14005" max="14005" width="11" style="89"/>
    <col min="14006" max="14006" width="11" style="89"/>
    <col min="14007" max="14007" width="11" style="89"/>
    <col min="14008" max="14008" width="11" style="89"/>
    <col min="14009" max="14009" width="11" style="89"/>
    <col min="14010" max="14010" width="11" style="89"/>
    <col min="14011" max="14011" width="11" style="89"/>
    <col min="14012" max="14012" width="11" style="89"/>
    <col min="14013" max="14013" width="11" style="89"/>
    <col min="14014" max="14014" width="11" style="89"/>
    <col min="14015" max="14015" width="11" style="89"/>
    <col min="14016" max="14016" width="11" style="89"/>
    <col min="14017" max="14017" width="11" style="89"/>
    <col min="14018" max="14018" width="11" style="89"/>
    <col min="14019" max="14019" width="11" style="89"/>
    <col min="14020" max="14020" width="11" style="89"/>
    <col min="14021" max="14021" width="11" style="89"/>
    <col min="14022" max="14022" width="11" style="89"/>
    <col min="14023" max="14023" width="11" style="89"/>
    <col min="14024" max="14024" width="11" style="89"/>
    <col min="14025" max="14025" width="11" style="89"/>
    <col min="14026" max="14026" width="11" style="89"/>
    <col min="14027" max="14027" width="11" style="89"/>
    <col min="14028" max="14028" width="11" style="89"/>
    <col min="14029" max="14029" width="11" style="89"/>
    <col min="14030" max="14030" width="11" style="89"/>
    <col min="14031" max="14031" width="11" style="89"/>
    <col min="14032" max="14032" width="11" style="89"/>
    <col min="14033" max="14033" width="11" style="89"/>
    <col min="14034" max="14034" width="11" style="89"/>
    <col min="14035" max="14035" width="11" style="89"/>
    <col min="14036" max="14036" width="11" style="89"/>
    <col min="14037" max="14037" width="11" style="89"/>
    <col min="14038" max="14038" width="11" style="89"/>
    <col min="14039" max="14039" width="11" style="89"/>
    <col min="14040" max="14040" width="11" style="89"/>
    <col min="14041" max="14041" width="11" style="89"/>
    <col min="14042" max="14042" width="11" style="89"/>
    <col min="14043" max="14043" width="11" style="89"/>
    <col min="14044" max="14044" width="11" style="89"/>
    <col min="14045" max="14045" width="11" style="89"/>
    <col min="14046" max="14046" width="11" style="89"/>
    <col min="14047" max="14047" width="11" style="89"/>
    <col min="14048" max="14048" width="11" style="89"/>
    <col min="14049" max="14049" width="11" style="89"/>
    <col min="14050" max="14050" width="11" style="89"/>
    <col min="14051" max="14051" width="11" style="89"/>
    <col min="14052" max="14052" width="11" style="89"/>
    <col min="14053" max="14053" width="11" style="89"/>
    <col min="14054" max="14054" width="11" style="89"/>
    <col min="14055" max="14055" width="11" style="89"/>
    <col min="14056" max="14056" width="11" style="89"/>
    <col min="14057" max="14057" width="11" style="89"/>
    <col min="14058" max="14058" width="11" style="89"/>
    <col min="14059" max="14059" width="11" style="89"/>
    <col min="14060" max="14060" width="11" style="89"/>
    <col min="14061" max="14061" width="11" style="89"/>
    <col min="14062" max="14062" width="11" style="89"/>
    <col min="14063" max="14063" width="11" style="89"/>
    <col min="14064" max="14064" width="11" style="89"/>
    <col min="14065" max="14065" width="11" style="89"/>
    <col min="14066" max="14066" width="11" style="89"/>
    <col min="14067" max="14067" width="11" style="89"/>
    <col min="14068" max="14068" width="11" style="89"/>
    <col min="14069" max="14069" width="11" style="89"/>
    <col min="14070" max="14070" width="11" style="89"/>
    <col min="14071" max="14071" width="11" style="89"/>
    <col min="14072" max="14072" width="11" style="89"/>
    <col min="14073" max="14073" width="11" style="89"/>
    <col min="14074" max="14074" width="11" style="89"/>
    <col min="14075" max="14075" width="11" style="89"/>
    <col min="14076" max="14076" width="11" style="89"/>
    <col min="14077" max="14077" width="11" style="89"/>
    <col min="14078" max="14078" width="11" style="89"/>
    <col min="14079" max="14079" width="11" style="89"/>
    <col min="14080" max="14080" width="11" style="89"/>
    <col min="14081" max="14081" width="10.140625" customWidth="true" style="89"/>
    <col min="14082" max="14082" width="10.140625" customWidth="true" style="89"/>
    <col min="14083" max="14083" width="10.140625" customWidth="true" style="89"/>
    <col min="14084" max="14084" width="10.140625" customWidth="true" style="89"/>
    <col min="14085" max="14085" width="10.140625" customWidth="true" style="89"/>
    <col min="14086" max="14086" width="10.140625" customWidth="true" style="89"/>
    <col min="14087" max="14087" width="10.140625" customWidth="true" style="89"/>
    <col min="14088" max="14088" width="10.140625" customWidth="true" style="89"/>
    <col min="14089" max="14089" width="10.140625" customWidth="true" style="89"/>
    <col min="14090" max="14090" width="11" style="89"/>
    <col min="14091" max="14091" width="11" style="89"/>
    <col min="14092" max="14092" width="11" style="89"/>
    <col min="14093" max="14093" width="11" style="89"/>
    <col min="14094" max="14094" width="11" style="89"/>
    <col min="14095" max="14095" width="11" style="89"/>
    <col min="14096" max="14096" width="11" style="89"/>
    <col min="14097" max="14097" width="11" style="89"/>
    <col min="14098" max="14098" width="11" style="89"/>
    <col min="14099" max="14099" width="11" style="89"/>
    <col min="14100" max="14100" width="11" style="89"/>
    <col min="14101" max="14101" width="11" style="89"/>
    <col min="14102" max="14102" width="11" style="89"/>
    <col min="14103" max="14103" width="11" style="89"/>
    <col min="14104" max="14104" width="11" style="89"/>
    <col min="14105" max="14105" width="11" style="89"/>
    <col min="14106" max="14106" width="11" style="89"/>
    <col min="14107" max="14107" width="11" style="89"/>
    <col min="14108" max="14108" width="11" style="89"/>
    <col min="14109" max="14109" width="11" style="89"/>
    <col min="14110" max="14110" width="11" style="89"/>
    <col min="14111" max="14111" width="11" style="89"/>
    <col min="14112" max="14112" width="11" style="89"/>
    <col min="14113" max="14113" width="11" style="89"/>
    <col min="14114" max="14114" width="11" style="89"/>
    <col min="14115" max="14115" width="11" style="89"/>
    <col min="14116" max="14116" width="11" style="89"/>
    <col min="14117" max="14117" width="11" style="89"/>
    <col min="14118" max="14118" width="11" style="89"/>
    <col min="14119" max="14119" width="11" style="89"/>
    <col min="14120" max="14120" width="11" style="89"/>
    <col min="14121" max="14121" width="11" style="89"/>
    <col min="14122" max="14122" width="11" style="89"/>
    <col min="14123" max="14123" width="11" style="89"/>
    <col min="14124" max="14124" width="11" style="89"/>
    <col min="14125" max="14125" width="11" style="89"/>
    <col min="14126" max="14126" width="11" style="89"/>
    <col min="14127" max="14127" width="11" style="89"/>
    <col min="14128" max="14128" width="11" style="89"/>
    <col min="14129" max="14129" width="11" style="89"/>
    <col min="14130" max="14130" width="11" style="89"/>
    <col min="14131" max="14131" width="11" style="89"/>
    <col min="14132" max="14132" width="11" style="89"/>
    <col min="14133" max="14133" width="11" style="89"/>
    <col min="14134" max="14134" width="11" style="89"/>
    <col min="14135" max="14135" width="11" style="89"/>
    <col min="14136" max="14136" width="11" style="89"/>
    <col min="14137" max="14137" width="11" style="89"/>
    <col min="14138" max="14138" width="11" style="89"/>
    <col min="14139" max="14139" width="11" style="89"/>
    <col min="14140" max="14140" width="11" style="89"/>
    <col min="14141" max="14141" width="11" style="89"/>
    <col min="14142" max="14142" width="11" style="89"/>
    <col min="14143" max="14143" width="11" style="89"/>
    <col min="14144" max="14144" width="11" style="89"/>
    <col min="14145" max="14145" width="11" style="89"/>
    <col min="14146" max="14146" width="11" style="89"/>
    <col min="14147" max="14147" width="11" style="89"/>
    <col min="14148" max="14148" width="11" style="89"/>
    <col min="14149" max="14149" width="11" style="89"/>
    <col min="14150" max="14150" width="11" style="89"/>
    <col min="14151" max="14151" width="11" style="89"/>
    <col min="14152" max="14152" width="11" style="89"/>
    <col min="14153" max="14153" width="11" style="89"/>
    <col min="14154" max="14154" width="11" style="89"/>
    <col min="14155" max="14155" width="11" style="89"/>
    <col min="14156" max="14156" width="11" style="89"/>
    <col min="14157" max="14157" width="11" style="89"/>
    <col min="14158" max="14158" width="11" style="89"/>
    <col min="14159" max="14159" width="11" style="89"/>
    <col min="14160" max="14160" width="11" style="89"/>
    <col min="14161" max="14161" width="11" style="89"/>
    <col min="14162" max="14162" width="11" style="89"/>
    <col min="14163" max="14163" width="11" style="89"/>
    <col min="14164" max="14164" width="11" style="89"/>
    <col min="14165" max="14165" width="11" style="89"/>
    <col min="14166" max="14166" width="11" style="89"/>
    <col min="14167" max="14167" width="11" style="89"/>
    <col min="14168" max="14168" width="11" style="89"/>
    <col min="14169" max="14169" width="11" style="89"/>
    <col min="14170" max="14170" width="11" style="89"/>
    <col min="14171" max="14171" width="11" style="89"/>
    <col min="14172" max="14172" width="11" style="89"/>
    <col min="14173" max="14173" width="11" style="89"/>
    <col min="14174" max="14174" width="11" style="89"/>
    <col min="14175" max="14175" width="11" style="89"/>
    <col min="14176" max="14176" width="11" style="89"/>
    <col min="14177" max="14177" width="11" style="89"/>
    <col min="14178" max="14178" width="11" style="89"/>
    <col min="14179" max="14179" width="11" style="89"/>
    <col min="14180" max="14180" width="11" style="89"/>
    <col min="14181" max="14181" width="11" style="89"/>
    <col min="14182" max="14182" width="11" style="89"/>
    <col min="14183" max="14183" width="11" style="89"/>
    <col min="14184" max="14184" width="11" style="89"/>
    <col min="14185" max="14185" width="11" style="89"/>
    <col min="14186" max="14186" width="11" style="89"/>
    <col min="14187" max="14187" width="11" style="89"/>
    <col min="14188" max="14188" width="11" style="89"/>
    <col min="14189" max="14189" width="11" style="89"/>
    <col min="14190" max="14190" width="11" style="89"/>
    <col min="14191" max="14191" width="11" style="89"/>
    <col min="14192" max="14192" width="11" style="89"/>
    <col min="14193" max="14193" width="11" style="89"/>
    <col min="14194" max="14194" width="11" style="89"/>
    <col min="14195" max="14195" width="11" style="89"/>
    <col min="14196" max="14196" width="11" style="89"/>
    <col min="14197" max="14197" width="11" style="89"/>
    <col min="14198" max="14198" width="11" style="89"/>
    <col min="14199" max="14199" width="11" style="89"/>
    <col min="14200" max="14200" width="11" style="89"/>
    <col min="14201" max="14201" width="11" style="89"/>
    <col min="14202" max="14202" width="11" style="89"/>
    <col min="14203" max="14203" width="11" style="89"/>
    <col min="14204" max="14204" width="11" style="89"/>
    <col min="14205" max="14205" width="11" style="89"/>
    <col min="14206" max="14206" width="11" style="89"/>
    <col min="14207" max="14207" width="11" style="89"/>
    <col min="14208" max="14208" width="11" style="89"/>
    <col min="14209" max="14209" width="11" style="89"/>
    <col min="14210" max="14210" width="11" style="89"/>
    <col min="14211" max="14211" width="11" style="89"/>
    <col min="14212" max="14212" width="11" style="89"/>
    <col min="14213" max="14213" width="11" style="89"/>
    <col min="14214" max="14214" width="11" style="89"/>
    <col min="14215" max="14215" width="11" style="89"/>
    <col min="14216" max="14216" width="11" style="89"/>
    <col min="14217" max="14217" width="11" style="89"/>
    <col min="14218" max="14218" width="11" style="89"/>
    <col min="14219" max="14219" width="11" style="89"/>
    <col min="14220" max="14220" width="11" style="89"/>
    <col min="14221" max="14221" width="11" style="89"/>
    <col min="14222" max="14222" width="11" style="89"/>
    <col min="14223" max="14223" width="11" style="89"/>
    <col min="14224" max="14224" width="11" style="89"/>
    <col min="14225" max="14225" width="11" style="89"/>
    <col min="14226" max="14226" width="11" style="89"/>
    <col min="14227" max="14227" width="11" style="89"/>
    <col min="14228" max="14228" width="11" style="89"/>
    <col min="14229" max="14229" width="11" style="89"/>
    <col min="14230" max="14230" width="11" style="89"/>
    <col min="14231" max="14231" width="11" style="89"/>
    <col min="14232" max="14232" width="11" style="89"/>
    <col min="14233" max="14233" width="11" style="89"/>
    <col min="14234" max="14234" width="11" style="89"/>
    <col min="14235" max="14235" width="11" style="89"/>
    <col min="14236" max="14236" width="11" style="89"/>
    <col min="14237" max="14237" width="11" style="89"/>
    <col min="14238" max="14238" width="11" style="89"/>
    <col min="14239" max="14239" width="11" style="89"/>
    <col min="14240" max="14240" width="11" style="89"/>
    <col min="14241" max="14241" width="11" style="89"/>
    <col min="14242" max="14242" width="11" style="89"/>
    <col min="14243" max="14243" width="11" style="89"/>
    <col min="14244" max="14244" width="11" style="89"/>
    <col min="14245" max="14245" width="11" style="89"/>
    <col min="14246" max="14246" width="11" style="89"/>
    <col min="14247" max="14247" width="11" style="89"/>
    <col min="14248" max="14248" width="11" style="89"/>
    <col min="14249" max="14249" width="11" style="89"/>
    <col min="14250" max="14250" width="11" style="89"/>
    <col min="14251" max="14251" width="11" style="89"/>
    <col min="14252" max="14252" width="11" style="89"/>
    <col min="14253" max="14253" width="11" style="89"/>
    <col min="14254" max="14254" width="11" style="89"/>
    <col min="14255" max="14255" width="11" style="89"/>
    <col min="14256" max="14256" width="11" style="89"/>
    <col min="14257" max="14257" width="11" style="89"/>
    <col min="14258" max="14258" width="11" style="89"/>
    <col min="14259" max="14259" width="11" style="89"/>
    <col min="14260" max="14260" width="11" style="89"/>
    <col min="14261" max="14261" width="11" style="89"/>
    <col min="14262" max="14262" width="11" style="89"/>
    <col min="14263" max="14263" width="11" style="89"/>
    <col min="14264" max="14264" width="11" style="89"/>
    <col min="14265" max="14265" width="11" style="89"/>
    <col min="14266" max="14266" width="11" style="89"/>
    <col min="14267" max="14267" width="11" style="89"/>
    <col min="14268" max="14268" width="11" style="89"/>
    <col min="14269" max="14269" width="11" style="89"/>
    <col min="14270" max="14270" width="11" style="89"/>
    <col min="14271" max="14271" width="11" style="89"/>
    <col min="14272" max="14272" width="11" style="89"/>
    <col min="14273" max="14273" width="11" style="89"/>
    <col min="14274" max="14274" width="11" style="89"/>
    <col min="14275" max="14275" width="11" style="89"/>
    <col min="14276" max="14276" width="11" style="89"/>
    <col min="14277" max="14277" width="11" style="89"/>
    <col min="14278" max="14278" width="11" style="89"/>
    <col min="14279" max="14279" width="11" style="89"/>
    <col min="14280" max="14280" width="11" style="89"/>
    <col min="14281" max="14281" width="11" style="89"/>
    <col min="14282" max="14282" width="11" style="89"/>
    <col min="14283" max="14283" width="11" style="89"/>
    <col min="14284" max="14284" width="11" style="89"/>
    <col min="14285" max="14285" width="11" style="89"/>
    <col min="14286" max="14286" width="11" style="89"/>
    <col min="14287" max="14287" width="11" style="89"/>
    <col min="14288" max="14288" width="11" style="89"/>
    <col min="14289" max="14289" width="11" style="89"/>
    <col min="14290" max="14290" width="11" style="89"/>
    <col min="14291" max="14291" width="11" style="89"/>
    <col min="14292" max="14292" width="11" style="89"/>
    <col min="14293" max="14293" width="11" style="89"/>
    <col min="14294" max="14294" width="11" style="89"/>
    <col min="14295" max="14295" width="11" style="89"/>
    <col min="14296" max="14296" width="11" style="89"/>
    <col min="14297" max="14297" width="11" style="89"/>
    <col min="14298" max="14298" width="11" style="89"/>
    <col min="14299" max="14299" width="11" style="89"/>
    <col min="14300" max="14300" width="11" style="89"/>
    <col min="14301" max="14301" width="11" style="89"/>
    <col min="14302" max="14302" width="11" style="89"/>
    <col min="14303" max="14303" width="11" style="89"/>
    <col min="14304" max="14304" width="11" style="89"/>
    <col min="14305" max="14305" width="11" style="89"/>
    <col min="14306" max="14306" width="11" style="89"/>
    <col min="14307" max="14307" width="11" style="89"/>
    <col min="14308" max="14308" width="11" style="89"/>
    <col min="14309" max="14309" width="11" style="89"/>
    <col min="14310" max="14310" width="11" style="89"/>
    <col min="14311" max="14311" width="11" style="89"/>
    <col min="14312" max="14312" width="11" style="89"/>
    <col min="14313" max="14313" width="11" style="89"/>
    <col min="14314" max="14314" width="11" style="89"/>
    <col min="14315" max="14315" width="11" style="89"/>
    <col min="14316" max="14316" width="11" style="89"/>
    <col min="14317" max="14317" width="11" style="89"/>
    <col min="14318" max="14318" width="11" style="89"/>
    <col min="14319" max="14319" width="11" style="89"/>
    <col min="14320" max="14320" width="11" style="89"/>
    <col min="14321" max="14321" width="11" style="89"/>
    <col min="14322" max="14322" width="11" style="89"/>
    <col min="14323" max="14323" width="11" style="89"/>
    <col min="14324" max="14324" width="11" style="89"/>
    <col min="14325" max="14325" width="11" style="89"/>
    <col min="14326" max="14326" width="11" style="89"/>
    <col min="14327" max="14327" width="11" style="89"/>
    <col min="14328" max="14328" width="11" style="89"/>
    <col min="14329" max="14329" width="11" style="89"/>
    <col min="14330" max="14330" width="11" style="89"/>
    <col min="14331" max="14331" width="11" style="89"/>
    <col min="14332" max="14332" width="11" style="89"/>
    <col min="14333" max="14333" width="11" style="89"/>
    <col min="14334" max="14334" width="11" style="89"/>
    <col min="14335" max="14335" width="11" style="89"/>
    <col min="14336" max="14336" width="11" style="89"/>
    <col min="14337" max="14337" width="10.140625" customWidth="true" style="89"/>
    <col min="14338" max="14338" width="10.140625" customWidth="true" style="89"/>
    <col min="14339" max="14339" width="10.140625" customWidth="true" style="89"/>
    <col min="14340" max="14340" width="10.140625" customWidth="true" style="89"/>
    <col min="14341" max="14341" width="10.140625" customWidth="true" style="89"/>
    <col min="14342" max="14342" width="10.140625" customWidth="true" style="89"/>
    <col min="14343" max="14343" width="10.140625" customWidth="true" style="89"/>
    <col min="14344" max="14344" width="10.140625" customWidth="true" style="89"/>
    <col min="14345" max="14345" width="10.140625" customWidth="true" style="89"/>
    <col min="14346" max="14346" width="11" style="89"/>
    <col min="14347" max="14347" width="11" style="89"/>
    <col min="14348" max="14348" width="11" style="89"/>
    <col min="14349" max="14349" width="11" style="89"/>
    <col min="14350" max="14350" width="11" style="89"/>
    <col min="14351" max="14351" width="11" style="89"/>
    <col min="14352" max="14352" width="11" style="89"/>
    <col min="14353" max="14353" width="11" style="89"/>
    <col min="14354" max="14354" width="11" style="89"/>
    <col min="14355" max="14355" width="11" style="89"/>
    <col min="14356" max="14356" width="11" style="89"/>
    <col min="14357" max="14357" width="11" style="89"/>
    <col min="14358" max="14358" width="11" style="89"/>
    <col min="14359" max="14359" width="11" style="89"/>
    <col min="14360" max="14360" width="11" style="89"/>
    <col min="14361" max="14361" width="11" style="89"/>
    <col min="14362" max="14362" width="11" style="89"/>
    <col min="14363" max="14363" width="11" style="89"/>
    <col min="14364" max="14364" width="11" style="89"/>
    <col min="14365" max="14365" width="11" style="89"/>
    <col min="14366" max="14366" width="11" style="89"/>
    <col min="14367" max="14367" width="11" style="89"/>
    <col min="14368" max="14368" width="11" style="89"/>
    <col min="14369" max="14369" width="11" style="89"/>
    <col min="14370" max="14370" width="11" style="89"/>
    <col min="14371" max="14371" width="11" style="89"/>
    <col min="14372" max="14372" width="11" style="89"/>
    <col min="14373" max="14373" width="11" style="89"/>
    <col min="14374" max="14374" width="11" style="89"/>
    <col min="14375" max="14375" width="11" style="89"/>
    <col min="14376" max="14376" width="11" style="89"/>
    <col min="14377" max="14377" width="11" style="89"/>
    <col min="14378" max="14378" width="11" style="89"/>
    <col min="14379" max="14379" width="11" style="89"/>
    <col min="14380" max="14380" width="11" style="89"/>
    <col min="14381" max="14381" width="11" style="89"/>
    <col min="14382" max="14382" width="11" style="89"/>
    <col min="14383" max="14383" width="11" style="89"/>
    <col min="14384" max="14384" width="11" style="89"/>
    <col min="14385" max="14385" width="11" style="89"/>
    <col min="14386" max="14386" width="11" style="89"/>
    <col min="14387" max="14387" width="11" style="89"/>
    <col min="14388" max="14388" width="11" style="89"/>
    <col min="14389" max="14389" width="11" style="89"/>
    <col min="14390" max="14390" width="11" style="89"/>
    <col min="14391" max="14391" width="11" style="89"/>
    <col min="14392" max="14392" width="11" style="89"/>
    <col min="14393" max="14393" width="11" style="89"/>
    <col min="14394" max="14394" width="11" style="89"/>
    <col min="14395" max="14395" width="11" style="89"/>
    <col min="14396" max="14396" width="11" style="89"/>
    <col min="14397" max="14397" width="11" style="89"/>
    <col min="14398" max="14398" width="11" style="89"/>
    <col min="14399" max="14399" width="11" style="89"/>
    <col min="14400" max="14400" width="11" style="89"/>
    <col min="14401" max="14401" width="11" style="89"/>
    <col min="14402" max="14402" width="11" style="89"/>
    <col min="14403" max="14403" width="11" style="89"/>
    <col min="14404" max="14404" width="11" style="89"/>
    <col min="14405" max="14405" width="11" style="89"/>
    <col min="14406" max="14406" width="11" style="89"/>
    <col min="14407" max="14407" width="11" style="89"/>
    <col min="14408" max="14408" width="11" style="89"/>
    <col min="14409" max="14409" width="11" style="89"/>
    <col min="14410" max="14410" width="11" style="89"/>
    <col min="14411" max="14411" width="11" style="89"/>
    <col min="14412" max="14412" width="11" style="89"/>
    <col min="14413" max="14413" width="11" style="89"/>
    <col min="14414" max="14414" width="11" style="89"/>
    <col min="14415" max="14415" width="11" style="89"/>
    <col min="14416" max="14416" width="11" style="89"/>
    <col min="14417" max="14417" width="11" style="89"/>
    <col min="14418" max="14418" width="11" style="89"/>
    <col min="14419" max="14419" width="11" style="89"/>
    <col min="14420" max="14420" width="11" style="89"/>
    <col min="14421" max="14421" width="11" style="89"/>
    <col min="14422" max="14422" width="11" style="89"/>
    <col min="14423" max="14423" width="11" style="89"/>
    <col min="14424" max="14424" width="11" style="89"/>
    <col min="14425" max="14425" width="11" style="89"/>
    <col min="14426" max="14426" width="11" style="89"/>
    <col min="14427" max="14427" width="11" style="89"/>
    <col min="14428" max="14428" width="11" style="89"/>
    <col min="14429" max="14429" width="11" style="89"/>
    <col min="14430" max="14430" width="11" style="89"/>
    <col min="14431" max="14431" width="11" style="89"/>
    <col min="14432" max="14432" width="11" style="89"/>
    <col min="14433" max="14433" width="11" style="89"/>
    <col min="14434" max="14434" width="11" style="89"/>
    <col min="14435" max="14435" width="11" style="89"/>
    <col min="14436" max="14436" width="11" style="89"/>
    <col min="14437" max="14437" width="11" style="89"/>
    <col min="14438" max="14438" width="11" style="89"/>
    <col min="14439" max="14439" width="11" style="89"/>
    <col min="14440" max="14440" width="11" style="89"/>
    <col min="14441" max="14441" width="11" style="89"/>
    <col min="14442" max="14442" width="11" style="89"/>
    <col min="14443" max="14443" width="11" style="89"/>
    <col min="14444" max="14444" width="11" style="89"/>
    <col min="14445" max="14445" width="11" style="89"/>
    <col min="14446" max="14446" width="11" style="89"/>
    <col min="14447" max="14447" width="11" style="89"/>
    <col min="14448" max="14448" width="11" style="89"/>
    <col min="14449" max="14449" width="11" style="89"/>
    <col min="14450" max="14450" width="11" style="89"/>
    <col min="14451" max="14451" width="11" style="89"/>
    <col min="14452" max="14452" width="11" style="89"/>
    <col min="14453" max="14453" width="11" style="89"/>
    <col min="14454" max="14454" width="11" style="89"/>
    <col min="14455" max="14455" width="11" style="89"/>
    <col min="14456" max="14456" width="11" style="89"/>
    <col min="14457" max="14457" width="11" style="89"/>
    <col min="14458" max="14458" width="11" style="89"/>
    <col min="14459" max="14459" width="11" style="89"/>
    <col min="14460" max="14460" width="11" style="89"/>
    <col min="14461" max="14461" width="11" style="89"/>
    <col min="14462" max="14462" width="11" style="89"/>
    <col min="14463" max="14463" width="11" style="89"/>
    <col min="14464" max="14464" width="11" style="89"/>
    <col min="14465" max="14465" width="11" style="89"/>
    <col min="14466" max="14466" width="11" style="89"/>
    <col min="14467" max="14467" width="11" style="89"/>
    <col min="14468" max="14468" width="11" style="89"/>
    <col min="14469" max="14469" width="11" style="89"/>
    <col min="14470" max="14470" width="11" style="89"/>
    <col min="14471" max="14471" width="11" style="89"/>
    <col min="14472" max="14472" width="11" style="89"/>
    <col min="14473" max="14473" width="11" style="89"/>
    <col min="14474" max="14474" width="11" style="89"/>
    <col min="14475" max="14475" width="11" style="89"/>
    <col min="14476" max="14476" width="11" style="89"/>
    <col min="14477" max="14477" width="11" style="89"/>
    <col min="14478" max="14478" width="11" style="89"/>
    <col min="14479" max="14479" width="11" style="89"/>
    <col min="14480" max="14480" width="11" style="89"/>
    <col min="14481" max="14481" width="11" style="89"/>
    <col min="14482" max="14482" width="11" style="89"/>
    <col min="14483" max="14483" width="11" style="89"/>
    <col min="14484" max="14484" width="11" style="89"/>
    <col min="14485" max="14485" width="11" style="89"/>
    <col min="14486" max="14486" width="11" style="89"/>
    <col min="14487" max="14487" width="11" style="89"/>
    <col min="14488" max="14488" width="11" style="89"/>
    <col min="14489" max="14489" width="11" style="89"/>
    <col min="14490" max="14490" width="11" style="89"/>
    <col min="14491" max="14491" width="11" style="89"/>
    <col min="14492" max="14492" width="11" style="89"/>
    <col min="14493" max="14493" width="11" style="89"/>
    <col min="14494" max="14494" width="11" style="89"/>
    <col min="14495" max="14495" width="11" style="89"/>
    <col min="14496" max="14496" width="11" style="89"/>
    <col min="14497" max="14497" width="11" style="89"/>
    <col min="14498" max="14498" width="11" style="89"/>
    <col min="14499" max="14499" width="11" style="89"/>
    <col min="14500" max="14500" width="11" style="89"/>
    <col min="14501" max="14501" width="11" style="89"/>
    <col min="14502" max="14502" width="11" style="89"/>
    <col min="14503" max="14503" width="11" style="89"/>
    <col min="14504" max="14504" width="11" style="89"/>
    <col min="14505" max="14505" width="11" style="89"/>
    <col min="14506" max="14506" width="11" style="89"/>
    <col min="14507" max="14507" width="11" style="89"/>
    <col min="14508" max="14508" width="11" style="89"/>
    <col min="14509" max="14509" width="11" style="89"/>
    <col min="14510" max="14510" width="11" style="89"/>
    <col min="14511" max="14511" width="11" style="89"/>
    <col min="14512" max="14512" width="11" style="89"/>
    <col min="14513" max="14513" width="11" style="89"/>
    <col min="14514" max="14514" width="11" style="89"/>
    <col min="14515" max="14515" width="11" style="89"/>
    <col min="14516" max="14516" width="11" style="89"/>
    <col min="14517" max="14517" width="11" style="89"/>
    <col min="14518" max="14518" width="11" style="89"/>
    <col min="14519" max="14519" width="11" style="89"/>
    <col min="14520" max="14520" width="11" style="89"/>
    <col min="14521" max="14521" width="11" style="89"/>
    <col min="14522" max="14522" width="11" style="89"/>
    <col min="14523" max="14523" width="11" style="89"/>
    <col min="14524" max="14524" width="11" style="89"/>
    <col min="14525" max="14525" width="11" style="89"/>
    <col min="14526" max="14526" width="11" style="89"/>
    <col min="14527" max="14527" width="11" style="89"/>
    <col min="14528" max="14528" width="11" style="89"/>
    <col min="14529" max="14529" width="11" style="89"/>
    <col min="14530" max="14530" width="11" style="89"/>
    <col min="14531" max="14531" width="11" style="89"/>
    <col min="14532" max="14532" width="11" style="89"/>
    <col min="14533" max="14533" width="11" style="89"/>
    <col min="14534" max="14534" width="11" style="89"/>
    <col min="14535" max="14535" width="11" style="89"/>
    <col min="14536" max="14536" width="11" style="89"/>
    <col min="14537" max="14537" width="11" style="89"/>
    <col min="14538" max="14538" width="11" style="89"/>
    <col min="14539" max="14539" width="11" style="89"/>
    <col min="14540" max="14540" width="11" style="89"/>
    <col min="14541" max="14541" width="11" style="89"/>
    <col min="14542" max="14542" width="11" style="89"/>
    <col min="14543" max="14543" width="11" style="89"/>
    <col min="14544" max="14544" width="11" style="89"/>
    <col min="14545" max="14545" width="11" style="89"/>
    <col min="14546" max="14546" width="11" style="89"/>
    <col min="14547" max="14547" width="11" style="89"/>
    <col min="14548" max="14548" width="11" style="89"/>
    <col min="14549" max="14549" width="11" style="89"/>
    <col min="14550" max="14550" width="11" style="89"/>
    <col min="14551" max="14551" width="11" style="89"/>
    <col min="14552" max="14552" width="11" style="89"/>
    <col min="14553" max="14553" width="11" style="89"/>
    <col min="14554" max="14554" width="11" style="89"/>
    <col min="14555" max="14555" width="11" style="89"/>
    <col min="14556" max="14556" width="11" style="89"/>
    <col min="14557" max="14557" width="11" style="89"/>
    <col min="14558" max="14558" width="11" style="89"/>
    <col min="14559" max="14559" width="11" style="89"/>
    <col min="14560" max="14560" width="11" style="89"/>
    <col min="14561" max="14561" width="11" style="89"/>
    <col min="14562" max="14562" width="11" style="89"/>
    <col min="14563" max="14563" width="11" style="89"/>
    <col min="14564" max="14564" width="11" style="89"/>
    <col min="14565" max="14565" width="11" style="89"/>
    <col min="14566" max="14566" width="11" style="89"/>
    <col min="14567" max="14567" width="11" style="89"/>
    <col min="14568" max="14568" width="11" style="89"/>
    <col min="14569" max="14569" width="11" style="89"/>
    <col min="14570" max="14570" width="11" style="89"/>
    <col min="14571" max="14571" width="11" style="89"/>
    <col min="14572" max="14572" width="11" style="89"/>
    <col min="14573" max="14573" width="11" style="89"/>
    <col min="14574" max="14574" width="11" style="89"/>
    <col min="14575" max="14575" width="11" style="89"/>
    <col min="14576" max="14576" width="11" style="89"/>
    <col min="14577" max="14577" width="11" style="89"/>
    <col min="14578" max="14578" width="11" style="89"/>
    <col min="14579" max="14579" width="11" style="89"/>
    <col min="14580" max="14580" width="11" style="89"/>
    <col min="14581" max="14581" width="11" style="89"/>
    <col min="14582" max="14582" width="11" style="89"/>
    <col min="14583" max="14583" width="11" style="89"/>
    <col min="14584" max="14584" width="11" style="89"/>
    <col min="14585" max="14585" width="11" style="89"/>
    <col min="14586" max="14586" width="11" style="89"/>
    <col min="14587" max="14587" width="11" style="89"/>
    <col min="14588" max="14588" width="11" style="89"/>
    <col min="14589" max="14589" width="11" style="89"/>
    <col min="14590" max="14590" width="11" style="89"/>
    <col min="14591" max="14591" width="11" style="89"/>
    <col min="14592" max="14592" width="11" style="89"/>
    <col min="14593" max="14593" width="10.140625" customWidth="true" style="89"/>
    <col min="14594" max="14594" width="10.140625" customWidth="true" style="89"/>
    <col min="14595" max="14595" width="10.140625" customWidth="true" style="89"/>
    <col min="14596" max="14596" width="10.140625" customWidth="true" style="89"/>
    <col min="14597" max="14597" width="10.140625" customWidth="true" style="89"/>
    <col min="14598" max="14598" width="10.140625" customWidth="true" style="89"/>
    <col min="14599" max="14599" width="10.140625" customWidth="true" style="89"/>
    <col min="14600" max="14600" width="10.140625" customWidth="true" style="89"/>
    <col min="14601" max="14601" width="10.140625" customWidth="true" style="89"/>
    <col min="14602" max="14602" width="11" style="89"/>
    <col min="14603" max="14603" width="11" style="89"/>
    <col min="14604" max="14604" width="11" style="89"/>
    <col min="14605" max="14605" width="11" style="89"/>
    <col min="14606" max="14606" width="11" style="89"/>
    <col min="14607" max="14607" width="11" style="89"/>
    <col min="14608" max="14608" width="11" style="89"/>
    <col min="14609" max="14609" width="11" style="89"/>
    <col min="14610" max="14610" width="11" style="89"/>
    <col min="14611" max="14611" width="11" style="89"/>
    <col min="14612" max="14612" width="11" style="89"/>
    <col min="14613" max="14613" width="11" style="89"/>
    <col min="14614" max="14614" width="11" style="89"/>
    <col min="14615" max="14615" width="11" style="89"/>
    <col min="14616" max="14616" width="11" style="89"/>
    <col min="14617" max="14617" width="11" style="89"/>
    <col min="14618" max="14618" width="11" style="89"/>
    <col min="14619" max="14619" width="11" style="89"/>
    <col min="14620" max="14620" width="11" style="89"/>
    <col min="14621" max="14621" width="11" style="89"/>
    <col min="14622" max="14622" width="11" style="89"/>
    <col min="14623" max="14623" width="11" style="89"/>
    <col min="14624" max="14624" width="11" style="89"/>
    <col min="14625" max="14625" width="11" style="89"/>
    <col min="14626" max="14626" width="11" style="89"/>
    <col min="14627" max="14627" width="11" style="89"/>
    <col min="14628" max="14628" width="11" style="89"/>
    <col min="14629" max="14629" width="11" style="89"/>
    <col min="14630" max="14630" width="11" style="89"/>
    <col min="14631" max="14631" width="11" style="89"/>
    <col min="14632" max="14632" width="11" style="89"/>
    <col min="14633" max="14633" width="11" style="89"/>
    <col min="14634" max="14634" width="11" style="89"/>
    <col min="14635" max="14635" width="11" style="89"/>
    <col min="14636" max="14636" width="11" style="89"/>
    <col min="14637" max="14637" width="11" style="89"/>
    <col min="14638" max="14638" width="11" style="89"/>
    <col min="14639" max="14639" width="11" style="89"/>
    <col min="14640" max="14640" width="11" style="89"/>
    <col min="14641" max="14641" width="11" style="89"/>
    <col min="14642" max="14642" width="11" style="89"/>
    <col min="14643" max="14643" width="11" style="89"/>
    <col min="14644" max="14644" width="11" style="89"/>
    <col min="14645" max="14645" width="11" style="89"/>
    <col min="14646" max="14646" width="11" style="89"/>
    <col min="14647" max="14647" width="11" style="89"/>
    <col min="14648" max="14648" width="11" style="89"/>
    <col min="14649" max="14649" width="11" style="89"/>
    <col min="14650" max="14650" width="11" style="89"/>
    <col min="14651" max="14651" width="11" style="89"/>
    <col min="14652" max="14652" width="11" style="89"/>
    <col min="14653" max="14653" width="11" style="89"/>
    <col min="14654" max="14654" width="11" style="89"/>
    <col min="14655" max="14655" width="11" style="89"/>
    <col min="14656" max="14656" width="11" style="89"/>
    <col min="14657" max="14657" width="11" style="89"/>
    <col min="14658" max="14658" width="11" style="89"/>
    <col min="14659" max="14659" width="11" style="89"/>
    <col min="14660" max="14660" width="11" style="89"/>
    <col min="14661" max="14661" width="11" style="89"/>
    <col min="14662" max="14662" width="11" style="89"/>
    <col min="14663" max="14663" width="11" style="89"/>
    <col min="14664" max="14664" width="11" style="89"/>
    <col min="14665" max="14665" width="11" style="89"/>
    <col min="14666" max="14666" width="11" style="89"/>
    <col min="14667" max="14667" width="11" style="89"/>
    <col min="14668" max="14668" width="11" style="89"/>
    <col min="14669" max="14669" width="11" style="89"/>
    <col min="14670" max="14670" width="11" style="89"/>
    <col min="14671" max="14671" width="11" style="89"/>
    <col min="14672" max="14672" width="11" style="89"/>
    <col min="14673" max="14673" width="11" style="89"/>
    <col min="14674" max="14674" width="11" style="89"/>
    <col min="14675" max="14675" width="11" style="89"/>
    <col min="14676" max="14676" width="11" style="89"/>
    <col min="14677" max="14677" width="11" style="89"/>
    <col min="14678" max="14678" width="11" style="89"/>
    <col min="14679" max="14679" width="11" style="89"/>
    <col min="14680" max="14680" width="11" style="89"/>
    <col min="14681" max="14681" width="11" style="89"/>
    <col min="14682" max="14682" width="11" style="89"/>
    <col min="14683" max="14683" width="11" style="89"/>
    <col min="14684" max="14684" width="11" style="89"/>
    <col min="14685" max="14685" width="11" style="89"/>
    <col min="14686" max="14686" width="11" style="89"/>
    <col min="14687" max="14687" width="11" style="89"/>
    <col min="14688" max="14688" width="11" style="89"/>
    <col min="14689" max="14689" width="11" style="89"/>
    <col min="14690" max="14690" width="11" style="89"/>
    <col min="14691" max="14691" width="11" style="89"/>
    <col min="14692" max="14692" width="11" style="89"/>
    <col min="14693" max="14693" width="11" style="89"/>
    <col min="14694" max="14694" width="11" style="89"/>
    <col min="14695" max="14695" width="11" style="89"/>
    <col min="14696" max="14696" width="11" style="89"/>
    <col min="14697" max="14697" width="11" style="89"/>
    <col min="14698" max="14698" width="11" style="89"/>
    <col min="14699" max="14699" width="11" style="89"/>
    <col min="14700" max="14700" width="11" style="89"/>
    <col min="14701" max="14701" width="11" style="89"/>
    <col min="14702" max="14702" width="11" style="89"/>
    <col min="14703" max="14703" width="11" style="89"/>
    <col min="14704" max="14704" width="11" style="89"/>
    <col min="14705" max="14705" width="11" style="89"/>
    <col min="14706" max="14706" width="11" style="89"/>
    <col min="14707" max="14707" width="11" style="89"/>
    <col min="14708" max="14708" width="11" style="89"/>
    <col min="14709" max="14709" width="11" style="89"/>
    <col min="14710" max="14710" width="11" style="89"/>
    <col min="14711" max="14711" width="11" style="89"/>
    <col min="14712" max="14712" width="11" style="89"/>
    <col min="14713" max="14713" width="11" style="89"/>
    <col min="14714" max="14714" width="11" style="89"/>
    <col min="14715" max="14715" width="11" style="89"/>
    <col min="14716" max="14716" width="11" style="89"/>
    <col min="14717" max="14717" width="11" style="89"/>
    <col min="14718" max="14718" width="11" style="89"/>
    <col min="14719" max="14719" width="11" style="89"/>
    <col min="14720" max="14720" width="11" style="89"/>
    <col min="14721" max="14721" width="11" style="89"/>
    <col min="14722" max="14722" width="11" style="89"/>
    <col min="14723" max="14723" width="11" style="89"/>
    <col min="14724" max="14724" width="11" style="89"/>
    <col min="14725" max="14725" width="11" style="89"/>
    <col min="14726" max="14726" width="11" style="89"/>
    <col min="14727" max="14727" width="11" style="89"/>
    <col min="14728" max="14728" width="11" style="89"/>
    <col min="14729" max="14729" width="11" style="89"/>
    <col min="14730" max="14730" width="11" style="89"/>
    <col min="14731" max="14731" width="11" style="89"/>
    <col min="14732" max="14732" width="11" style="89"/>
    <col min="14733" max="14733" width="11" style="89"/>
    <col min="14734" max="14734" width="11" style="89"/>
    <col min="14735" max="14735" width="11" style="89"/>
    <col min="14736" max="14736" width="11" style="89"/>
    <col min="14737" max="14737" width="11" style="89"/>
    <col min="14738" max="14738" width="11" style="89"/>
    <col min="14739" max="14739" width="11" style="89"/>
    <col min="14740" max="14740" width="11" style="89"/>
    <col min="14741" max="14741" width="11" style="89"/>
    <col min="14742" max="14742" width="11" style="89"/>
    <col min="14743" max="14743" width="11" style="89"/>
    <col min="14744" max="14744" width="11" style="89"/>
    <col min="14745" max="14745" width="11" style="89"/>
    <col min="14746" max="14746" width="11" style="89"/>
    <col min="14747" max="14747" width="11" style="89"/>
    <col min="14748" max="14748" width="11" style="89"/>
    <col min="14749" max="14749" width="11" style="89"/>
    <col min="14750" max="14750" width="11" style="89"/>
    <col min="14751" max="14751" width="11" style="89"/>
    <col min="14752" max="14752" width="11" style="89"/>
    <col min="14753" max="14753" width="11" style="89"/>
    <col min="14754" max="14754" width="11" style="89"/>
    <col min="14755" max="14755" width="11" style="89"/>
    <col min="14756" max="14756" width="11" style="89"/>
    <col min="14757" max="14757" width="11" style="89"/>
    <col min="14758" max="14758" width="11" style="89"/>
    <col min="14759" max="14759" width="11" style="89"/>
    <col min="14760" max="14760" width="11" style="89"/>
    <col min="14761" max="14761" width="11" style="89"/>
    <col min="14762" max="14762" width="11" style="89"/>
    <col min="14763" max="14763" width="11" style="89"/>
    <col min="14764" max="14764" width="11" style="89"/>
    <col min="14765" max="14765" width="11" style="89"/>
    <col min="14766" max="14766" width="11" style="89"/>
    <col min="14767" max="14767" width="11" style="89"/>
    <col min="14768" max="14768" width="11" style="89"/>
    <col min="14769" max="14769" width="11" style="89"/>
    <col min="14770" max="14770" width="11" style="89"/>
    <col min="14771" max="14771" width="11" style="89"/>
    <col min="14772" max="14772" width="11" style="89"/>
    <col min="14773" max="14773" width="11" style="89"/>
    <col min="14774" max="14774" width="11" style="89"/>
    <col min="14775" max="14775" width="11" style="89"/>
    <col min="14776" max="14776" width="11" style="89"/>
    <col min="14777" max="14777" width="11" style="89"/>
    <col min="14778" max="14778" width="11" style="89"/>
    <col min="14779" max="14779" width="11" style="89"/>
    <col min="14780" max="14780" width="11" style="89"/>
    <col min="14781" max="14781" width="11" style="89"/>
    <col min="14782" max="14782" width="11" style="89"/>
    <col min="14783" max="14783" width="11" style="89"/>
    <col min="14784" max="14784" width="11" style="89"/>
    <col min="14785" max="14785" width="11" style="89"/>
    <col min="14786" max="14786" width="11" style="89"/>
    <col min="14787" max="14787" width="11" style="89"/>
    <col min="14788" max="14788" width="11" style="89"/>
    <col min="14789" max="14789" width="11" style="89"/>
    <col min="14790" max="14790" width="11" style="89"/>
    <col min="14791" max="14791" width="11" style="89"/>
    <col min="14792" max="14792" width="11" style="89"/>
    <col min="14793" max="14793" width="11" style="89"/>
    <col min="14794" max="14794" width="11" style="89"/>
    <col min="14795" max="14795" width="11" style="89"/>
    <col min="14796" max="14796" width="11" style="89"/>
    <col min="14797" max="14797" width="11" style="89"/>
    <col min="14798" max="14798" width="11" style="89"/>
    <col min="14799" max="14799" width="11" style="89"/>
    <col min="14800" max="14800" width="11" style="89"/>
    <col min="14801" max="14801" width="11" style="89"/>
    <col min="14802" max="14802" width="11" style="89"/>
    <col min="14803" max="14803" width="11" style="89"/>
    <col min="14804" max="14804" width="11" style="89"/>
    <col min="14805" max="14805" width="11" style="89"/>
    <col min="14806" max="14806" width="11" style="89"/>
    <col min="14807" max="14807" width="11" style="89"/>
    <col min="14808" max="14808" width="11" style="89"/>
    <col min="14809" max="14809" width="11" style="89"/>
    <col min="14810" max="14810" width="11" style="89"/>
    <col min="14811" max="14811" width="11" style="89"/>
    <col min="14812" max="14812" width="11" style="89"/>
    <col min="14813" max="14813" width="11" style="89"/>
    <col min="14814" max="14814" width="11" style="89"/>
    <col min="14815" max="14815" width="11" style="89"/>
    <col min="14816" max="14816" width="11" style="89"/>
    <col min="14817" max="14817" width="11" style="89"/>
    <col min="14818" max="14818" width="11" style="89"/>
    <col min="14819" max="14819" width="11" style="89"/>
    <col min="14820" max="14820" width="11" style="89"/>
    <col min="14821" max="14821" width="11" style="89"/>
    <col min="14822" max="14822" width="11" style="89"/>
    <col min="14823" max="14823" width="11" style="89"/>
    <col min="14824" max="14824" width="11" style="89"/>
    <col min="14825" max="14825" width="11" style="89"/>
    <col min="14826" max="14826" width="11" style="89"/>
    <col min="14827" max="14827" width="11" style="89"/>
    <col min="14828" max="14828" width="11" style="89"/>
    <col min="14829" max="14829" width="11" style="89"/>
    <col min="14830" max="14830" width="11" style="89"/>
    <col min="14831" max="14831" width="11" style="89"/>
    <col min="14832" max="14832" width="11" style="89"/>
    <col min="14833" max="14833" width="11" style="89"/>
    <col min="14834" max="14834" width="11" style="89"/>
    <col min="14835" max="14835" width="11" style="89"/>
    <col min="14836" max="14836" width="11" style="89"/>
    <col min="14837" max="14837" width="11" style="89"/>
    <col min="14838" max="14838" width="11" style="89"/>
    <col min="14839" max="14839" width="11" style="89"/>
    <col min="14840" max="14840" width="11" style="89"/>
    <col min="14841" max="14841" width="11" style="89"/>
    <col min="14842" max="14842" width="11" style="89"/>
    <col min="14843" max="14843" width="11" style="89"/>
    <col min="14844" max="14844" width="11" style="89"/>
    <col min="14845" max="14845" width="11" style="89"/>
    <col min="14846" max="14846" width="11" style="89"/>
    <col min="14847" max="14847" width="11" style="89"/>
    <col min="14848" max="14848" width="11" style="89"/>
    <col min="14849" max="14849" width="10.140625" customWidth="true" style="89"/>
    <col min="14850" max="14850" width="10.140625" customWidth="true" style="89"/>
    <col min="14851" max="14851" width="10.140625" customWidth="true" style="89"/>
    <col min="14852" max="14852" width="10.140625" customWidth="true" style="89"/>
    <col min="14853" max="14853" width="10.140625" customWidth="true" style="89"/>
    <col min="14854" max="14854" width="10.140625" customWidth="true" style="89"/>
    <col min="14855" max="14855" width="10.140625" customWidth="true" style="89"/>
    <col min="14856" max="14856" width="10.140625" customWidth="true" style="89"/>
    <col min="14857" max="14857" width="10.140625" customWidth="true" style="89"/>
    <col min="14858" max="14858" width="11" style="89"/>
    <col min="14859" max="14859" width="11" style="89"/>
    <col min="14860" max="14860" width="11" style="89"/>
    <col min="14861" max="14861" width="11" style="89"/>
    <col min="14862" max="14862" width="11" style="89"/>
    <col min="14863" max="14863" width="11" style="89"/>
    <col min="14864" max="14864" width="11" style="89"/>
    <col min="14865" max="14865" width="11" style="89"/>
    <col min="14866" max="14866" width="11" style="89"/>
    <col min="14867" max="14867" width="11" style="89"/>
    <col min="14868" max="14868" width="11" style="89"/>
    <col min="14869" max="14869" width="11" style="89"/>
    <col min="14870" max="14870" width="11" style="89"/>
    <col min="14871" max="14871" width="11" style="89"/>
    <col min="14872" max="14872" width="11" style="89"/>
    <col min="14873" max="14873" width="11" style="89"/>
    <col min="14874" max="14874" width="11" style="89"/>
    <col min="14875" max="14875" width="11" style="89"/>
    <col min="14876" max="14876" width="11" style="89"/>
    <col min="14877" max="14877" width="11" style="89"/>
    <col min="14878" max="14878" width="11" style="89"/>
    <col min="14879" max="14879" width="11" style="89"/>
    <col min="14880" max="14880" width="11" style="89"/>
    <col min="14881" max="14881" width="11" style="89"/>
    <col min="14882" max="14882" width="11" style="89"/>
    <col min="14883" max="14883" width="11" style="89"/>
    <col min="14884" max="14884" width="11" style="89"/>
    <col min="14885" max="14885" width="11" style="89"/>
    <col min="14886" max="14886" width="11" style="89"/>
    <col min="14887" max="14887" width="11" style="89"/>
    <col min="14888" max="14888" width="11" style="89"/>
    <col min="14889" max="14889" width="11" style="89"/>
    <col min="14890" max="14890" width="11" style="89"/>
    <col min="14891" max="14891" width="11" style="89"/>
    <col min="14892" max="14892" width="11" style="89"/>
    <col min="14893" max="14893" width="11" style="89"/>
    <col min="14894" max="14894" width="11" style="89"/>
    <col min="14895" max="14895" width="11" style="89"/>
    <col min="14896" max="14896" width="11" style="89"/>
    <col min="14897" max="14897" width="11" style="89"/>
    <col min="14898" max="14898" width="11" style="89"/>
    <col min="14899" max="14899" width="11" style="89"/>
    <col min="14900" max="14900" width="11" style="89"/>
    <col min="14901" max="14901" width="11" style="89"/>
    <col min="14902" max="14902" width="11" style="89"/>
    <col min="14903" max="14903" width="11" style="89"/>
    <col min="14904" max="14904" width="11" style="89"/>
    <col min="14905" max="14905" width="11" style="89"/>
    <col min="14906" max="14906" width="11" style="89"/>
    <col min="14907" max="14907" width="11" style="89"/>
    <col min="14908" max="14908" width="11" style="89"/>
    <col min="14909" max="14909" width="11" style="89"/>
    <col min="14910" max="14910" width="11" style="89"/>
    <col min="14911" max="14911" width="11" style="89"/>
    <col min="14912" max="14912" width="11" style="89"/>
    <col min="14913" max="14913" width="11" style="89"/>
    <col min="14914" max="14914" width="11" style="89"/>
    <col min="14915" max="14915" width="11" style="89"/>
    <col min="14916" max="14916" width="11" style="89"/>
    <col min="14917" max="14917" width="11" style="89"/>
    <col min="14918" max="14918" width="11" style="89"/>
    <col min="14919" max="14919" width="11" style="89"/>
    <col min="14920" max="14920" width="11" style="89"/>
    <col min="14921" max="14921" width="11" style="89"/>
    <col min="14922" max="14922" width="11" style="89"/>
    <col min="14923" max="14923" width="11" style="89"/>
    <col min="14924" max="14924" width="11" style="89"/>
    <col min="14925" max="14925" width="11" style="89"/>
    <col min="14926" max="14926" width="11" style="89"/>
    <col min="14927" max="14927" width="11" style="89"/>
    <col min="14928" max="14928" width="11" style="89"/>
    <col min="14929" max="14929" width="11" style="89"/>
    <col min="14930" max="14930" width="11" style="89"/>
    <col min="14931" max="14931" width="11" style="89"/>
    <col min="14932" max="14932" width="11" style="89"/>
    <col min="14933" max="14933" width="11" style="89"/>
    <col min="14934" max="14934" width="11" style="89"/>
    <col min="14935" max="14935" width="11" style="89"/>
    <col min="14936" max="14936" width="11" style="89"/>
    <col min="14937" max="14937" width="11" style="89"/>
    <col min="14938" max="14938" width="11" style="89"/>
    <col min="14939" max="14939" width="11" style="89"/>
    <col min="14940" max="14940" width="11" style="89"/>
    <col min="14941" max="14941" width="11" style="89"/>
    <col min="14942" max="14942" width="11" style="89"/>
    <col min="14943" max="14943" width="11" style="89"/>
    <col min="14944" max="14944" width="11" style="89"/>
    <col min="14945" max="14945" width="11" style="89"/>
    <col min="14946" max="14946" width="11" style="89"/>
    <col min="14947" max="14947" width="11" style="89"/>
    <col min="14948" max="14948" width="11" style="89"/>
    <col min="14949" max="14949" width="11" style="89"/>
    <col min="14950" max="14950" width="11" style="89"/>
    <col min="14951" max="14951" width="11" style="89"/>
    <col min="14952" max="14952" width="11" style="89"/>
    <col min="14953" max="14953" width="11" style="89"/>
    <col min="14954" max="14954" width="11" style="89"/>
    <col min="14955" max="14955" width="11" style="89"/>
    <col min="14956" max="14956" width="11" style="89"/>
    <col min="14957" max="14957" width="11" style="89"/>
    <col min="14958" max="14958" width="11" style="89"/>
    <col min="14959" max="14959" width="11" style="89"/>
    <col min="14960" max="14960" width="11" style="89"/>
    <col min="14961" max="14961" width="11" style="89"/>
    <col min="14962" max="14962" width="11" style="89"/>
    <col min="14963" max="14963" width="11" style="89"/>
    <col min="14964" max="14964" width="11" style="89"/>
    <col min="14965" max="14965" width="11" style="89"/>
    <col min="14966" max="14966" width="11" style="89"/>
    <col min="14967" max="14967" width="11" style="89"/>
    <col min="14968" max="14968" width="11" style="89"/>
    <col min="14969" max="14969" width="11" style="89"/>
    <col min="14970" max="14970" width="11" style="89"/>
    <col min="14971" max="14971" width="11" style="89"/>
    <col min="14972" max="14972" width="11" style="89"/>
    <col min="14973" max="14973" width="11" style="89"/>
    <col min="14974" max="14974" width="11" style="89"/>
    <col min="14975" max="14975" width="11" style="89"/>
    <col min="14976" max="14976" width="11" style="89"/>
    <col min="14977" max="14977" width="11" style="89"/>
    <col min="14978" max="14978" width="11" style="89"/>
    <col min="14979" max="14979" width="11" style="89"/>
    <col min="14980" max="14980" width="11" style="89"/>
    <col min="14981" max="14981" width="11" style="89"/>
    <col min="14982" max="14982" width="11" style="89"/>
    <col min="14983" max="14983" width="11" style="89"/>
    <col min="14984" max="14984" width="11" style="89"/>
    <col min="14985" max="14985" width="11" style="89"/>
    <col min="14986" max="14986" width="11" style="89"/>
    <col min="14987" max="14987" width="11" style="89"/>
    <col min="14988" max="14988" width="11" style="89"/>
    <col min="14989" max="14989" width="11" style="89"/>
    <col min="14990" max="14990" width="11" style="89"/>
    <col min="14991" max="14991" width="11" style="89"/>
    <col min="14992" max="14992" width="11" style="89"/>
    <col min="14993" max="14993" width="11" style="89"/>
    <col min="14994" max="14994" width="11" style="89"/>
    <col min="14995" max="14995" width="11" style="89"/>
    <col min="14996" max="14996" width="11" style="89"/>
    <col min="14997" max="14997" width="11" style="89"/>
    <col min="14998" max="14998" width="11" style="89"/>
    <col min="14999" max="14999" width="11" style="89"/>
    <col min="15000" max="15000" width="11" style="89"/>
    <col min="15001" max="15001" width="11" style="89"/>
    <col min="15002" max="15002" width="11" style="89"/>
    <col min="15003" max="15003" width="11" style="89"/>
    <col min="15004" max="15004" width="11" style="89"/>
    <col min="15005" max="15005" width="11" style="89"/>
    <col min="15006" max="15006" width="11" style="89"/>
    <col min="15007" max="15007" width="11" style="89"/>
    <col min="15008" max="15008" width="11" style="89"/>
    <col min="15009" max="15009" width="11" style="89"/>
    <col min="15010" max="15010" width="11" style="89"/>
    <col min="15011" max="15011" width="11" style="89"/>
    <col min="15012" max="15012" width="11" style="89"/>
    <col min="15013" max="15013" width="11" style="89"/>
    <col min="15014" max="15014" width="11" style="89"/>
    <col min="15015" max="15015" width="11" style="89"/>
    <col min="15016" max="15016" width="11" style="89"/>
    <col min="15017" max="15017" width="11" style="89"/>
    <col min="15018" max="15018" width="11" style="89"/>
    <col min="15019" max="15019" width="11" style="89"/>
    <col min="15020" max="15020" width="11" style="89"/>
    <col min="15021" max="15021" width="11" style="89"/>
    <col min="15022" max="15022" width="11" style="89"/>
    <col min="15023" max="15023" width="11" style="89"/>
    <col min="15024" max="15024" width="11" style="89"/>
    <col min="15025" max="15025" width="11" style="89"/>
    <col min="15026" max="15026" width="11" style="89"/>
    <col min="15027" max="15027" width="11" style="89"/>
    <col min="15028" max="15028" width="11" style="89"/>
    <col min="15029" max="15029" width="11" style="89"/>
    <col min="15030" max="15030" width="11" style="89"/>
    <col min="15031" max="15031" width="11" style="89"/>
    <col min="15032" max="15032" width="11" style="89"/>
    <col min="15033" max="15033" width="11" style="89"/>
    <col min="15034" max="15034" width="11" style="89"/>
    <col min="15035" max="15035" width="11" style="89"/>
    <col min="15036" max="15036" width="11" style="89"/>
    <col min="15037" max="15037" width="11" style="89"/>
    <col min="15038" max="15038" width="11" style="89"/>
    <col min="15039" max="15039" width="11" style="89"/>
    <col min="15040" max="15040" width="11" style="89"/>
    <col min="15041" max="15041" width="11" style="89"/>
    <col min="15042" max="15042" width="11" style="89"/>
    <col min="15043" max="15043" width="11" style="89"/>
    <col min="15044" max="15044" width="11" style="89"/>
    <col min="15045" max="15045" width="11" style="89"/>
    <col min="15046" max="15046" width="11" style="89"/>
    <col min="15047" max="15047" width="11" style="89"/>
    <col min="15048" max="15048" width="11" style="89"/>
    <col min="15049" max="15049" width="11" style="89"/>
    <col min="15050" max="15050" width="11" style="89"/>
    <col min="15051" max="15051" width="11" style="89"/>
    <col min="15052" max="15052" width="11" style="89"/>
    <col min="15053" max="15053" width="11" style="89"/>
    <col min="15054" max="15054" width="11" style="89"/>
    <col min="15055" max="15055" width="11" style="89"/>
    <col min="15056" max="15056" width="11" style="89"/>
    <col min="15057" max="15057" width="11" style="89"/>
    <col min="15058" max="15058" width="11" style="89"/>
    <col min="15059" max="15059" width="11" style="89"/>
    <col min="15060" max="15060" width="11" style="89"/>
    <col min="15061" max="15061" width="11" style="89"/>
    <col min="15062" max="15062" width="11" style="89"/>
    <col min="15063" max="15063" width="11" style="89"/>
    <col min="15064" max="15064" width="11" style="89"/>
    <col min="15065" max="15065" width="11" style="89"/>
    <col min="15066" max="15066" width="11" style="89"/>
    <col min="15067" max="15067" width="11" style="89"/>
    <col min="15068" max="15068" width="11" style="89"/>
    <col min="15069" max="15069" width="11" style="89"/>
    <col min="15070" max="15070" width="11" style="89"/>
    <col min="15071" max="15071" width="11" style="89"/>
    <col min="15072" max="15072" width="11" style="89"/>
    <col min="15073" max="15073" width="11" style="89"/>
    <col min="15074" max="15074" width="11" style="89"/>
    <col min="15075" max="15075" width="11" style="89"/>
    <col min="15076" max="15076" width="11" style="89"/>
    <col min="15077" max="15077" width="11" style="89"/>
    <col min="15078" max="15078" width="11" style="89"/>
    <col min="15079" max="15079" width="11" style="89"/>
    <col min="15080" max="15080" width="11" style="89"/>
    <col min="15081" max="15081" width="11" style="89"/>
    <col min="15082" max="15082" width="11" style="89"/>
    <col min="15083" max="15083" width="11" style="89"/>
    <col min="15084" max="15084" width="11" style="89"/>
    <col min="15085" max="15085" width="11" style="89"/>
    <col min="15086" max="15086" width="11" style="89"/>
    <col min="15087" max="15087" width="11" style="89"/>
    <col min="15088" max="15088" width="11" style="89"/>
    <col min="15089" max="15089" width="11" style="89"/>
    <col min="15090" max="15090" width="11" style="89"/>
    <col min="15091" max="15091" width="11" style="89"/>
    <col min="15092" max="15092" width="11" style="89"/>
    <col min="15093" max="15093" width="11" style="89"/>
    <col min="15094" max="15094" width="11" style="89"/>
    <col min="15095" max="15095" width="11" style="89"/>
    <col min="15096" max="15096" width="11" style="89"/>
    <col min="15097" max="15097" width="11" style="89"/>
    <col min="15098" max="15098" width="11" style="89"/>
    <col min="15099" max="15099" width="11" style="89"/>
    <col min="15100" max="15100" width="11" style="89"/>
    <col min="15101" max="15101" width="11" style="89"/>
    <col min="15102" max="15102" width="11" style="89"/>
    <col min="15103" max="15103" width="11" style="89"/>
    <col min="15104" max="15104" width="11" style="89"/>
    <col min="15105" max="15105" width="10.140625" customWidth="true" style="89"/>
    <col min="15106" max="15106" width="10.140625" customWidth="true" style="89"/>
    <col min="15107" max="15107" width="10.140625" customWidth="true" style="89"/>
    <col min="15108" max="15108" width="10.140625" customWidth="true" style="89"/>
    <col min="15109" max="15109" width="10.140625" customWidth="true" style="89"/>
    <col min="15110" max="15110" width="10.140625" customWidth="true" style="89"/>
    <col min="15111" max="15111" width="10.140625" customWidth="true" style="89"/>
    <col min="15112" max="15112" width="10.140625" customWidth="true" style="89"/>
    <col min="15113" max="15113" width="10.140625" customWidth="true" style="89"/>
    <col min="15114" max="15114" width="11" style="89"/>
    <col min="15115" max="15115" width="11" style="89"/>
    <col min="15116" max="15116" width="11" style="89"/>
    <col min="15117" max="15117" width="11" style="89"/>
    <col min="15118" max="15118" width="11" style="89"/>
    <col min="15119" max="15119" width="11" style="89"/>
    <col min="15120" max="15120" width="11" style="89"/>
    <col min="15121" max="15121" width="11" style="89"/>
    <col min="15122" max="15122" width="11" style="89"/>
    <col min="15123" max="15123" width="11" style="89"/>
    <col min="15124" max="15124" width="11" style="89"/>
    <col min="15125" max="15125" width="11" style="89"/>
    <col min="15126" max="15126" width="11" style="89"/>
    <col min="15127" max="15127" width="11" style="89"/>
    <col min="15128" max="15128" width="11" style="89"/>
    <col min="15129" max="15129" width="11" style="89"/>
    <col min="15130" max="15130" width="11" style="89"/>
    <col min="15131" max="15131" width="11" style="89"/>
    <col min="15132" max="15132" width="11" style="89"/>
    <col min="15133" max="15133" width="11" style="89"/>
    <col min="15134" max="15134" width="11" style="89"/>
    <col min="15135" max="15135" width="11" style="89"/>
    <col min="15136" max="15136" width="11" style="89"/>
    <col min="15137" max="15137" width="11" style="89"/>
    <col min="15138" max="15138" width="11" style="89"/>
    <col min="15139" max="15139" width="11" style="89"/>
    <col min="15140" max="15140" width="11" style="89"/>
    <col min="15141" max="15141" width="11" style="89"/>
    <col min="15142" max="15142" width="11" style="89"/>
    <col min="15143" max="15143" width="11" style="89"/>
    <col min="15144" max="15144" width="11" style="89"/>
    <col min="15145" max="15145" width="11" style="89"/>
    <col min="15146" max="15146" width="11" style="89"/>
    <col min="15147" max="15147" width="11" style="89"/>
    <col min="15148" max="15148" width="11" style="89"/>
    <col min="15149" max="15149" width="11" style="89"/>
    <col min="15150" max="15150" width="11" style="89"/>
    <col min="15151" max="15151" width="11" style="89"/>
    <col min="15152" max="15152" width="11" style="89"/>
    <col min="15153" max="15153" width="11" style="89"/>
    <col min="15154" max="15154" width="11" style="89"/>
    <col min="15155" max="15155" width="11" style="89"/>
    <col min="15156" max="15156" width="11" style="89"/>
    <col min="15157" max="15157" width="11" style="89"/>
    <col min="15158" max="15158" width="11" style="89"/>
    <col min="15159" max="15159" width="11" style="89"/>
    <col min="15160" max="15160" width="11" style="89"/>
    <col min="15161" max="15161" width="11" style="89"/>
    <col min="15162" max="15162" width="11" style="89"/>
    <col min="15163" max="15163" width="11" style="89"/>
    <col min="15164" max="15164" width="11" style="89"/>
    <col min="15165" max="15165" width="11" style="89"/>
    <col min="15166" max="15166" width="11" style="89"/>
    <col min="15167" max="15167" width="11" style="89"/>
    <col min="15168" max="15168" width="11" style="89"/>
    <col min="15169" max="15169" width="11" style="89"/>
    <col min="15170" max="15170" width="11" style="89"/>
    <col min="15171" max="15171" width="11" style="89"/>
    <col min="15172" max="15172" width="11" style="89"/>
    <col min="15173" max="15173" width="11" style="89"/>
    <col min="15174" max="15174" width="11" style="89"/>
    <col min="15175" max="15175" width="11" style="89"/>
    <col min="15176" max="15176" width="11" style="89"/>
    <col min="15177" max="15177" width="11" style="89"/>
    <col min="15178" max="15178" width="11" style="89"/>
    <col min="15179" max="15179" width="11" style="89"/>
    <col min="15180" max="15180" width="11" style="89"/>
    <col min="15181" max="15181" width="11" style="89"/>
    <col min="15182" max="15182" width="11" style="89"/>
    <col min="15183" max="15183" width="11" style="89"/>
    <col min="15184" max="15184" width="11" style="89"/>
    <col min="15185" max="15185" width="11" style="89"/>
    <col min="15186" max="15186" width="11" style="89"/>
    <col min="15187" max="15187" width="11" style="89"/>
    <col min="15188" max="15188" width="11" style="89"/>
    <col min="15189" max="15189" width="11" style="89"/>
    <col min="15190" max="15190" width="11" style="89"/>
    <col min="15191" max="15191" width="11" style="89"/>
    <col min="15192" max="15192" width="11" style="89"/>
    <col min="15193" max="15193" width="11" style="89"/>
    <col min="15194" max="15194" width="11" style="89"/>
    <col min="15195" max="15195" width="11" style="89"/>
    <col min="15196" max="15196" width="11" style="89"/>
    <col min="15197" max="15197" width="11" style="89"/>
    <col min="15198" max="15198" width="11" style="89"/>
    <col min="15199" max="15199" width="11" style="89"/>
    <col min="15200" max="15200" width="11" style="89"/>
    <col min="15201" max="15201" width="11" style="89"/>
    <col min="15202" max="15202" width="11" style="89"/>
    <col min="15203" max="15203" width="11" style="89"/>
    <col min="15204" max="15204" width="11" style="89"/>
    <col min="15205" max="15205" width="11" style="89"/>
    <col min="15206" max="15206" width="11" style="89"/>
    <col min="15207" max="15207" width="11" style="89"/>
    <col min="15208" max="15208" width="11" style="89"/>
    <col min="15209" max="15209" width="11" style="89"/>
    <col min="15210" max="15210" width="11" style="89"/>
    <col min="15211" max="15211" width="11" style="89"/>
    <col min="15212" max="15212" width="11" style="89"/>
    <col min="15213" max="15213" width="11" style="89"/>
    <col min="15214" max="15214" width="11" style="89"/>
    <col min="15215" max="15215" width="11" style="89"/>
    <col min="15216" max="15216" width="11" style="89"/>
    <col min="15217" max="15217" width="11" style="89"/>
    <col min="15218" max="15218" width="11" style="89"/>
    <col min="15219" max="15219" width="11" style="89"/>
    <col min="15220" max="15220" width="11" style="89"/>
    <col min="15221" max="15221" width="11" style="89"/>
    <col min="15222" max="15222" width="11" style="89"/>
    <col min="15223" max="15223" width="11" style="89"/>
    <col min="15224" max="15224" width="11" style="89"/>
    <col min="15225" max="15225" width="11" style="89"/>
    <col min="15226" max="15226" width="11" style="89"/>
    <col min="15227" max="15227" width="11" style="89"/>
    <col min="15228" max="15228" width="11" style="89"/>
    <col min="15229" max="15229" width="11" style="89"/>
    <col min="15230" max="15230" width="11" style="89"/>
    <col min="15231" max="15231" width="11" style="89"/>
    <col min="15232" max="15232" width="11" style="89"/>
    <col min="15233" max="15233" width="11" style="89"/>
    <col min="15234" max="15234" width="11" style="89"/>
    <col min="15235" max="15235" width="11" style="89"/>
    <col min="15236" max="15236" width="11" style="89"/>
    <col min="15237" max="15237" width="11" style="89"/>
    <col min="15238" max="15238" width="11" style="89"/>
    <col min="15239" max="15239" width="11" style="89"/>
    <col min="15240" max="15240" width="11" style="89"/>
    <col min="15241" max="15241" width="11" style="89"/>
    <col min="15242" max="15242" width="11" style="89"/>
    <col min="15243" max="15243" width="11" style="89"/>
    <col min="15244" max="15244" width="11" style="89"/>
    <col min="15245" max="15245" width="11" style="89"/>
    <col min="15246" max="15246" width="11" style="89"/>
    <col min="15247" max="15247" width="11" style="89"/>
    <col min="15248" max="15248" width="11" style="89"/>
    <col min="15249" max="15249" width="11" style="89"/>
    <col min="15250" max="15250" width="11" style="89"/>
    <col min="15251" max="15251" width="11" style="89"/>
    <col min="15252" max="15252" width="11" style="89"/>
    <col min="15253" max="15253" width="11" style="89"/>
    <col min="15254" max="15254" width="11" style="89"/>
    <col min="15255" max="15255" width="11" style="89"/>
    <col min="15256" max="15256" width="11" style="89"/>
    <col min="15257" max="15257" width="11" style="89"/>
    <col min="15258" max="15258" width="11" style="89"/>
    <col min="15259" max="15259" width="11" style="89"/>
    <col min="15260" max="15260" width="11" style="89"/>
    <col min="15261" max="15261" width="11" style="89"/>
    <col min="15262" max="15262" width="11" style="89"/>
    <col min="15263" max="15263" width="11" style="89"/>
    <col min="15264" max="15264" width="11" style="89"/>
    <col min="15265" max="15265" width="11" style="89"/>
    <col min="15266" max="15266" width="11" style="89"/>
    <col min="15267" max="15267" width="11" style="89"/>
    <col min="15268" max="15268" width="11" style="89"/>
    <col min="15269" max="15269" width="11" style="89"/>
    <col min="15270" max="15270" width="11" style="89"/>
    <col min="15271" max="15271" width="11" style="89"/>
    <col min="15272" max="15272" width="11" style="89"/>
    <col min="15273" max="15273" width="11" style="89"/>
    <col min="15274" max="15274" width="11" style="89"/>
    <col min="15275" max="15275" width="11" style="89"/>
    <col min="15276" max="15276" width="11" style="89"/>
    <col min="15277" max="15277" width="11" style="89"/>
    <col min="15278" max="15278" width="11" style="89"/>
    <col min="15279" max="15279" width="11" style="89"/>
    <col min="15280" max="15280" width="11" style="89"/>
    <col min="15281" max="15281" width="11" style="89"/>
    <col min="15282" max="15282" width="11" style="89"/>
    <col min="15283" max="15283" width="11" style="89"/>
    <col min="15284" max="15284" width="11" style="89"/>
    <col min="15285" max="15285" width="11" style="89"/>
    <col min="15286" max="15286" width="11" style="89"/>
    <col min="15287" max="15287" width="11" style="89"/>
    <col min="15288" max="15288" width="11" style="89"/>
    <col min="15289" max="15289" width="11" style="89"/>
    <col min="15290" max="15290" width="11" style="89"/>
    <col min="15291" max="15291" width="11" style="89"/>
    <col min="15292" max="15292" width="11" style="89"/>
    <col min="15293" max="15293" width="11" style="89"/>
    <col min="15294" max="15294" width="11" style="89"/>
    <col min="15295" max="15295" width="11" style="89"/>
    <col min="15296" max="15296" width="11" style="89"/>
    <col min="15297" max="15297" width="11" style="89"/>
    <col min="15298" max="15298" width="11" style="89"/>
    <col min="15299" max="15299" width="11" style="89"/>
    <col min="15300" max="15300" width="11" style="89"/>
    <col min="15301" max="15301" width="11" style="89"/>
    <col min="15302" max="15302" width="11" style="89"/>
    <col min="15303" max="15303" width="11" style="89"/>
    <col min="15304" max="15304" width="11" style="89"/>
    <col min="15305" max="15305" width="11" style="89"/>
    <col min="15306" max="15306" width="11" style="89"/>
    <col min="15307" max="15307" width="11" style="89"/>
    <col min="15308" max="15308" width="11" style="89"/>
    <col min="15309" max="15309" width="11" style="89"/>
    <col min="15310" max="15310" width="11" style="89"/>
    <col min="15311" max="15311" width="11" style="89"/>
    <col min="15312" max="15312" width="11" style="89"/>
    <col min="15313" max="15313" width="11" style="89"/>
    <col min="15314" max="15314" width="11" style="89"/>
    <col min="15315" max="15315" width="11" style="89"/>
    <col min="15316" max="15316" width="11" style="89"/>
    <col min="15317" max="15317" width="11" style="89"/>
    <col min="15318" max="15318" width="11" style="89"/>
    <col min="15319" max="15319" width="11" style="89"/>
    <col min="15320" max="15320" width="11" style="89"/>
    <col min="15321" max="15321" width="11" style="89"/>
    <col min="15322" max="15322" width="11" style="89"/>
    <col min="15323" max="15323" width="11" style="89"/>
    <col min="15324" max="15324" width="11" style="89"/>
    <col min="15325" max="15325" width="11" style="89"/>
    <col min="15326" max="15326" width="11" style="89"/>
    <col min="15327" max="15327" width="11" style="89"/>
    <col min="15328" max="15328" width="11" style="89"/>
    <col min="15329" max="15329" width="11" style="89"/>
    <col min="15330" max="15330" width="11" style="89"/>
    <col min="15331" max="15331" width="11" style="89"/>
    <col min="15332" max="15332" width="11" style="89"/>
    <col min="15333" max="15333" width="11" style="89"/>
    <col min="15334" max="15334" width="11" style="89"/>
    <col min="15335" max="15335" width="11" style="89"/>
    <col min="15336" max="15336" width="11" style="89"/>
    <col min="15337" max="15337" width="11" style="89"/>
    <col min="15338" max="15338" width="11" style="89"/>
    <col min="15339" max="15339" width="11" style="89"/>
    <col min="15340" max="15340" width="11" style="89"/>
    <col min="15341" max="15341" width="11" style="89"/>
    <col min="15342" max="15342" width="11" style="89"/>
    <col min="15343" max="15343" width="11" style="89"/>
    <col min="15344" max="15344" width="11" style="89"/>
    <col min="15345" max="15345" width="11" style="89"/>
    <col min="15346" max="15346" width="11" style="89"/>
    <col min="15347" max="15347" width="11" style="89"/>
    <col min="15348" max="15348" width="11" style="89"/>
    <col min="15349" max="15349" width="11" style="89"/>
    <col min="15350" max="15350" width="11" style="89"/>
    <col min="15351" max="15351" width="11" style="89"/>
    <col min="15352" max="15352" width="11" style="89"/>
    <col min="15353" max="15353" width="11" style="89"/>
    <col min="15354" max="15354" width="11" style="89"/>
    <col min="15355" max="15355" width="11" style="89"/>
    <col min="15356" max="15356" width="11" style="89"/>
    <col min="15357" max="15357" width="11" style="89"/>
    <col min="15358" max="15358" width="11" style="89"/>
    <col min="15359" max="15359" width="11" style="89"/>
    <col min="15360" max="15360" width="11" style="89"/>
    <col min="15361" max="15361" width="10.140625" customWidth="true" style="89"/>
    <col min="15362" max="15362" width="10.140625" customWidth="true" style="89"/>
    <col min="15363" max="15363" width="10.140625" customWidth="true" style="89"/>
    <col min="15364" max="15364" width="10.140625" customWidth="true" style="89"/>
    <col min="15365" max="15365" width="10.140625" customWidth="true" style="89"/>
    <col min="15366" max="15366" width="10.140625" customWidth="true" style="89"/>
    <col min="15367" max="15367" width="10.140625" customWidth="true" style="89"/>
    <col min="15368" max="15368" width="10.140625" customWidth="true" style="89"/>
    <col min="15369" max="15369" width="10.140625" customWidth="true" style="89"/>
    <col min="15370" max="15370" width="11" style="89"/>
    <col min="15371" max="15371" width="11" style="89"/>
    <col min="15372" max="15372" width="11" style="89"/>
    <col min="15373" max="15373" width="11" style="89"/>
    <col min="15374" max="15374" width="11" style="89"/>
    <col min="15375" max="15375" width="11" style="89"/>
    <col min="15376" max="15376" width="11" style="89"/>
    <col min="15377" max="15377" width="11" style="89"/>
    <col min="15378" max="15378" width="11" style="89"/>
    <col min="15379" max="15379" width="11" style="89"/>
    <col min="15380" max="15380" width="11" style="89"/>
    <col min="15381" max="15381" width="11" style="89"/>
    <col min="15382" max="15382" width="11" style="89"/>
    <col min="15383" max="15383" width="11" style="89"/>
    <col min="15384" max="15384" width="11" style="89"/>
    <col min="15385" max="15385" width="11" style="89"/>
    <col min="15386" max="15386" width="11" style="89"/>
    <col min="15387" max="15387" width="11" style="89"/>
    <col min="15388" max="15388" width="11" style="89"/>
    <col min="15389" max="15389" width="11" style="89"/>
    <col min="15390" max="15390" width="11" style="89"/>
    <col min="15391" max="15391" width="11" style="89"/>
    <col min="15392" max="15392" width="11" style="89"/>
    <col min="15393" max="15393" width="11" style="89"/>
    <col min="15394" max="15394" width="11" style="89"/>
    <col min="15395" max="15395" width="11" style="89"/>
    <col min="15396" max="15396" width="11" style="89"/>
    <col min="15397" max="15397" width="11" style="89"/>
    <col min="15398" max="15398" width="11" style="89"/>
    <col min="15399" max="15399" width="11" style="89"/>
    <col min="15400" max="15400" width="11" style="89"/>
    <col min="15401" max="15401" width="11" style="89"/>
    <col min="15402" max="15402" width="11" style="89"/>
    <col min="15403" max="15403" width="11" style="89"/>
    <col min="15404" max="15404" width="11" style="89"/>
    <col min="15405" max="15405" width="11" style="89"/>
    <col min="15406" max="15406" width="11" style="89"/>
    <col min="15407" max="15407" width="11" style="89"/>
    <col min="15408" max="15408" width="11" style="89"/>
    <col min="15409" max="15409" width="11" style="89"/>
    <col min="15410" max="15410" width="11" style="89"/>
    <col min="15411" max="15411" width="11" style="89"/>
    <col min="15412" max="15412" width="11" style="89"/>
    <col min="15413" max="15413" width="11" style="89"/>
    <col min="15414" max="15414" width="11" style="89"/>
    <col min="15415" max="15415" width="11" style="89"/>
    <col min="15416" max="15416" width="11" style="89"/>
    <col min="15417" max="15417" width="11" style="89"/>
    <col min="15418" max="15418" width="11" style="89"/>
    <col min="15419" max="15419" width="11" style="89"/>
    <col min="15420" max="15420" width="11" style="89"/>
    <col min="15421" max="15421" width="11" style="89"/>
    <col min="15422" max="15422" width="11" style="89"/>
    <col min="15423" max="15423" width="11" style="89"/>
    <col min="15424" max="15424" width="11" style="89"/>
    <col min="15425" max="15425" width="11" style="89"/>
    <col min="15426" max="15426" width="11" style="89"/>
    <col min="15427" max="15427" width="11" style="89"/>
    <col min="15428" max="15428" width="11" style="89"/>
    <col min="15429" max="15429" width="11" style="89"/>
    <col min="15430" max="15430" width="11" style="89"/>
    <col min="15431" max="15431" width="11" style="89"/>
    <col min="15432" max="15432" width="11" style="89"/>
    <col min="15433" max="15433" width="11" style="89"/>
    <col min="15434" max="15434" width="11" style="89"/>
    <col min="15435" max="15435" width="11" style="89"/>
    <col min="15436" max="15436" width="11" style="89"/>
    <col min="15437" max="15437" width="11" style="89"/>
    <col min="15438" max="15438" width="11" style="89"/>
    <col min="15439" max="15439" width="11" style="89"/>
    <col min="15440" max="15440" width="11" style="89"/>
    <col min="15441" max="15441" width="11" style="89"/>
    <col min="15442" max="15442" width="11" style="89"/>
    <col min="15443" max="15443" width="11" style="89"/>
    <col min="15444" max="15444" width="11" style="89"/>
    <col min="15445" max="15445" width="11" style="89"/>
    <col min="15446" max="15446" width="11" style="89"/>
    <col min="15447" max="15447" width="11" style="89"/>
    <col min="15448" max="15448" width="11" style="89"/>
    <col min="15449" max="15449" width="11" style="89"/>
    <col min="15450" max="15450" width="11" style="89"/>
    <col min="15451" max="15451" width="11" style="89"/>
    <col min="15452" max="15452" width="11" style="89"/>
    <col min="15453" max="15453" width="11" style="89"/>
    <col min="15454" max="15454" width="11" style="89"/>
    <col min="15455" max="15455" width="11" style="89"/>
    <col min="15456" max="15456" width="11" style="89"/>
    <col min="15457" max="15457" width="11" style="89"/>
    <col min="15458" max="15458" width="11" style="89"/>
    <col min="15459" max="15459" width="11" style="89"/>
    <col min="15460" max="15460" width="11" style="89"/>
    <col min="15461" max="15461" width="11" style="89"/>
    <col min="15462" max="15462" width="11" style="89"/>
    <col min="15463" max="15463" width="11" style="89"/>
    <col min="15464" max="15464" width="11" style="89"/>
    <col min="15465" max="15465" width="11" style="89"/>
    <col min="15466" max="15466" width="11" style="89"/>
    <col min="15467" max="15467" width="11" style="89"/>
    <col min="15468" max="15468" width="11" style="89"/>
    <col min="15469" max="15469" width="11" style="89"/>
    <col min="15470" max="15470" width="11" style="89"/>
    <col min="15471" max="15471" width="11" style="89"/>
    <col min="15472" max="15472" width="11" style="89"/>
    <col min="15473" max="15473" width="11" style="89"/>
    <col min="15474" max="15474" width="11" style="89"/>
    <col min="15475" max="15475" width="11" style="89"/>
    <col min="15476" max="15476" width="11" style="89"/>
    <col min="15477" max="15477" width="11" style="89"/>
    <col min="15478" max="15478" width="11" style="89"/>
    <col min="15479" max="15479" width="11" style="89"/>
    <col min="15480" max="15480" width="11" style="89"/>
    <col min="15481" max="15481" width="11" style="89"/>
    <col min="15482" max="15482" width="11" style="89"/>
    <col min="15483" max="15483" width="11" style="89"/>
    <col min="15484" max="15484" width="11" style="89"/>
    <col min="15485" max="15485" width="11" style="89"/>
    <col min="15486" max="15486" width="11" style="89"/>
    <col min="15487" max="15487" width="11" style="89"/>
    <col min="15488" max="15488" width="11" style="89"/>
    <col min="15489" max="15489" width="11" style="89"/>
    <col min="15490" max="15490" width="11" style="89"/>
    <col min="15491" max="15491" width="11" style="89"/>
    <col min="15492" max="15492" width="11" style="89"/>
    <col min="15493" max="15493" width="11" style="89"/>
    <col min="15494" max="15494" width="11" style="89"/>
    <col min="15495" max="15495" width="11" style="89"/>
    <col min="15496" max="15496" width="11" style="89"/>
    <col min="15497" max="15497" width="11" style="89"/>
    <col min="15498" max="15498" width="11" style="89"/>
    <col min="15499" max="15499" width="11" style="89"/>
    <col min="15500" max="15500" width="11" style="89"/>
    <col min="15501" max="15501" width="11" style="89"/>
    <col min="15502" max="15502" width="11" style="89"/>
    <col min="15503" max="15503" width="11" style="89"/>
    <col min="15504" max="15504" width="11" style="89"/>
    <col min="15505" max="15505" width="11" style="89"/>
    <col min="15506" max="15506" width="11" style="89"/>
    <col min="15507" max="15507" width="11" style="89"/>
    <col min="15508" max="15508" width="11" style="89"/>
    <col min="15509" max="15509" width="11" style="89"/>
    <col min="15510" max="15510" width="11" style="89"/>
    <col min="15511" max="15511" width="11" style="89"/>
    <col min="15512" max="15512" width="11" style="89"/>
    <col min="15513" max="15513" width="11" style="89"/>
    <col min="15514" max="15514" width="11" style="89"/>
    <col min="15515" max="15515" width="11" style="89"/>
    <col min="15516" max="15516" width="11" style="89"/>
    <col min="15517" max="15517" width="11" style="89"/>
    <col min="15518" max="15518" width="11" style="89"/>
    <col min="15519" max="15519" width="11" style="89"/>
    <col min="15520" max="15520" width="11" style="89"/>
    <col min="15521" max="15521" width="11" style="89"/>
    <col min="15522" max="15522" width="11" style="89"/>
    <col min="15523" max="15523" width="11" style="89"/>
    <col min="15524" max="15524" width="11" style="89"/>
    <col min="15525" max="15525" width="11" style="89"/>
    <col min="15526" max="15526" width="11" style="89"/>
    <col min="15527" max="15527" width="11" style="89"/>
    <col min="15528" max="15528" width="11" style="89"/>
    <col min="15529" max="15529" width="11" style="89"/>
    <col min="15530" max="15530" width="11" style="89"/>
    <col min="15531" max="15531" width="11" style="89"/>
    <col min="15532" max="15532" width="11" style="89"/>
    <col min="15533" max="15533" width="11" style="89"/>
    <col min="15534" max="15534" width="11" style="89"/>
    <col min="15535" max="15535" width="11" style="89"/>
    <col min="15536" max="15536" width="11" style="89"/>
    <col min="15537" max="15537" width="11" style="89"/>
    <col min="15538" max="15538" width="11" style="89"/>
    <col min="15539" max="15539" width="11" style="89"/>
    <col min="15540" max="15540" width="11" style="89"/>
    <col min="15541" max="15541" width="11" style="89"/>
    <col min="15542" max="15542" width="11" style="89"/>
    <col min="15543" max="15543" width="11" style="89"/>
    <col min="15544" max="15544" width="11" style="89"/>
    <col min="15545" max="15545" width="11" style="89"/>
    <col min="15546" max="15546" width="11" style="89"/>
    <col min="15547" max="15547" width="11" style="89"/>
    <col min="15548" max="15548" width="11" style="89"/>
    <col min="15549" max="15549" width="11" style="89"/>
    <col min="15550" max="15550" width="11" style="89"/>
    <col min="15551" max="15551" width="11" style="89"/>
    <col min="15552" max="15552" width="11" style="89"/>
    <col min="15553" max="15553" width="11" style="89"/>
    <col min="15554" max="15554" width="11" style="89"/>
    <col min="15555" max="15555" width="11" style="89"/>
    <col min="15556" max="15556" width="11" style="89"/>
    <col min="15557" max="15557" width="11" style="89"/>
    <col min="15558" max="15558" width="11" style="89"/>
    <col min="15559" max="15559" width="11" style="89"/>
    <col min="15560" max="15560" width="11" style="89"/>
    <col min="15561" max="15561" width="11" style="89"/>
    <col min="15562" max="15562" width="11" style="89"/>
    <col min="15563" max="15563" width="11" style="89"/>
    <col min="15564" max="15564" width="11" style="89"/>
    <col min="15565" max="15565" width="11" style="89"/>
    <col min="15566" max="15566" width="11" style="89"/>
    <col min="15567" max="15567" width="11" style="89"/>
    <col min="15568" max="15568" width="11" style="89"/>
    <col min="15569" max="15569" width="11" style="89"/>
    <col min="15570" max="15570" width="11" style="89"/>
    <col min="15571" max="15571" width="11" style="89"/>
    <col min="15572" max="15572" width="11" style="89"/>
    <col min="15573" max="15573" width="11" style="89"/>
    <col min="15574" max="15574" width="11" style="89"/>
    <col min="15575" max="15575" width="11" style="89"/>
    <col min="15576" max="15576" width="11" style="89"/>
    <col min="15577" max="15577" width="11" style="89"/>
    <col min="15578" max="15578" width="11" style="89"/>
    <col min="15579" max="15579" width="11" style="89"/>
    <col min="15580" max="15580" width="11" style="89"/>
    <col min="15581" max="15581" width="11" style="89"/>
    <col min="15582" max="15582" width="11" style="89"/>
    <col min="15583" max="15583" width="11" style="89"/>
    <col min="15584" max="15584" width="11" style="89"/>
    <col min="15585" max="15585" width="11" style="89"/>
    <col min="15586" max="15586" width="11" style="89"/>
    <col min="15587" max="15587" width="11" style="89"/>
    <col min="15588" max="15588" width="11" style="89"/>
    <col min="15589" max="15589" width="11" style="89"/>
    <col min="15590" max="15590" width="11" style="89"/>
    <col min="15591" max="15591" width="11" style="89"/>
    <col min="15592" max="15592" width="11" style="89"/>
    <col min="15593" max="15593" width="11" style="89"/>
    <col min="15594" max="15594" width="11" style="89"/>
    <col min="15595" max="15595" width="11" style="89"/>
    <col min="15596" max="15596" width="11" style="89"/>
    <col min="15597" max="15597" width="11" style="89"/>
    <col min="15598" max="15598" width="11" style="89"/>
    <col min="15599" max="15599" width="11" style="89"/>
    <col min="15600" max="15600" width="11" style="89"/>
    <col min="15601" max="15601" width="11" style="89"/>
    <col min="15602" max="15602" width="11" style="89"/>
    <col min="15603" max="15603" width="11" style="89"/>
    <col min="15604" max="15604" width="11" style="89"/>
    <col min="15605" max="15605" width="11" style="89"/>
    <col min="15606" max="15606" width="11" style="89"/>
    <col min="15607" max="15607" width="11" style="89"/>
    <col min="15608" max="15608" width="11" style="89"/>
    <col min="15609" max="15609" width="11" style="89"/>
    <col min="15610" max="15610" width="11" style="89"/>
    <col min="15611" max="15611" width="11" style="89"/>
    <col min="15612" max="15612" width="11" style="89"/>
    <col min="15613" max="15613" width="11" style="89"/>
    <col min="15614" max="15614" width="11" style="89"/>
    <col min="15615" max="15615" width="11" style="89"/>
    <col min="15616" max="15616" width="11" style="89"/>
    <col min="15617" max="15617" width="10.140625" customWidth="true" style="89"/>
    <col min="15618" max="15618" width="10.140625" customWidth="true" style="89"/>
    <col min="15619" max="15619" width="10.140625" customWidth="true" style="89"/>
    <col min="15620" max="15620" width="10.140625" customWidth="true" style="89"/>
    <col min="15621" max="15621" width="10.140625" customWidth="true" style="89"/>
    <col min="15622" max="15622" width="10.140625" customWidth="true" style="89"/>
    <col min="15623" max="15623" width="10.140625" customWidth="true" style="89"/>
    <col min="15624" max="15624" width="10.140625" customWidth="true" style="89"/>
    <col min="15625" max="15625" width="10.140625" customWidth="true" style="89"/>
    <col min="15626" max="15626" width="11" style="89"/>
    <col min="15627" max="15627" width="11" style="89"/>
    <col min="15628" max="15628" width="11" style="89"/>
    <col min="15629" max="15629" width="11" style="89"/>
    <col min="15630" max="15630" width="11" style="89"/>
    <col min="15631" max="15631" width="11" style="89"/>
    <col min="15632" max="15632" width="11" style="89"/>
    <col min="15633" max="15633" width="11" style="89"/>
    <col min="15634" max="15634" width="11" style="89"/>
    <col min="15635" max="15635" width="11" style="89"/>
    <col min="15636" max="15636" width="11" style="89"/>
    <col min="15637" max="15637" width="11" style="89"/>
    <col min="15638" max="15638" width="11" style="89"/>
    <col min="15639" max="15639" width="11" style="89"/>
    <col min="15640" max="15640" width="11" style="89"/>
    <col min="15641" max="15641" width="11" style="89"/>
    <col min="15642" max="15642" width="11" style="89"/>
    <col min="15643" max="15643" width="11" style="89"/>
    <col min="15644" max="15644" width="11" style="89"/>
    <col min="15645" max="15645" width="11" style="89"/>
    <col min="15646" max="15646" width="11" style="89"/>
    <col min="15647" max="15647" width="11" style="89"/>
    <col min="15648" max="15648" width="11" style="89"/>
    <col min="15649" max="15649" width="11" style="89"/>
    <col min="15650" max="15650" width="11" style="89"/>
    <col min="15651" max="15651" width="11" style="89"/>
    <col min="15652" max="15652" width="11" style="89"/>
    <col min="15653" max="15653" width="11" style="89"/>
    <col min="15654" max="15654" width="11" style="89"/>
    <col min="15655" max="15655" width="11" style="89"/>
    <col min="15656" max="15656" width="11" style="89"/>
    <col min="15657" max="15657" width="11" style="89"/>
    <col min="15658" max="15658" width="11" style="89"/>
    <col min="15659" max="15659" width="11" style="89"/>
    <col min="15660" max="15660" width="11" style="89"/>
    <col min="15661" max="15661" width="11" style="89"/>
    <col min="15662" max="15662" width="11" style="89"/>
    <col min="15663" max="15663" width="11" style="89"/>
    <col min="15664" max="15664" width="11" style="89"/>
    <col min="15665" max="15665" width="11" style="89"/>
    <col min="15666" max="15666" width="11" style="89"/>
    <col min="15667" max="15667" width="11" style="89"/>
    <col min="15668" max="15668" width="11" style="89"/>
    <col min="15669" max="15669" width="11" style="89"/>
    <col min="15670" max="15670" width="11" style="89"/>
    <col min="15671" max="15671" width="11" style="89"/>
    <col min="15672" max="15672" width="11" style="89"/>
    <col min="15673" max="15673" width="11" style="89"/>
    <col min="15674" max="15674" width="11" style="89"/>
    <col min="15675" max="15675" width="11" style="89"/>
    <col min="15676" max="15676" width="11" style="89"/>
    <col min="15677" max="15677" width="11" style="89"/>
    <col min="15678" max="15678" width="11" style="89"/>
    <col min="15679" max="15679" width="11" style="89"/>
    <col min="15680" max="15680" width="11" style="89"/>
    <col min="15681" max="15681" width="11" style="89"/>
    <col min="15682" max="15682" width="11" style="89"/>
    <col min="15683" max="15683" width="11" style="89"/>
    <col min="15684" max="15684" width="11" style="89"/>
    <col min="15685" max="15685" width="11" style="89"/>
    <col min="15686" max="15686" width="11" style="89"/>
    <col min="15687" max="15687" width="11" style="89"/>
    <col min="15688" max="15688" width="11" style="89"/>
    <col min="15689" max="15689" width="11" style="89"/>
    <col min="15690" max="15690" width="11" style="89"/>
    <col min="15691" max="15691" width="11" style="89"/>
    <col min="15692" max="15692" width="11" style="89"/>
    <col min="15693" max="15693" width="11" style="89"/>
    <col min="15694" max="15694" width="11" style="89"/>
    <col min="15695" max="15695" width="11" style="89"/>
    <col min="15696" max="15696" width="11" style="89"/>
    <col min="15697" max="15697" width="11" style="89"/>
    <col min="15698" max="15698" width="11" style="89"/>
    <col min="15699" max="15699" width="11" style="89"/>
    <col min="15700" max="15700" width="11" style="89"/>
    <col min="15701" max="15701" width="11" style="89"/>
    <col min="15702" max="15702" width="11" style="89"/>
    <col min="15703" max="15703" width="11" style="89"/>
    <col min="15704" max="15704" width="11" style="89"/>
    <col min="15705" max="15705" width="11" style="89"/>
    <col min="15706" max="15706" width="11" style="89"/>
    <col min="15707" max="15707" width="11" style="89"/>
    <col min="15708" max="15708" width="11" style="89"/>
    <col min="15709" max="15709" width="11" style="89"/>
    <col min="15710" max="15710" width="11" style="89"/>
    <col min="15711" max="15711" width="11" style="89"/>
    <col min="15712" max="15712" width="11" style="89"/>
    <col min="15713" max="15713" width="11" style="89"/>
    <col min="15714" max="15714" width="11" style="89"/>
    <col min="15715" max="15715" width="11" style="89"/>
    <col min="15716" max="15716" width="11" style="89"/>
    <col min="15717" max="15717" width="11" style="89"/>
    <col min="15718" max="15718" width="11" style="89"/>
    <col min="15719" max="15719" width="11" style="89"/>
    <col min="15720" max="15720" width="11" style="89"/>
    <col min="15721" max="15721" width="11" style="89"/>
    <col min="15722" max="15722" width="11" style="89"/>
    <col min="15723" max="15723" width="11" style="89"/>
    <col min="15724" max="15724" width="11" style="89"/>
    <col min="15725" max="15725" width="11" style="89"/>
    <col min="15726" max="15726" width="11" style="89"/>
    <col min="15727" max="15727" width="11" style="89"/>
    <col min="15728" max="15728" width="11" style="89"/>
    <col min="15729" max="15729" width="11" style="89"/>
    <col min="15730" max="15730" width="11" style="89"/>
    <col min="15731" max="15731" width="11" style="89"/>
    <col min="15732" max="15732" width="11" style="89"/>
    <col min="15733" max="15733" width="11" style="89"/>
    <col min="15734" max="15734" width="11" style="89"/>
    <col min="15735" max="15735" width="11" style="89"/>
    <col min="15736" max="15736" width="11" style="89"/>
    <col min="15737" max="15737" width="11" style="89"/>
    <col min="15738" max="15738" width="11" style="89"/>
    <col min="15739" max="15739" width="11" style="89"/>
    <col min="15740" max="15740" width="11" style="89"/>
    <col min="15741" max="15741" width="11" style="89"/>
    <col min="15742" max="15742" width="11" style="89"/>
    <col min="15743" max="15743" width="11" style="89"/>
    <col min="15744" max="15744" width="11" style="89"/>
    <col min="15745" max="15745" width="11" style="89"/>
    <col min="15746" max="15746" width="11" style="89"/>
    <col min="15747" max="15747" width="11" style="89"/>
    <col min="15748" max="15748" width="11" style="89"/>
    <col min="15749" max="15749" width="11" style="89"/>
    <col min="15750" max="15750" width="11" style="89"/>
    <col min="15751" max="15751" width="11" style="89"/>
    <col min="15752" max="15752" width="11" style="89"/>
    <col min="15753" max="15753" width="11" style="89"/>
    <col min="15754" max="15754" width="11" style="89"/>
    <col min="15755" max="15755" width="11" style="89"/>
    <col min="15756" max="15756" width="11" style="89"/>
    <col min="15757" max="15757" width="11" style="89"/>
    <col min="15758" max="15758" width="11" style="89"/>
    <col min="15759" max="15759" width="11" style="89"/>
    <col min="15760" max="15760" width="11" style="89"/>
    <col min="15761" max="15761" width="11" style="89"/>
    <col min="15762" max="15762" width="11" style="89"/>
    <col min="15763" max="15763" width="11" style="89"/>
    <col min="15764" max="15764" width="11" style="89"/>
    <col min="15765" max="15765" width="11" style="89"/>
    <col min="15766" max="15766" width="11" style="89"/>
    <col min="15767" max="15767" width="11" style="89"/>
    <col min="15768" max="15768" width="11" style="89"/>
    <col min="15769" max="15769" width="11" style="89"/>
    <col min="15770" max="15770" width="11" style="89"/>
    <col min="15771" max="15771" width="11" style="89"/>
    <col min="15772" max="15772" width="11" style="89"/>
    <col min="15773" max="15773" width="11" style="89"/>
    <col min="15774" max="15774" width="11" style="89"/>
    <col min="15775" max="15775" width="11" style="89"/>
    <col min="15776" max="15776" width="11" style="89"/>
    <col min="15777" max="15777" width="11" style="89"/>
    <col min="15778" max="15778" width="11" style="89"/>
    <col min="15779" max="15779" width="11" style="89"/>
    <col min="15780" max="15780" width="11" style="89"/>
    <col min="15781" max="15781" width="11" style="89"/>
    <col min="15782" max="15782" width="11" style="89"/>
    <col min="15783" max="15783" width="11" style="89"/>
    <col min="15784" max="15784" width="11" style="89"/>
    <col min="15785" max="15785" width="11" style="89"/>
    <col min="15786" max="15786" width="11" style="89"/>
    <col min="15787" max="15787" width="11" style="89"/>
    <col min="15788" max="15788" width="11" style="89"/>
    <col min="15789" max="15789" width="11" style="89"/>
    <col min="15790" max="15790" width="11" style="89"/>
    <col min="15791" max="15791" width="11" style="89"/>
    <col min="15792" max="15792" width="11" style="89"/>
    <col min="15793" max="15793" width="11" style="89"/>
    <col min="15794" max="15794" width="11" style="89"/>
    <col min="15795" max="15795" width="11" style="89"/>
    <col min="15796" max="15796" width="11" style="89"/>
    <col min="15797" max="15797" width="11" style="89"/>
    <col min="15798" max="15798" width="11" style="89"/>
    <col min="15799" max="15799" width="11" style="89"/>
    <col min="15800" max="15800" width="11" style="89"/>
    <col min="15801" max="15801" width="11" style="89"/>
    <col min="15802" max="15802" width="11" style="89"/>
    <col min="15803" max="15803" width="11" style="89"/>
    <col min="15804" max="15804" width="11" style="89"/>
    <col min="15805" max="15805" width="11" style="89"/>
    <col min="15806" max="15806" width="11" style="89"/>
    <col min="15807" max="15807" width="11" style="89"/>
    <col min="15808" max="15808" width="11" style="89"/>
    <col min="15809" max="15809" width="11" style="89"/>
    <col min="15810" max="15810" width="11" style="89"/>
    <col min="15811" max="15811" width="11" style="89"/>
    <col min="15812" max="15812" width="11" style="89"/>
    <col min="15813" max="15813" width="11" style="89"/>
    <col min="15814" max="15814" width="11" style="89"/>
    <col min="15815" max="15815" width="11" style="89"/>
    <col min="15816" max="15816" width="11" style="89"/>
    <col min="15817" max="15817" width="11" style="89"/>
    <col min="15818" max="15818" width="11" style="89"/>
    <col min="15819" max="15819" width="11" style="89"/>
    <col min="15820" max="15820" width="11" style="89"/>
    <col min="15821" max="15821" width="11" style="89"/>
    <col min="15822" max="15822" width="11" style="89"/>
    <col min="15823" max="15823" width="11" style="89"/>
    <col min="15824" max="15824" width="11" style="89"/>
    <col min="15825" max="15825" width="11" style="89"/>
    <col min="15826" max="15826" width="11" style="89"/>
    <col min="15827" max="15827" width="11" style="89"/>
    <col min="15828" max="15828" width="11" style="89"/>
    <col min="15829" max="15829" width="11" style="89"/>
    <col min="15830" max="15830" width="11" style="89"/>
    <col min="15831" max="15831" width="11" style="89"/>
    <col min="15832" max="15832" width="11" style="89"/>
    <col min="15833" max="15833" width="11" style="89"/>
    <col min="15834" max="15834" width="11" style="89"/>
    <col min="15835" max="15835" width="11" style="89"/>
    <col min="15836" max="15836" width="11" style="89"/>
    <col min="15837" max="15837" width="11" style="89"/>
    <col min="15838" max="15838" width="11" style="89"/>
    <col min="15839" max="15839" width="11" style="89"/>
    <col min="15840" max="15840" width="11" style="89"/>
    <col min="15841" max="15841" width="11" style="89"/>
    <col min="15842" max="15842" width="11" style="89"/>
    <col min="15843" max="15843" width="11" style="89"/>
    <col min="15844" max="15844" width="11" style="89"/>
    <col min="15845" max="15845" width="11" style="89"/>
    <col min="15846" max="15846" width="11" style="89"/>
    <col min="15847" max="15847" width="11" style="89"/>
    <col min="15848" max="15848" width="11" style="89"/>
    <col min="15849" max="15849" width="11" style="89"/>
    <col min="15850" max="15850" width="11" style="89"/>
    <col min="15851" max="15851" width="11" style="89"/>
    <col min="15852" max="15852" width="11" style="89"/>
    <col min="15853" max="15853" width="11" style="89"/>
    <col min="15854" max="15854" width="11" style="89"/>
    <col min="15855" max="15855" width="11" style="89"/>
    <col min="15856" max="15856" width="11" style="89"/>
    <col min="15857" max="15857" width="11" style="89"/>
    <col min="15858" max="15858" width="11" style="89"/>
    <col min="15859" max="15859" width="11" style="89"/>
    <col min="15860" max="15860" width="11" style="89"/>
    <col min="15861" max="15861" width="11" style="89"/>
    <col min="15862" max="15862" width="11" style="89"/>
    <col min="15863" max="15863" width="11" style="89"/>
    <col min="15864" max="15864" width="11" style="89"/>
    <col min="15865" max="15865" width="11" style="89"/>
    <col min="15866" max="15866" width="11" style="89"/>
    <col min="15867" max="15867" width="11" style="89"/>
    <col min="15868" max="15868" width="11" style="89"/>
    <col min="15869" max="15869" width="11" style="89"/>
    <col min="15870" max="15870" width="11" style="89"/>
    <col min="15871" max="15871" width="11" style="89"/>
    <col min="15872" max="15872" width="11" style="89"/>
    <col min="15873" max="15873" width="10.140625" customWidth="true" style="89"/>
    <col min="15874" max="15874" width="10.140625" customWidth="true" style="89"/>
    <col min="15875" max="15875" width="10.140625" customWidth="true" style="89"/>
    <col min="15876" max="15876" width="10.140625" customWidth="true" style="89"/>
    <col min="15877" max="15877" width="10.140625" customWidth="true" style="89"/>
    <col min="15878" max="15878" width="10.140625" customWidth="true" style="89"/>
    <col min="15879" max="15879" width="10.140625" customWidth="true" style="89"/>
    <col min="15880" max="15880" width="10.140625" customWidth="true" style="89"/>
    <col min="15881" max="15881" width="10.140625" customWidth="true" style="89"/>
    <col min="15882" max="15882" width="11" style="89"/>
    <col min="15883" max="15883" width="11" style="89"/>
    <col min="15884" max="15884" width="11" style="89"/>
    <col min="15885" max="15885" width="11" style="89"/>
    <col min="15886" max="15886" width="11" style="89"/>
    <col min="15887" max="15887" width="11" style="89"/>
    <col min="15888" max="15888" width="11" style="89"/>
    <col min="15889" max="15889" width="11" style="89"/>
    <col min="15890" max="15890" width="11" style="89"/>
    <col min="15891" max="15891" width="11" style="89"/>
    <col min="15892" max="15892" width="11" style="89"/>
    <col min="15893" max="15893" width="11" style="89"/>
    <col min="15894" max="15894" width="11" style="89"/>
    <col min="15895" max="15895" width="11" style="89"/>
    <col min="15896" max="15896" width="11" style="89"/>
    <col min="15897" max="15897" width="11" style="89"/>
    <col min="15898" max="15898" width="11" style="89"/>
    <col min="15899" max="15899" width="11" style="89"/>
    <col min="15900" max="15900" width="11" style="89"/>
    <col min="15901" max="15901" width="11" style="89"/>
    <col min="15902" max="15902" width="11" style="89"/>
    <col min="15903" max="15903" width="11" style="89"/>
    <col min="15904" max="15904" width="11" style="89"/>
    <col min="15905" max="15905" width="11" style="89"/>
    <col min="15906" max="15906" width="11" style="89"/>
    <col min="15907" max="15907" width="11" style="89"/>
    <col min="15908" max="15908" width="11" style="89"/>
    <col min="15909" max="15909" width="11" style="89"/>
    <col min="15910" max="15910" width="11" style="89"/>
    <col min="15911" max="15911" width="11" style="89"/>
    <col min="15912" max="15912" width="11" style="89"/>
    <col min="15913" max="15913" width="11" style="89"/>
    <col min="15914" max="15914" width="11" style="89"/>
    <col min="15915" max="15915" width="11" style="89"/>
    <col min="15916" max="15916" width="11" style="89"/>
    <col min="15917" max="15917" width="11" style="89"/>
    <col min="15918" max="15918" width="11" style="89"/>
    <col min="15919" max="15919" width="11" style="89"/>
    <col min="15920" max="15920" width="11" style="89"/>
    <col min="15921" max="15921" width="11" style="89"/>
    <col min="15922" max="15922" width="11" style="89"/>
    <col min="15923" max="15923" width="11" style="89"/>
    <col min="15924" max="15924" width="11" style="89"/>
    <col min="15925" max="15925" width="11" style="89"/>
    <col min="15926" max="15926" width="11" style="89"/>
    <col min="15927" max="15927" width="11" style="89"/>
    <col min="15928" max="15928" width="11" style="89"/>
    <col min="15929" max="15929" width="11" style="89"/>
    <col min="15930" max="15930" width="11" style="89"/>
    <col min="15931" max="15931" width="11" style="89"/>
    <col min="15932" max="15932" width="11" style="89"/>
    <col min="15933" max="15933" width="11" style="89"/>
    <col min="15934" max="15934" width="11" style="89"/>
    <col min="15935" max="15935" width="11" style="89"/>
    <col min="15936" max="15936" width="11" style="89"/>
    <col min="15937" max="15937" width="11" style="89"/>
    <col min="15938" max="15938" width="11" style="89"/>
    <col min="15939" max="15939" width="11" style="89"/>
    <col min="15940" max="15940" width="11" style="89"/>
    <col min="15941" max="15941" width="11" style="89"/>
    <col min="15942" max="15942" width="11" style="89"/>
    <col min="15943" max="15943" width="11" style="89"/>
    <col min="15944" max="15944" width="11" style="89"/>
    <col min="15945" max="15945" width="11" style="89"/>
    <col min="15946" max="15946" width="11" style="89"/>
    <col min="15947" max="15947" width="11" style="89"/>
    <col min="15948" max="15948" width="11" style="89"/>
    <col min="15949" max="15949" width="11" style="89"/>
    <col min="15950" max="15950" width="11" style="89"/>
    <col min="15951" max="15951" width="11" style="89"/>
    <col min="15952" max="15952" width="11" style="89"/>
    <col min="15953" max="15953" width="11" style="89"/>
    <col min="15954" max="15954" width="11" style="89"/>
    <col min="15955" max="15955" width="11" style="89"/>
    <col min="15956" max="15956" width="11" style="89"/>
    <col min="15957" max="15957" width="11" style="89"/>
    <col min="15958" max="15958" width="11" style="89"/>
    <col min="15959" max="15959" width="11" style="89"/>
    <col min="15960" max="15960" width="11" style="89"/>
    <col min="15961" max="15961" width="11" style="89"/>
    <col min="15962" max="15962" width="11" style="89"/>
    <col min="15963" max="15963" width="11" style="89"/>
    <col min="15964" max="15964" width="11" style="89"/>
    <col min="15965" max="15965" width="11" style="89"/>
    <col min="15966" max="15966" width="11" style="89"/>
    <col min="15967" max="15967" width="11" style="89"/>
    <col min="15968" max="15968" width="11" style="89"/>
    <col min="15969" max="15969" width="11" style="89"/>
    <col min="15970" max="15970" width="11" style="89"/>
    <col min="15971" max="15971" width="11" style="89"/>
    <col min="15972" max="15972" width="11" style="89"/>
    <col min="15973" max="15973" width="11" style="89"/>
    <col min="15974" max="15974" width="11" style="89"/>
    <col min="15975" max="15975" width="11" style="89"/>
    <col min="15976" max="15976" width="11" style="89"/>
    <col min="15977" max="15977" width="11" style="89"/>
    <col min="15978" max="15978" width="11" style="89"/>
    <col min="15979" max="15979" width="11" style="89"/>
    <col min="15980" max="15980" width="11" style="89"/>
    <col min="15981" max="15981" width="11" style="89"/>
    <col min="15982" max="15982" width="11" style="89"/>
    <col min="15983" max="15983" width="11" style="89"/>
    <col min="15984" max="15984" width="11" style="89"/>
    <col min="15985" max="15985" width="11" style="89"/>
    <col min="15986" max="15986" width="11" style="89"/>
    <col min="15987" max="15987" width="11" style="89"/>
    <col min="15988" max="15988" width="11" style="89"/>
    <col min="15989" max="15989" width="11" style="89"/>
    <col min="15990" max="15990" width="11" style="89"/>
    <col min="15991" max="15991" width="11" style="89"/>
    <col min="15992" max="15992" width="11" style="89"/>
    <col min="15993" max="15993" width="11" style="89"/>
    <col min="15994" max="15994" width="11" style="89"/>
    <col min="15995" max="15995" width="11" style="89"/>
    <col min="15996" max="15996" width="11" style="89"/>
    <col min="15997" max="15997" width="11" style="89"/>
    <col min="15998" max="15998" width="11" style="89"/>
    <col min="15999" max="15999" width="11" style="89"/>
    <col min="16000" max="16000" width="11" style="89"/>
    <col min="16001" max="16001" width="11" style="89"/>
    <col min="16002" max="16002" width="11" style="89"/>
    <col min="16003" max="16003" width="11" style="89"/>
    <col min="16004" max="16004" width="11" style="89"/>
    <col min="16005" max="16005" width="11" style="89"/>
    <col min="16006" max="16006" width="11" style="89"/>
    <col min="16007" max="16007" width="11" style="89"/>
    <col min="16008" max="16008" width="11" style="89"/>
    <col min="16009" max="16009" width="11" style="89"/>
    <col min="16010" max="16010" width="11" style="89"/>
    <col min="16011" max="16011" width="11" style="89"/>
    <col min="16012" max="16012" width="11" style="89"/>
    <col min="16013" max="16013" width="11" style="89"/>
    <col min="16014" max="16014" width="11" style="89"/>
    <col min="16015" max="16015" width="11" style="89"/>
    <col min="16016" max="16016" width="11" style="89"/>
    <col min="16017" max="16017" width="11" style="89"/>
    <col min="16018" max="16018" width="11" style="89"/>
    <col min="16019" max="16019" width="11" style="89"/>
    <col min="16020" max="16020" width="11" style="89"/>
    <col min="16021" max="16021" width="11" style="89"/>
    <col min="16022" max="16022" width="11" style="89"/>
    <col min="16023" max="16023" width="11" style="89"/>
    <col min="16024" max="16024" width="11" style="89"/>
    <col min="16025" max="16025" width="11" style="89"/>
    <col min="16026" max="16026" width="11" style="89"/>
    <col min="16027" max="16027" width="11" style="89"/>
    <col min="16028" max="16028" width="11" style="89"/>
    <col min="16029" max="16029" width="11" style="89"/>
    <col min="16030" max="16030" width="11" style="89"/>
    <col min="16031" max="16031" width="11" style="89"/>
    <col min="16032" max="16032" width="11" style="89"/>
    <col min="16033" max="16033" width="11" style="89"/>
    <col min="16034" max="16034" width="11" style="89"/>
    <col min="16035" max="16035" width="11" style="89"/>
    <col min="16036" max="16036" width="11" style="89"/>
    <col min="16037" max="16037" width="11" style="89"/>
    <col min="16038" max="16038" width="11" style="89"/>
    <col min="16039" max="16039" width="11" style="89"/>
    <col min="16040" max="16040" width="11" style="89"/>
    <col min="16041" max="16041" width="11" style="89"/>
    <col min="16042" max="16042" width="11" style="89"/>
    <col min="16043" max="16043" width="11" style="89"/>
    <col min="16044" max="16044" width="11" style="89"/>
    <col min="16045" max="16045" width="11" style="89"/>
    <col min="16046" max="16046" width="11" style="89"/>
    <col min="16047" max="16047" width="11" style="89"/>
    <col min="16048" max="16048" width="11" style="89"/>
    <col min="16049" max="16049" width="11" style="89"/>
    <col min="16050" max="16050" width="11" style="89"/>
    <col min="16051" max="16051" width="11" style="89"/>
    <col min="16052" max="16052" width="11" style="89"/>
    <col min="16053" max="16053" width="11" style="89"/>
    <col min="16054" max="16054" width="11" style="89"/>
    <col min="16055" max="16055" width="11" style="89"/>
    <col min="16056" max="16056" width="11" style="89"/>
    <col min="16057" max="16057" width="11" style="89"/>
    <col min="16058" max="16058" width="11" style="89"/>
    <col min="16059" max="16059" width="11" style="89"/>
    <col min="16060" max="16060" width="11" style="89"/>
    <col min="16061" max="16061" width="11" style="89"/>
    <col min="16062" max="16062" width="11" style="89"/>
    <col min="16063" max="16063" width="11" style="89"/>
    <col min="16064" max="16064" width="11" style="89"/>
    <col min="16065" max="16065" width="11" style="89"/>
    <col min="16066" max="16066" width="11" style="89"/>
    <col min="16067" max="16067" width="11" style="89"/>
    <col min="16068" max="16068" width="11" style="89"/>
    <col min="16069" max="16069" width="11" style="89"/>
    <col min="16070" max="16070" width="11" style="89"/>
    <col min="16071" max="16071" width="11" style="89"/>
    <col min="16072" max="16072" width="11" style="89"/>
    <col min="16073" max="16073" width="11" style="89"/>
    <col min="16074" max="16074" width="11" style="89"/>
    <col min="16075" max="16075" width="11" style="89"/>
    <col min="16076" max="16076" width="11" style="89"/>
    <col min="16077" max="16077" width="11" style="89"/>
    <col min="16078" max="16078" width="11" style="89"/>
    <col min="16079" max="16079" width="11" style="89"/>
    <col min="16080" max="16080" width="11" style="89"/>
    <col min="16081" max="16081" width="11" style="89"/>
    <col min="16082" max="16082" width="11" style="89"/>
    <col min="16083" max="16083" width="11" style="89"/>
    <col min="16084" max="16084" width="11" style="89"/>
    <col min="16085" max="16085" width="11" style="89"/>
    <col min="16086" max="16086" width="11" style="89"/>
    <col min="16087" max="16087" width="11" style="89"/>
    <col min="16088" max="16088" width="11" style="89"/>
    <col min="16089" max="16089" width="11" style="89"/>
    <col min="16090" max="16090" width="11" style="89"/>
    <col min="16091" max="16091" width="11" style="89"/>
    <col min="16092" max="16092" width="11" style="89"/>
    <col min="16093" max="16093" width="11" style="89"/>
    <col min="16094" max="16094" width="11" style="89"/>
    <col min="16095" max="16095" width="11" style="89"/>
    <col min="16096" max="16096" width="11" style="89"/>
    <col min="16097" max="16097" width="11" style="89"/>
    <col min="16098" max="16098" width="11" style="89"/>
    <col min="16099" max="16099" width="11" style="89"/>
    <col min="16100" max="16100" width="11" style="89"/>
    <col min="16101" max="16101" width="11" style="89"/>
    <col min="16102" max="16102" width="11" style="89"/>
    <col min="16103" max="16103" width="11" style="89"/>
    <col min="16104" max="16104" width="11" style="89"/>
    <col min="16105" max="16105" width="11" style="89"/>
    <col min="16106" max="16106" width="11" style="89"/>
    <col min="16107" max="16107" width="11" style="89"/>
    <col min="16108" max="16108" width="11" style="89"/>
    <col min="16109" max="16109" width="11" style="89"/>
    <col min="16110" max="16110" width="11" style="89"/>
    <col min="16111" max="16111" width="11" style="89"/>
    <col min="16112" max="16112" width="11" style="89"/>
    <col min="16113" max="16113" width="11" style="89"/>
    <col min="16114" max="16114" width="11" style="89"/>
    <col min="16115" max="16115" width="11" style="89"/>
    <col min="16116" max="16116" width="11" style="89"/>
    <col min="16117" max="16117" width="11" style="89"/>
    <col min="16118" max="16118" width="11" style="89"/>
    <col min="16119" max="16119" width="11" style="89"/>
    <col min="16120" max="16120" width="11" style="89"/>
    <col min="16121" max="16121" width="11" style="89"/>
    <col min="16122" max="16122" width="11" style="89"/>
    <col min="16123" max="16123" width="11" style="89"/>
    <col min="16124" max="16124" width="11" style="89"/>
    <col min="16125" max="16125" width="11" style="89"/>
    <col min="16126" max="16126" width="11" style="89"/>
    <col min="16127" max="16127" width="11" style="89"/>
    <col min="16128" max="16128" width="11" style="89"/>
    <col min="16129" max="16129" width="10.140625" customWidth="true" style="89"/>
    <col min="16130" max="16130" width="10.140625" customWidth="true" style="89"/>
    <col min="16131" max="16131" width="10.140625" customWidth="true" style="89"/>
    <col min="16132" max="16132" width="10.140625" customWidth="true" style="89"/>
    <col min="16133" max="16133" width="10.140625" customWidth="true" style="89"/>
    <col min="16134" max="16134" width="10.140625" customWidth="true" style="89"/>
    <col min="16135" max="16135" width="10.140625" customWidth="true" style="89"/>
    <col min="16136" max="16136" width="10.140625" customWidth="true" style="89"/>
    <col min="16137" max="16137" width="10.140625" customWidth="true" style="89"/>
    <col min="16138" max="16138" width="11" style="89"/>
  </cols>
  <sheetData>
    <row r="1" spans="1:16138" customHeight="1" ht="18.75" s="104" customFormat="1">
      <c r="A1" s="414"/>
      <c r="B1" s="405" t="s">
        <v>31</v>
      </c>
      <c r="C1" s="406"/>
      <c r="D1" s="406"/>
      <c r="E1" s="406"/>
      <c r="F1" s="406"/>
      <c r="G1" s="406"/>
      <c r="H1" s="406"/>
      <c r="I1" s="406"/>
      <c r="J1" s="406"/>
      <c r="K1" s="407"/>
      <c r="L1" s="325" t="s">
        <v>1</v>
      </c>
      <c r="M1" s="326"/>
    </row>
    <row r="2" spans="1:16138" customHeight="1" ht="18.75" s="103" customFormat="1">
      <c r="A2" s="415"/>
      <c r="B2" s="408"/>
      <c r="C2" s="409"/>
      <c r="D2" s="409"/>
      <c r="E2" s="409"/>
      <c r="F2" s="409"/>
      <c r="G2" s="409"/>
      <c r="H2" s="409"/>
      <c r="I2" s="409"/>
      <c r="J2" s="409"/>
      <c r="K2" s="410"/>
      <c r="L2" s="327"/>
      <c r="M2" s="328"/>
      <c r="N2" s="104"/>
      <c r="O2" s="104"/>
    </row>
    <row r="3" spans="1:16138" customHeight="1" ht="18.75" s="103" customFormat="1">
      <c r="A3" s="415"/>
      <c r="B3" s="284" t="s">
        <v>2</v>
      </c>
      <c r="C3" s="318" t="s">
        <v>3</v>
      </c>
      <c r="D3" s="319"/>
      <c r="E3" s="402"/>
      <c r="F3" s="285" t="s">
        <v>4</v>
      </c>
      <c r="G3" s="411" t="str">
        <f>'Fr-01'!$B$6</f>
        <v>ชื่อองค์กรที่ขอขึ้นทะเบียน</v>
      </c>
      <c r="H3" s="412"/>
      <c r="I3" s="412"/>
      <c r="J3" s="412"/>
      <c r="K3" s="413"/>
      <c r="L3" s="284" t="s">
        <v>5</v>
      </c>
      <c r="M3" s="286">
        <v>3</v>
      </c>
      <c r="N3" s="104"/>
      <c r="O3" s="104"/>
    </row>
    <row r="4" spans="1:16138" customHeight="1" ht="18.75" s="248" customFormat="1">
      <c r="A4" s="416"/>
      <c r="B4" s="284" t="s">
        <v>6</v>
      </c>
      <c r="C4" s="318" t="s">
        <v>32</v>
      </c>
      <c r="D4" s="319"/>
      <c r="E4" s="402"/>
      <c r="F4" s="285" t="s">
        <v>8</v>
      </c>
      <c r="G4" s="411">
        <f>'Fr-01'!$G$4</f>
        <v>0</v>
      </c>
      <c r="H4" s="412"/>
      <c r="I4" s="412"/>
      <c r="J4" s="412"/>
      <c r="K4" s="413"/>
      <c r="L4" s="284" t="s">
        <v>30</v>
      </c>
      <c r="M4" s="286"/>
    </row>
    <row r="5" spans="1:16138" customHeight="1" ht="18.75">
      <c r="A5" s="432"/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4"/>
    </row>
    <row r="6" spans="1:16138" customHeight="1" ht="12">
      <c r="A6" s="423"/>
      <c r="B6" s="424"/>
      <c r="C6" s="424"/>
      <c r="D6" s="424"/>
      <c r="E6" s="424"/>
      <c r="F6" s="424"/>
      <c r="G6" s="424"/>
      <c r="H6" s="424"/>
      <c r="I6" s="424"/>
      <c r="J6" s="424"/>
      <c r="K6" s="424"/>
      <c r="L6" s="424"/>
      <c r="M6" s="425"/>
    </row>
    <row r="7" spans="1:16138" customHeight="1" ht="12.75">
      <c r="A7" s="426"/>
      <c r="B7" s="426"/>
      <c r="C7" s="426"/>
      <c r="D7" s="426"/>
      <c r="E7" s="426"/>
      <c r="F7" s="426"/>
      <c r="G7" s="426"/>
      <c r="H7" s="426"/>
      <c r="I7" s="426"/>
      <c r="J7" s="426"/>
      <c r="K7" s="426"/>
      <c r="L7" s="426"/>
      <c r="M7" s="427"/>
    </row>
    <row r="8" spans="1:16138" customHeight="1" ht="12.75">
      <c r="A8" s="428"/>
      <c r="B8" s="428"/>
      <c r="C8" s="428"/>
      <c r="D8" s="428"/>
      <c r="E8" s="428"/>
      <c r="F8" s="428"/>
      <c r="G8" s="428"/>
      <c r="H8" s="428"/>
      <c r="I8" s="428"/>
      <c r="J8" s="428"/>
      <c r="K8" s="428"/>
      <c r="L8" s="428"/>
      <c r="M8" s="429"/>
    </row>
    <row r="9" spans="1:16138" customHeight="1" ht="12.75">
      <c r="A9" s="428"/>
      <c r="B9" s="428"/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9"/>
    </row>
    <row r="10" spans="1:16138" customHeight="1" ht="12.75">
      <c r="A10" s="428"/>
      <c r="B10" s="428"/>
      <c r="C10" s="428"/>
      <c r="D10" s="428"/>
      <c r="E10" s="428"/>
      <c r="F10" s="428"/>
      <c r="G10" s="428"/>
      <c r="H10" s="428"/>
      <c r="I10" s="428"/>
      <c r="J10" s="428"/>
      <c r="K10" s="428"/>
      <c r="L10" s="428"/>
      <c r="M10" s="429"/>
    </row>
    <row r="11" spans="1:16138" customHeight="1" ht="12.75">
      <c r="A11" s="428"/>
      <c r="B11" s="428"/>
      <c r="C11" s="428"/>
      <c r="D11" s="428"/>
      <c r="E11" s="428"/>
      <c r="F11" s="428"/>
      <c r="G11" s="428"/>
      <c r="H11" s="428"/>
      <c r="I11" s="428"/>
      <c r="J11" s="428"/>
      <c r="K11" s="428"/>
      <c r="L11" s="428"/>
      <c r="M11" s="429"/>
    </row>
    <row r="12" spans="1:16138" customHeight="1" ht="12.75">
      <c r="A12" s="428"/>
      <c r="B12" s="428"/>
      <c r="C12" s="428"/>
      <c r="D12" s="428"/>
      <c r="E12" s="428"/>
      <c r="F12" s="428"/>
      <c r="G12" s="428"/>
      <c r="H12" s="428"/>
      <c r="I12" s="428"/>
      <c r="J12" s="428"/>
      <c r="K12" s="428"/>
      <c r="L12" s="428"/>
      <c r="M12" s="429"/>
    </row>
    <row r="13" spans="1:16138" customHeight="1" ht="12.75">
      <c r="A13" s="428"/>
      <c r="B13" s="428"/>
      <c r="C13" s="428"/>
      <c r="D13" s="428"/>
      <c r="E13" s="428"/>
      <c r="F13" s="428"/>
      <c r="G13" s="428"/>
      <c r="H13" s="428"/>
      <c r="I13" s="428"/>
      <c r="J13" s="428"/>
      <c r="K13" s="428"/>
      <c r="L13" s="428"/>
      <c r="M13" s="429"/>
    </row>
    <row r="14" spans="1:16138" customHeight="1" ht="12.75">
      <c r="A14" s="428"/>
      <c r="B14" s="428"/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9"/>
    </row>
    <row r="15" spans="1:16138" customHeight="1" ht="12.75">
      <c r="A15" s="428"/>
      <c r="B15" s="428"/>
      <c r="C15" s="428"/>
      <c r="D15" s="428"/>
      <c r="E15" s="428"/>
      <c r="F15" s="428"/>
      <c r="G15" s="428"/>
      <c r="H15" s="428"/>
      <c r="I15" s="428"/>
      <c r="J15" s="428"/>
      <c r="K15" s="428"/>
      <c r="L15" s="428"/>
      <c r="M15" s="429"/>
    </row>
    <row r="16" spans="1:16138" customHeight="1" ht="12.75">
      <c r="A16" s="428"/>
      <c r="B16" s="428"/>
      <c r="C16" s="428"/>
      <c r="D16" s="428"/>
      <c r="E16" s="428"/>
      <c r="F16" s="428"/>
      <c r="G16" s="428"/>
      <c r="H16" s="428"/>
      <c r="I16" s="428"/>
      <c r="J16" s="428"/>
      <c r="K16" s="428"/>
      <c r="L16" s="428"/>
      <c r="M16" s="429"/>
    </row>
    <row r="17" spans="1:16138" customHeight="1" ht="12.75">
      <c r="A17" s="428"/>
      <c r="B17" s="428"/>
      <c r="C17" s="428"/>
      <c r="D17" s="428"/>
      <c r="E17" s="428"/>
      <c r="F17" s="428"/>
      <c r="G17" s="428"/>
      <c r="H17" s="428"/>
      <c r="I17" s="428"/>
      <c r="J17" s="428"/>
      <c r="K17" s="428"/>
      <c r="L17" s="428"/>
      <c r="M17" s="429"/>
    </row>
    <row r="18" spans="1:16138" customHeight="1" ht="12.75">
      <c r="A18" s="428"/>
      <c r="B18" s="428"/>
      <c r="C18" s="428"/>
      <c r="D18" s="428"/>
      <c r="E18" s="428"/>
      <c r="F18" s="428"/>
      <c r="G18" s="428"/>
      <c r="H18" s="428"/>
      <c r="I18" s="428"/>
      <c r="J18" s="428"/>
      <c r="K18" s="428"/>
      <c r="L18" s="428"/>
      <c r="M18" s="429"/>
    </row>
    <row r="19" spans="1:16138" customHeight="1" ht="12.75">
      <c r="A19" s="428"/>
      <c r="B19" s="428"/>
      <c r="C19" s="428"/>
      <c r="D19" s="428"/>
      <c r="E19" s="428"/>
      <c r="F19" s="428"/>
      <c r="G19" s="428"/>
      <c r="H19" s="428"/>
      <c r="I19" s="428"/>
      <c r="J19" s="428"/>
      <c r="K19" s="428"/>
      <c r="L19" s="428"/>
      <c r="M19" s="429"/>
    </row>
    <row r="20" spans="1:16138" customHeight="1" ht="12.75">
      <c r="A20" s="428"/>
      <c r="B20" s="428"/>
      <c r="C20" s="428"/>
      <c r="D20" s="428"/>
      <c r="E20" s="428"/>
      <c r="F20" s="428"/>
      <c r="G20" s="428"/>
      <c r="H20" s="428"/>
      <c r="I20" s="428"/>
      <c r="J20" s="428"/>
      <c r="K20" s="428"/>
      <c r="L20" s="428"/>
      <c r="M20" s="429"/>
    </row>
    <row r="21" spans="1:16138" customHeight="1" ht="12.75">
      <c r="A21" s="428"/>
      <c r="B21" s="428"/>
      <c r="C21" s="428"/>
      <c r="D21" s="428"/>
      <c r="E21" s="428"/>
      <c r="F21" s="428"/>
      <c r="G21" s="428"/>
      <c r="H21" s="428"/>
      <c r="I21" s="428"/>
      <c r="J21" s="428"/>
      <c r="K21" s="428"/>
      <c r="L21" s="428"/>
      <c r="M21" s="429"/>
    </row>
    <row r="22" spans="1:16138" customHeight="1" ht="12.75">
      <c r="A22" s="428"/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9"/>
    </row>
    <row r="23" spans="1:16138" customHeight="1" ht="12.75">
      <c r="A23" s="428"/>
      <c r="B23" s="428"/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429"/>
    </row>
    <row r="24" spans="1:16138" customHeight="1" ht="12.75">
      <c r="A24" s="428"/>
      <c r="B24" s="428"/>
      <c r="C24" s="428"/>
      <c r="D24" s="428"/>
      <c r="E24" s="428"/>
      <c r="F24" s="428"/>
      <c r="G24" s="428"/>
      <c r="H24" s="428"/>
      <c r="I24" s="428"/>
      <c r="J24" s="428"/>
      <c r="K24" s="428"/>
      <c r="L24" s="428"/>
      <c r="M24" s="429"/>
    </row>
    <row r="25" spans="1:16138" customHeight="1" ht="12.75">
      <c r="A25" s="430"/>
      <c r="B25" s="430"/>
      <c r="C25" s="430"/>
      <c r="D25" s="430"/>
      <c r="E25" s="430"/>
      <c r="F25" s="430"/>
      <c r="G25" s="430"/>
      <c r="H25" s="430"/>
      <c r="I25" s="430"/>
      <c r="J25" s="430"/>
      <c r="K25" s="430"/>
      <c r="L25" s="430"/>
      <c r="M25" s="431"/>
    </row>
    <row r="26" spans="1:16138" customHeight="1" ht="13.5">
      <c r="A26" s="95" t="s">
        <v>33</v>
      </c>
      <c r="B26" s="417"/>
      <c r="C26" s="418"/>
      <c r="D26" s="418"/>
      <c r="E26" s="418"/>
      <c r="F26" s="418"/>
      <c r="G26" s="418"/>
      <c r="H26" s="418"/>
      <c r="I26" s="419"/>
      <c r="J26" s="95" t="s">
        <v>34</v>
      </c>
      <c r="K26" s="420">
        <v>0</v>
      </c>
      <c r="L26" s="421"/>
      <c r="M26" s="422"/>
    </row>
    <row r="27" spans="1:16138" customHeight="1" ht="21.75" s="102" customForma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</row>
    <row r="30" spans="1:16138" customHeight="1" ht="18.75"/>
  </sheetData>
  <mergeCells>
    <mergeCell ref="B26:I26"/>
    <mergeCell ref="K26:M26"/>
    <mergeCell ref="A6:M6"/>
    <mergeCell ref="A7:M25"/>
    <mergeCell ref="A5:M5"/>
    <mergeCell ref="B1:K2"/>
    <mergeCell ref="G3:K3"/>
    <mergeCell ref="G4:K4"/>
    <mergeCell ref="L1:M2"/>
    <mergeCell ref="A1:A4"/>
    <mergeCell ref="C3:E3"/>
    <mergeCell ref="C4:E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VF60"/>
  <sheetViews>
    <sheetView tabSelected="0" workbookViewId="0" showGridLines="true" showRowColHeaders="1">
      <selection activeCell="V10" sqref="V10"/>
    </sheetView>
  </sheetViews>
  <sheetFormatPr defaultRowHeight="14.4" defaultColWidth="11" outlineLevelRow="0" outlineLevelCol="0"/>
  <cols>
    <col min="1" max="1" width="10.140625" customWidth="true" style="232"/>
    <col min="2" max="2" width="39.7109375" customWidth="true" style="232"/>
    <col min="3" max="3" width="11.28515625" customWidth="true" style="232"/>
    <col min="4" max="4" width="11.140625" customWidth="true" style="232"/>
    <col min="5" max="5" width="12.28515625" customWidth="true" style="232"/>
    <col min="6" max="6" width="5" customWidth="true" style="232"/>
    <col min="7" max="7" width="8.28515625" customWidth="true" style="232"/>
    <col min="8" max="8" width="2.85546875" customWidth="true" style="232"/>
    <col min="9" max="9" width="4.7109375" customWidth="true" style="232"/>
    <col min="10" max="10" width="2.85546875" customWidth="true" style="232"/>
    <col min="11" max="11" width="2.85546875" customWidth="true" style="232"/>
    <col min="12" max="12" width="3.42578125" customWidth="true" style="232"/>
    <col min="13" max="13" width="6.7109375" customWidth="true" style="232"/>
    <col min="14" max="14" width="12.85546875" customWidth="true" style="232"/>
    <col min="15" max="15" width="11" style="232"/>
    <col min="16" max="16" width="11" style="232"/>
    <col min="17" max="17" width="11" style="232"/>
    <col min="18" max="18" width="11" style="232"/>
    <col min="19" max="19" width="13.7109375" customWidth="true" style="232"/>
    <col min="20" max="20" width="11" style="232"/>
    <col min="21" max="21" width="11" style="232"/>
    <col min="22" max="22" width="11" style="232"/>
    <col min="23" max="23" width="11" style="232"/>
    <col min="24" max="24" width="11" style="232"/>
    <col min="25" max="25" width="11" style="232"/>
    <col min="26" max="26" width="11" style="232"/>
    <col min="27" max="27" width="11" style="232"/>
    <col min="28" max="28" width="11" style="232"/>
    <col min="29" max="29" width="11" style="232"/>
    <col min="30" max="30" width="11" style="232"/>
    <col min="31" max="31" width="11" style="232"/>
    <col min="32" max="32" width="11" style="232"/>
    <col min="33" max="33" width="11" style="232"/>
    <col min="34" max="34" width="11" style="232"/>
    <col min="35" max="35" width="11" style="232"/>
    <col min="36" max="36" width="11" style="232"/>
    <col min="37" max="37" width="11" style="232"/>
    <col min="38" max="38" width="11" style="232"/>
    <col min="39" max="39" width="11" style="232"/>
    <col min="40" max="40" width="11" style="232"/>
    <col min="41" max="41" width="11" style="232"/>
    <col min="42" max="42" width="11" style="232"/>
    <col min="43" max="43" width="11" style="232"/>
    <col min="44" max="44" width="11" style="232"/>
    <col min="45" max="45" width="11" style="232"/>
    <col min="46" max="46" width="11" style="232"/>
    <col min="47" max="47" width="11" style="232"/>
    <col min="48" max="48" width="11" style="232"/>
    <col min="49" max="49" width="11" style="232"/>
    <col min="50" max="50" width="11" style="232"/>
    <col min="51" max="51" width="11" style="232"/>
    <col min="52" max="52" width="11" style="232"/>
    <col min="53" max="53" width="11" style="232"/>
    <col min="54" max="54" width="11" style="232"/>
    <col min="55" max="55" width="11" style="232"/>
    <col min="56" max="56" width="11" style="232"/>
    <col min="57" max="57" width="11" style="232"/>
    <col min="58" max="58" width="11" style="232"/>
    <col min="59" max="59" width="11" style="232"/>
    <col min="60" max="60" width="11" style="232"/>
    <col min="61" max="61" width="11" style="232"/>
    <col min="62" max="62" width="11" style="232"/>
    <col min="63" max="63" width="11" style="232"/>
    <col min="64" max="64" width="11" style="232"/>
    <col min="65" max="65" width="11" style="232"/>
    <col min="66" max="66" width="11" style="232"/>
    <col min="67" max="67" width="11" style="232"/>
    <col min="68" max="68" width="11" style="232"/>
    <col min="69" max="69" width="11" style="232"/>
    <col min="70" max="70" width="11" style="232"/>
    <col min="71" max="71" width="11" style="232"/>
    <col min="72" max="72" width="11" style="232"/>
    <col min="73" max="73" width="11" style="232"/>
    <col min="74" max="74" width="11" style="232"/>
    <col min="75" max="75" width="11" style="232"/>
    <col min="76" max="76" width="11" style="232"/>
    <col min="77" max="77" width="11" style="232"/>
    <col min="78" max="78" width="11" style="232"/>
    <col min="79" max="79" width="11" style="232"/>
    <col min="80" max="80" width="11" style="232"/>
    <col min="81" max="81" width="11" style="232"/>
    <col min="82" max="82" width="11" style="232"/>
    <col min="83" max="83" width="11" style="232"/>
    <col min="84" max="84" width="11" style="232"/>
    <col min="85" max="85" width="11" style="232"/>
    <col min="86" max="86" width="11" style="232"/>
    <col min="87" max="87" width="11" style="232"/>
    <col min="88" max="88" width="11" style="232"/>
    <col min="89" max="89" width="11" style="232"/>
    <col min="90" max="90" width="11" style="232"/>
    <col min="91" max="91" width="11" style="232"/>
    <col min="92" max="92" width="11" style="232"/>
    <col min="93" max="93" width="11" style="232"/>
    <col min="94" max="94" width="11" style="232"/>
    <col min="95" max="95" width="11" style="232"/>
    <col min="96" max="96" width="11" style="232"/>
    <col min="97" max="97" width="11" style="232"/>
    <col min="98" max="98" width="11" style="232"/>
    <col min="99" max="99" width="11" style="232"/>
    <col min="100" max="100" width="11" style="232"/>
    <col min="101" max="101" width="11" style="232"/>
    <col min="102" max="102" width="11" style="232"/>
    <col min="103" max="103" width="11" style="232"/>
    <col min="104" max="104" width="11" style="232"/>
    <col min="105" max="105" width="11" style="232"/>
    <col min="106" max="106" width="11" style="232"/>
    <col min="107" max="107" width="11" style="232"/>
    <col min="108" max="108" width="11" style="232"/>
    <col min="109" max="109" width="11" style="232"/>
    <col min="110" max="110" width="11" style="232"/>
    <col min="111" max="111" width="11" style="232"/>
    <col min="112" max="112" width="11" style="232"/>
    <col min="113" max="113" width="11" style="232"/>
    <col min="114" max="114" width="11" style="232"/>
    <col min="115" max="115" width="11" style="232"/>
    <col min="116" max="116" width="11" style="232"/>
    <col min="117" max="117" width="11" style="232"/>
    <col min="118" max="118" width="11" style="232"/>
    <col min="119" max="119" width="11" style="232"/>
    <col min="120" max="120" width="11" style="232"/>
    <col min="121" max="121" width="11" style="232"/>
    <col min="122" max="122" width="11" style="232"/>
    <col min="123" max="123" width="11" style="232"/>
    <col min="124" max="124" width="11" style="232"/>
    <col min="125" max="125" width="11" style="232"/>
    <col min="126" max="126" width="11" style="232"/>
    <col min="127" max="127" width="11" style="232"/>
    <col min="128" max="128" width="11" style="232"/>
    <col min="129" max="129" width="11" style="232"/>
    <col min="130" max="130" width="11" style="232"/>
    <col min="131" max="131" width="11" style="232"/>
    <col min="132" max="132" width="11" style="232"/>
    <col min="133" max="133" width="11" style="232"/>
    <col min="134" max="134" width="11" style="232"/>
    <col min="135" max="135" width="11" style="232"/>
    <col min="136" max="136" width="11" style="232"/>
    <col min="137" max="137" width="11" style="232"/>
    <col min="138" max="138" width="11" style="232"/>
    <col min="139" max="139" width="11" style="232"/>
    <col min="140" max="140" width="11" style="232"/>
    <col min="141" max="141" width="11" style="232"/>
    <col min="142" max="142" width="11" style="232"/>
    <col min="143" max="143" width="11" style="232"/>
    <col min="144" max="144" width="11" style="232"/>
    <col min="145" max="145" width="11" style="232"/>
    <col min="146" max="146" width="11" style="232"/>
    <col min="147" max="147" width="11" style="232"/>
    <col min="148" max="148" width="11" style="232"/>
    <col min="149" max="149" width="11" style="232"/>
    <col min="150" max="150" width="11" style="232"/>
    <col min="151" max="151" width="11" style="232"/>
    <col min="152" max="152" width="11" style="232"/>
    <col min="153" max="153" width="11" style="232"/>
    <col min="154" max="154" width="11" style="232"/>
    <col min="155" max="155" width="11" style="232"/>
    <col min="156" max="156" width="11" style="232"/>
    <col min="157" max="157" width="11" style="232"/>
    <col min="158" max="158" width="11" style="232"/>
    <col min="159" max="159" width="11" style="232"/>
    <col min="160" max="160" width="11" style="232"/>
    <col min="161" max="161" width="11" style="232"/>
    <col min="162" max="162" width="11" style="232"/>
    <col min="163" max="163" width="11" style="232"/>
    <col min="164" max="164" width="11" style="232"/>
    <col min="165" max="165" width="11" style="232"/>
    <col min="166" max="166" width="11" style="232"/>
    <col min="167" max="167" width="11" style="232"/>
    <col min="168" max="168" width="11" style="232"/>
    <col min="169" max="169" width="11" style="232"/>
    <col min="170" max="170" width="11" style="232"/>
    <col min="171" max="171" width="11" style="232"/>
    <col min="172" max="172" width="11" style="232"/>
    <col min="173" max="173" width="11" style="232"/>
    <col min="174" max="174" width="11" style="232"/>
    <col min="175" max="175" width="11" style="232"/>
    <col min="176" max="176" width="11" style="232"/>
    <col min="177" max="177" width="11" style="232"/>
    <col min="178" max="178" width="11" style="232"/>
    <col min="179" max="179" width="11" style="232"/>
    <col min="180" max="180" width="11" style="232"/>
    <col min="181" max="181" width="11" style="232"/>
    <col min="182" max="182" width="11" style="232"/>
    <col min="183" max="183" width="11" style="232"/>
    <col min="184" max="184" width="11" style="232"/>
    <col min="185" max="185" width="11" style="232"/>
    <col min="186" max="186" width="11" style="232"/>
    <col min="187" max="187" width="11" style="232"/>
    <col min="188" max="188" width="11" style="232"/>
    <col min="189" max="189" width="11" style="232"/>
    <col min="190" max="190" width="11" style="232"/>
    <col min="191" max="191" width="11" style="232"/>
    <col min="192" max="192" width="11" style="232"/>
    <col min="193" max="193" width="11" style="232"/>
    <col min="194" max="194" width="11" style="232"/>
    <col min="195" max="195" width="11" style="232"/>
    <col min="196" max="196" width="11" style="232"/>
    <col min="197" max="197" width="11" style="232"/>
    <col min="198" max="198" width="11" style="232"/>
    <col min="199" max="199" width="11" style="232"/>
    <col min="200" max="200" width="11" style="232"/>
    <col min="201" max="201" width="11" style="232"/>
    <col min="202" max="202" width="11" style="232"/>
    <col min="203" max="203" width="11" style="232"/>
    <col min="204" max="204" width="11" style="232"/>
    <col min="205" max="205" width="11" style="232"/>
    <col min="206" max="206" width="11" style="232"/>
    <col min="207" max="207" width="11" style="232"/>
    <col min="208" max="208" width="11" style="232"/>
    <col min="209" max="209" width="11" style="232"/>
    <col min="210" max="210" width="11" style="232"/>
    <col min="211" max="211" width="11" style="232"/>
    <col min="212" max="212" width="11" style="232"/>
    <col min="213" max="213" width="11" style="232"/>
    <col min="214" max="214" width="11" style="232"/>
    <col min="215" max="215" width="11" style="232"/>
    <col min="216" max="216" width="11" style="232"/>
    <col min="217" max="217" width="11" style="232"/>
    <col min="218" max="218" width="11" style="232"/>
    <col min="219" max="219" width="11" style="232"/>
    <col min="220" max="220" width="11" style="232"/>
    <col min="221" max="221" width="11" style="232"/>
    <col min="222" max="222" width="11" style="232"/>
    <col min="223" max="223" width="11" style="232"/>
    <col min="224" max="224" width="11" style="232"/>
    <col min="225" max="225" width="11" style="232"/>
    <col min="226" max="226" width="11" style="232"/>
    <col min="227" max="227" width="11" style="232"/>
    <col min="228" max="228" width="11" style="232"/>
    <col min="229" max="229" width="11" style="232"/>
    <col min="230" max="230" width="11" style="232"/>
    <col min="231" max="231" width="11" style="232"/>
    <col min="232" max="232" width="11" style="232"/>
    <col min="233" max="233" width="11" style="232"/>
    <col min="234" max="234" width="11" style="232"/>
    <col min="235" max="235" width="11" style="232"/>
    <col min="236" max="236" width="11" style="232"/>
    <col min="237" max="237" width="11" style="232"/>
    <col min="238" max="238" width="11" style="232"/>
    <col min="239" max="239" width="11" style="232"/>
    <col min="240" max="240" width="11" style="232"/>
    <col min="241" max="241" width="11" style="232"/>
    <col min="242" max="242" width="11" style="232"/>
    <col min="243" max="243" width="11" style="232"/>
    <col min="244" max="244" width="11" style="232"/>
    <col min="245" max="245" width="10.140625" customWidth="true" style="232"/>
    <col min="246" max="246" width="10.140625" customWidth="true" style="232"/>
    <col min="247" max="247" width="10.140625" customWidth="true" style="232"/>
    <col min="248" max="248" width="10.140625" customWidth="true" style="232"/>
    <col min="249" max="249" width="10.140625" customWidth="true" style="232"/>
    <col min="250" max="250" width="10.140625" customWidth="true" style="232"/>
    <col min="251" max="251" width="10.140625" customWidth="true" style="232"/>
    <col min="252" max="252" width="10.140625" customWidth="true" style="232"/>
    <col min="253" max="253" width="10.140625" customWidth="true" style="232"/>
    <col min="254" max="254" width="11" style="232"/>
    <col min="255" max="255" width="11" style="232"/>
    <col min="256" max="256" width="11" style="232"/>
    <col min="257" max="257" width="11" style="232"/>
    <col min="258" max="258" width="11" style="232"/>
    <col min="259" max="259" width="11" style="232"/>
    <col min="260" max="260" width="11" style="232"/>
    <col min="261" max="261" width="11" style="232"/>
    <col min="262" max="262" width="11" style="232"/>
    <col min="263" max="263" width="11" style="232"/>
    <col min="264" max="264" width="11" style="232"/>
    <col min="265" max="265" width="11" style="232"/>
    <col min="266" max="266" width="11" style="232"/>
    <col min="267" max="267" width="11" style="232"/>
    <col min="268" max="268" width="11" style="232"/>
    <col min="269" max="269" width="11" style="232"/>
    <col min="270" max="270" width="11" style="232"/>
    <col min="271" max="271" width="11" style="232"/>
    <col min="272" max="272" width="11" style="232"/>
    <col min="273" max="273" width="11" style="232"/>
    <col min="274" max="274" width="11" style="232"/>
    <col min="275" max="275" width="11" style="232"/>
    <col min="276" max="276" width="11" style="232"/>
    <col min="277" max="277" width="11" style="232"/>
    <col min="278" max="278" width="11" style="232"/>
    <col min="279" max="279" width="11" style="232"/>
    <col min="280" max="280" width="11" style="232"/>
    <col min="281" max="281" width="11" style="232"/>
    <col min="282" max="282" width="11" style="232"/>
    <col min="283" max="283" width="11" style="232"/>
    <col min="284" max="284" width="11" style="232"/>
    <col min="285" max="285" width="11" style="232"/>
    <col min="286" max="286" width="11" style="232"/>
    <col min="287" max="287" width="11" style="232"/>
    <col min="288" max="288" width="11" style="232"/>
    <col min="289" max="289" width="11" style="232"/>
    <col min="290" max="290" width="11" style="232"/>
    <col min="291" max="291" width="11" style="232"/>
    <col min="292" max="292" width="11" style="232"/>
    <col min="293" max="293" width="11" style="232"/>
    <col min="294" max="294" width="11" style="232"/>
    <col min="295" max="295" width="11" style="232"/>
    <col min="296" max="296" width="11" style="232"/>
    <col min="297" max="297" width="11" style="232"/>
    <col min="298" max="298" width="11" style="232"/>
    <col min="299" max="299" width="11" style="232"/>
    <col min="300" max="300" width="11" style="232"/>
    <col min="301" max="301" width="11" style="232"/>
    <col min="302" max="302" width="11" style="232"/>
    <col min="303" max="303" width="11" style="232"/>
    <col min="304" max="304" width="11" style="232"/>
    <col min="305" max="305" width="11" style="232"/>
    <col min="306" max="306" width="11" style="232"/>
    <col min="307" max="307" width="11" style="232"/>
    <col min="308" max="308" width="11" style="232"/>
    <col min="309" max="309" width="11" style="232"/>
    <col min="310" max="310" width="11" style="232"/>
    <col min="311" max="311" width="11" style="232"/>
    <col min="312" max="312" width="11" style="232"/>
    <col min="313" max="313" width="11" style="232"/>
    <col min="314" max="314" width="11" style="232"/>
    <col min="315" max="315" width="11" style="232"/>
    <col min="316" max="316" width="11" style="232"/>
    <col min="317" max="317" width="11" style="232"/>
    <col min="318" max="318" width="11" style="232"/>
    <col min="319" max="319" width="11" style="232"/>
    <col min="320" max="320" width="11" style="232"/>
    <col min="321" max="321" width="11" style="232"/>
    <col min="322" max="322" width="11" style="232"/>
    <col min="323" max="323" width="11" style="232"/>
    <col min="324" max="324" width="11" style="232"/>
    <col min="325" max="325" width="11" style="232"/>
    <col min="326" max="326" width="11" style="232"/>
    <col min="327" max="327" width="11" style="232"/>
    <col min="328" max="328" width="11" style="232"/>
    <col min="329" max="329" width="11" style="232"/>
    <col min="330" max="330" width="11" style="232"/>
    <col min="331" max="331" width="11" style="232"/>
    <col min="332" max="332" width="11" style="232"/>
    <col min="333" max="333" width="11" style="232"/>
    <col min="334" max="334" width="11" style="232"/>
    <col min="335" max="335" width="11" style="232"/>
    <col min="336" max="336" width="11" style="232"/>
    <col min="337" max="337" width="11" style="232"/>
    <col min="338" max="338" width="11" style="232"/>
    <col min="339" max="339" width="11" style="232"/>
    <col min="340" max="340" width="11" style="232"/>
    <col min="341" max="341" width="11" style="232"/>
    <col min="342" max="342" width="11" style="232"/>
    <col min="343" max="343" width="11" style="232"/>
    <col min="344" max="344" width="11" style="232"/>
    <col min="345" max="345" width="11" style="232"/>
    <col min="346" max="346" width="11" style="232"/>
    <col min="347" max="347" width="11" style="232"/>
    <col min="348" max="348" width="11" style="232"/>
    <col min="349" max="349" width="11" style="232"/>
    <col min="350" max="350" width="11" style="232"/>
    <col min="351" max="351" width="11" style="232"/>
    <col min="352" max="352" width="11" style="232"/>
    <col min="353" max="353" width="11" style="232"/>
    <col min="354" max="354" width="11" style="232"/>
    <col min="355" max="355" width="11" style="232"/>
    <col min="356" max="356" width="11" style="232"/>
    <col min="357" max="357" width="11" style="232"/>
    <col min="358" max="358" width="11" style="232"/>
    <col min="359" max="359" width="11" style="232"/>
    <col min="360" max="360" width="11" style="232"/>
    <col min="361" max="361" width="11" style="232"/>
    <col min="362" max="362" width="11" style="232"/>
    <col min="363" max="363" width="11" style="232"/>
    <col min="364" max="364" width="11" style="232"/>
    <col min="365" max="365" width="11" style="232"/>
    <col min="366" max="366" width="11" style="232"/>
    <col min="367" max="367" width="11" style="232"/>
    <col min="368" max="368" width="11" style="232"/>
    <col min="369" max="369" width="11" style="232"/>
    <col min="370" max="370" width="11" style="232"/>
    <col min="371" max="371" width="11" style="232"/>
    <col min="372" max="372" width="11" style="232"/>
    <col min="373" max="373" width="11" style="232"/>
    <col min="374" max="374" width="11" style="232"/>
    <col min="375" max="375" width="11" style="232"/>
    <col min="376" max="376" width="11" style="232"/>
    <col min="377" max="377" width="11" style="232"/>
    <col min="378" max="378" width="11" style="232"/>
    <col min="379" max="379" width="11" style="232"/>
    <col min="380" max="380" width="11" style="232"/>
    <col min="381" max="381" width="11" style="232"/>
    <col min="382" max="382" width="11" style="232"/>
    <col min="383" max="383" width="11" style="232"/>
    <col min="384" max="384" width="11" style="232"/>
    <col min="385" max="385" width="11" style="232"/>
    <col min="386" max="386" width="11" style="232"/>
    <col min="387" max="387" width="11" style="232"/>
    <col min="388" max="388" width="11" style="232"/>
    <col min="389" max="389" width="11" style="232"/>
    <col min="390" max="390" width="11" style="232"/>
    <col min="391" max="391" width="11" style="232"/>
    <col min="392" max="392" width="11" style="232"/>
    <col min="393" max="393" width="11" style="232"/>
    <col min="394" max="394" width="11" style="232"/>
    <col min="395" max="395" width="11" style="232"/>
    <col min="396" max="396" width="11" style="232"/>
    <col min="397" max="397" width="11" style="232"/>
    <col min="398" max="398" width="11" style="232"/>
    <col min="399" max="399" width="11" style="232"/>
    <col min="400" max="400" width="11" style="232"/>
    <col min="401" max="401" width="11" style="232"/>
    <col min="402" max="402" width="11" style="232"/>
    <col min="403" max="403" width="11" style="232"/>
    <col min="404" max="404" width="11" style="232"/>
    <col min="405" max="405" width="11" style="232"/>
    <col min="406" max="406" width="11" style="232"/>
    <col min="407" max="407" width="11" style="232"/>
    <col min="408" max="408" width="11" style="232"/>
    <col min="409" max="409" width="11" style="232"/>
    <col min="410" max="410" width="11" style="232"/>
    <col min="411" max="411" width="11" style="232"/>
    <col min="412" max="412" width="11" style="232"/>
    <col min="413" max="413" width="11" style="232"/>
    <col min="414" max="414" width="11" style="232"/>
    <col min="415" max="415" width="11" style="232"/>
    <col min="416" max="416" width="11" style="232"/>
    <col min="417" max="417" width="11" style="232"/>
    <col min="418" max="418" width="11" style="232"/>
    <col min="419" max="419" width="11" style="232"/>
    <col min="420" max="420" width="11" style="232"/>
    <col min="421" max="421" width="11" style="232"/>
    <col min="422" max="422" width="11" style="232"/>
    <col min="423" max="423" width="11" style="232"/>
    <col min="424" max="424" width="11" style="232"/>
    <col min="425" max="425" width="11" style="232"/>
    <col min="426" max="426" width="11" style="232"/>
    <col min="427" max="427" width="11" style="232"/>
    <col min="428" max="428" width="11" style="232"/>
    <col min="429" max="429" width="11" style="232"/>
    <col min="430" max="430" width="11" style="232"/>
    <col min="431" max="431" width="11" style="232"/>
    <col min="432" max="432" width="11" style="232"/>
    <col min="433" max="433" width="11" style="232"/>
    <col min="434" max="434" width="11" style="232"/>
    <col min="435" max="435" width="11" style="232"/>
    <col min="436" max="436" width="11" style="232"/>
    <col min="437" max="437" width="11" style="232"/>
    <col min="438" max="438" width="11" style="232"/>
    <col min="439" max="439" width="11" style="232"/>
    <col min="440" max="440" width="11" style="232"/>
    <col min="441" max="441" width="11" style="232"/>
    <col min="442" max="442" width="11" style="232"/>
    <col min="443" max="443" width="11" style="232"/>
    <col min="444" max="444" width="11" style="232"/>
    <col min="445" max="445" width="11" style="232"/>
    <col min="446" max="446" width="11" style="232"/>
    <col min="447" max="447" width="11" style="232"/>
    <col min="448" max="448" width="11" style="232"/>
    <col min="449" max="449" width="11" style="232"/>
    <col min="450" max="450" width="11" style="232"/>
    <col min="451" max="451" width="11" style="232"/>
    <col min="452" max="452" width="11" style="232"/>
    <col min="453" max="453" width="11" style="232"/>
    <col min="454" max="454" width="11" style="232"/>
    <col min="455" max="455" width="11" style="232"/>
    <col min="456" max="456" width="11" style="232"/>
    <col min="457" max="457" width="11" style="232"/>
    <col min="458" max="458" width="11" style="232"/>
    <col min="459" max="459" width="11" style="232"/>
    <col min="460" max="460" width="11" style="232"/>
    <col min="461" max="461" width="11" style="232"/>
    <col min="462" max="462" width="11" style="232"/>
    <col min="463" max="463" width="11" style="232"/>
    <col min="464" max="464" width="11" style="232"/>
    <col min="465" max="465" width="11" style="232"/>
    <col min="466" max="466" width="11" style="232"/>
    <col min="467" max="467" width="11" style="232"/>
    <col min="468" max="468" width="11" style="232"/>
    <col min="469" max="469" width="11" style="232"/>
    <col min="470" max="470" width="11" style="232"/>
    <col min="471" max="471" width="11" style="232"/>
    <col min="472" max="472" width="11" style="232"/>
    <col min="473" max="473" width="11" style="232"/>
    <col min="474" max="474" width="11" style="232"/>
    <col min="475" max="475" width="11" style="232"/>
    <col min="476" max="476" width="11" style="232"/>
    <col min="477" max="477" width="11" style="232"/>
    <col min="478" max="478" width="11" style="232"/>
    <col min="479" max="479" width="11" style="232"/>
    <col min="480" max="480" width="11" style="232"/>
    <col min="481" max="481" width="11" style="232"/>
    <col min="482" max="482" width="11" style="232"/>
    <col min="483" max="483" width="11" style="232"/>
    <col min="484" max="484" width="11" style="232"/>
    <col min="485" max="485" width="11" style="232"/>
    <col min="486" max="486" width="11" style="232"/>
    <col min="487" max="487" width="11" style="232"/>
    <col min="488" max="488" width="11" style="232"/>
    <col min="489" max="489" width="11" style="232"/>
    <col min="490" max="490" width="11" style="232"/>
    <col min="491" max="491" width="11" style="232"/>
    <col min="492" max="492" width="11" style="232"/>
    <col min="493" max="493" width="11" style="232"/>
    <col min="494" max="494" width="11" style="232"/>
    <col min="495" max="495" width="11" style="232"/>
    <col min="496" max="496" width="11" style="232"/>
    <col min="497" max="497" width="11" style="232"/>
    <col min="498" max="498" width="11" style="232"/>
    <col min="499" max="499" width="11" style="232"/>
    <col min="500" max="500" width="11" style="232"/>
    <col min="501" max="501" width="10.140625" customWidth="true" style="232"/>
    <col min="502" max="502" width="10.140625" customWidth="true" style="232"/>
    <col min="503" max="503" width="10.140625" customWidth="true" style="232"/>
    <col min="504" max="504" width="10.140625" customWidth="true" style="232"/>
    <col min="505" max="505" width="10.140625" customWidth="true" style="232"/>
    <col min="506" max="506" width="10.140625" customWidth="true" style="232"/>
    <col min="507" max="507" width="10.140625" customWidth="true" style="232"/>
    <col min="508" max="508" width="10.140625" customWidth="true" style="232"/>
    <col min="509" max="509" width="10.140625" customWidth="true" style="232"/>
    <col min="510" max="510" width="11" style="232"/>
    <col min="511" max="511" width="11" style="232"/>
    <col min="512" max="512" width="11" style="232"/>
    <col min="513" max="513" width="11" style="232"/>
    <col min="514" max="514" width="11" style="232"/>
    <col min="515" max="515" width="11" style="232"/>
    <col min="516" max="516" width="11" style="232"/>
    <col min="517" max="517" width="11" style="232"/>
    <col min="518" max="518" width="11" style="232"/>
    <col min="519" max="519" width="11" style="232"/>
    <col min="520" max="520" width="11" style="232"/>
    <col min="521" max="521" width="11" style="232"/>
    <col min="522" max="522" width="11" style="232"/>
    <col min="523" max="523" width="11" style="232"/>
    <col min="524" max="524" width="11" style="232"/>
    <col min="525" max="525" width="11" style="232"/>
    <col min="526" max="526" width="11" style="232"/>
    <col min="527" max="527" width="11" style="232"/>
    <col min="528" max="528" width="11" style="232"/>
    <col min="529" max="529" width="11" style="232"/>
    <col min="530" max="530" width="11" style="232"/>
    <col min="531" max="531" width="11" style="232"/>
    <col min="532" max="532" width="11" style="232"/>
    <col min="533" max="533" width="11" style="232"/>
    <col min="534" max="534" width="11" style="232"/>
    <col min="535" max="535" width="11" style="232"/>
    <col min="536" max="536" width="11" style="232"/>
    <col min="537" max="537" width="11" style="232"/>
    <col min="538" max="538" width="11" style="232"/>
    <col min="539" max="539" width="11" style="232"/>
    <col min="540" max="540" width="11" style="232"/>
    <col min="541" max="541" width="11" style="232"/>
    <col min="542" max="542" width="11" style="232"/>
    <col min="543" max="543" width="11" style="232"/>
    <col min="544" max="544" width="11" style="232"/>
    <col min="545" max="545" width="11" style="232"/>
    <col min="546" max="546" width="11" style="232"/>
    <col min="547" max="547" width="11" style="232"/>
    <col min="548" max="548" width="11" style="232"/>
    <col min="549" max="549" width="11" style="232"/>
    <col min="550" max="550" width="11" style="232"/>
    <col min="551" max="551" width="11" style="232"/>
    <col min="552" max="552" width="11" style="232"/>
    <col min="553" max="553" width="11" style="232"/>
    <col min="554" max="554" width="11" style="232"/>
    <col min="555" max="555" width="11" style="232"/>
    <col min="556" max="556" width="11" style="232"/>
    <col min="557" max="557" width="11" style="232"/>
    <col min="558" max="558" width="11" style="232"/>
    <col min="559" max="559" width="11" style="232"/>
    <col min="560" max="560" width="11" style="232"/>
    <col min="561" max="561" width="11" style="232"/>
    <col min="562" max="562" width="11" style="232"/>
    <col min="563" max="563" width="11" style="232"/>
    <col min="564" max="564" width="11" style="232"/>
    <col min="565" max="565" width="11" style="232"/>
    <col min="566" max="566" width="11" style="232"/>
    <col min="567" max="567" width="11" style="232"/>
    <col min="568" max="568" width="11" style="232"/>
    <col min="569" max="569" width="11" style="232"/>
    <col min="570" max="570" width="11" style="232"/>
    <col min="571" max="571" width="11" style="232"/>
    <col min="572" max="572" width="11" style="232"/>
    <col min="573" max="573" width="11" style="232"/>
    <col min="574" max="574" width="11" style="232"/>
    <col min="575" max="575" width="11" style="232"/>
    <col min="576" max="576" width="11" style="232"/>
    <col min="577" max="577" width="11" style="232"/>
    <col min="578" max="578" width="11" style="232"/>
    <col min="579" max="579" width="11" style="232"/>
    <col min="580" max="580" width="11" style="232"/>
    <col min="581" max="581" width="11" style="232"/>
    <col min="582" max="582" width="11" style="232"/>
    <col min="583" max="583" width="11" style="232"/>
    <col min="584" max="584" width="11" style="232"/>
    <col min="585" max="585" width="11" style="232"/>
    <col min="586" max="586" width="11" style="232"/>
    <col min="587" max="587" width="11" style="232"/>
    <col min="588" max="588" width="11" style="232"/>
    <col min="589" max="589" width="11" style="232"/>
    <col min="590" max="590" width="11" style="232"/>
    <col min="591" max="591" width="11" style="232"/>
    <col min="592" max="592" width="11" style="232"/>
    <col min="593" max="593" width="11" style="232"/>
    <col min="594" max="594" width="11" style="232"/>
    <col min="595" max="595" width="11" style="232"/>
    <col min="596" max="596" width="11" style="232"/>
    <col min="597" max="597" width="11" style="232"/>
    <col min="598" max="598" width="11" style="232"/>
    <col min="599" max="599" width="11" style="232"/>
    <col min="600" max="600" width="11" style="232"/>
    <col min="601" max="601" width="11" style="232"/>
    <col min="602" max="602" width="11" style="232"/>
    <col min="603" max="603" width="11" style="232"/>
    <col min="604" max="604" width="11" style="232"/>
    <col min="605" max="605" width="11" style="232"/>
    <col min="606" max="606" width="11" style="232"/>
    <col min="607" max="607" width="11" style="232"/>
    <col min="608" max="608" width="11" style="232"/>
    <col min="609" max="609" width="11" style="232"/>
    <col min="610" max="610" width="11" style="232"/>
    <col min="611" max="611" width="11" style="232"/>
    <col min="612" max="612" width="11" style="232"/>
    <col min="613" max="613" width="11" style="232"/>
    <col min="614" max="614" width="11" style="232"/>
    <col min="615" max="615" width="11" style="232"/>
    <col min="616" max="616" width="11" style="232"/>
    <col min="617" max="617" width="11" style="232"/>
    <col min="618" max="618" width="11" style="232"/>
    <col min="619" max="619" width="11" style="232"/>
    <col min="620" max="620" width="11" style="232"/>
    <col min="621" max="621" width="11" style="232"/>
    <col min="622" max="622" width="11" style="232"/>
    <col min="623" max="623" width="11" style="232"/>
    <col min="624" max="624" width="11" style="232"/>
    <col min="625" max="625" width="11" style="232"/>
    <col min="626" max="626" width="11" style="232"/>
    <col min="627" max="627" width="11" style="232"/>
    <col min="628" max="628" width="11" style="232"/>
    <col min="629" max="629" width="11" style="232"/>
    <col min="630" max="630" width="11" style="232"/>
    <col min="631" max="631" width="11" style="232"/>
    <col min="632" max="632" width="11" style="232"/>
    <col min="633" max="633" width="11" style="232"/>
    <col min="634" max="634" width="11" style="232"/>
    <col min="635" max="635" width="11" style="232"/>
    <col min="636" max="636" width="11" style="232"/>
    <col min="637" max="637" width="11" style="232"/>
    <col min="638" max="638" width="11" style="232"/>
    <col min="639" max="639" width="11" style="232"/>
    <col min="640" max="640" width="11" style="232"/>
    <col min="641" max="641" width="11" style="232"/>
    <col min="642" max="642" width="11" style="232"/>
    <col min="643" max="643" width="11" style="232"/>
    <col min="644" max="644" width="11" style="232"/>
    <col min="645" max="645" width="11" style="232"/>
    <col min="646" max="646" width="11" style="232"/>
    <col min="647" max="647" width="11" style="232"/>
    <col min="648" max="648" width="11" style="232"/>
    <col min="649" max="649" width="11" style="232"/>
    <col min="650" max="650" width="11" style="232"/>
    <col min="651" max="651" width="11" style="232"/>
    <col min="652" max="652" width="11" style="232"/>
    <col min="653" max="653" width="11" style="232"/>
    <col min="654" max="654" width="11" style="232"/>
    <col min="655" max="655" width="11" style="232"/>
    <col min="656" max="656" width="11" style="232"/>
    <col min="657" max="657" width="11" style="232"/>
    <col min="658" max="658" width="11" style="232"/>
    <col min="659" max="659" width="11" style="232"/>
    <col min="660" max="660" width="11" style="232"/>
    <col min="661" max="661" width="11" style="232"/>
    <col min="662" max="662" width="11" style="232"/>
    <col min="663" max="663" width="11" style="232"/>
    <col min="664" max="664" width="11" style="232"/>
    <col min="665" max="665" width="11" style="232"/>
    <col min="666" max="666" width="11" style="232"/>
    <col min="667" max="667" width="11" style="232"/>
    <col min="668" max="668" width="11" style="232"/>
    <col min="669" max="669" width="11" style="232"/>
    <col min="670" max="670" width="11" style="232"/>
    <col min="671" max="671" width="11" style="232"/>
    <col min="672" max="672" width="11" style="232"/>
    <col min="673" max="673" width="11" style="232"/>
    <col min="674" max="674" width="11" style="232"/>
    <col min="675" max="675" width="11" style="232"/>
    <col min="676" max="676" width="11" style="232"/>
    <col min="677" max="677" width="11" style="232"/>
    <col min="678" max="678" width="11" style="232"/>
    <col min="679" max="679" width="11" style="232"/>
    <col min="680" max="680" width="11" style="232"/>
    <col min="681" max="681" width="11" style="232"/>
    <col min="682" max="682" width="11" style="232"/>
    <col min="683" max="683" width="11" style="232"/>
    <col min="684" max="684" width="11" style="232"/>
    <col min="685" max="685" width="11" style="232"/>
    <col min="686" max="686" width="11" style="232"/>
    <col min="687" max="687" width="11" style="232"/>
    <col min="688" max="688" width="11" style="232"/>
    <col min="689" max="689" width="11" style="232"/>
    <col min="690" max="690" width="11" style="232"/>
    <col min="691" max="691" width="11" style="232"/>
    <col min="692" max="692" width="11" style="232"/>
    <col min="693" max="693" width="11" style="232"/>
    <col min="694" max="694" width="11" style="232"/>
    <col min="695" max="695" width="11" style="232"/>
    <col min="696" max="696" width="11" style="232"/>
    <col min="697" max="697" width="11" style="232"/>
    <col min="698" max="698" width="11" style="232"/>
    <col min="699" max="699" width="11" style="232"/>
    <col min="700" max="700" width="11" style="232"/>
    <col min="701" max="701" width="11" style="232"/>
    <col min="702" max="702" width="11" style="232"/>
    <col min="703" max="703" width="11" style="232"/>
    <col min="704" max="704" width="11" style="232"/>
    <col min="705" max="705" width="11" style="232"/>
    <col min="706" max="706" width="11" style="232"/>
    <col min="707" max="707" width="11" style="232"/>
    <col min="708" max="708" width="11" style="232"/>
    <col min="709" max="709" width="11" style="232"/>
    <col min="710" max="710" width="11" style="232"/>
    <col min="711" max="711" width="11" style="232"/>
    <col min="712" max="712" width="11" style="232"/>
    <col min="713" max="713" width="11" style="232"/>
    <col min="714" max="714" width="11" style="232"/>
    <col min="715" max="715" width="11" style="232"/>
    <col min="716" max="716" width="11" style="232"/>
    <col min="717" max="717" width="11" style="232"/>
    <col min="718" max="718" width="11" style="232"/>
    <col min="719" max="719" width="11" style="232"/>
    <col min="720" max="720" width="11" style="232"/>
    <col min="721" max="721" width="11" style="232"/>
    <col min="722" max="722" width="11" style="232"/>
    <col min="723" max="723" width="11" style="232"/>
    <col min="724" max="724" width="11" style="232"/>
    <col min="725" max="725" width="11" style="232"/>
    <col min="726" max="726" width="11" style="232"/>
    <col min="727" max="727" width="11" style="232"/>
    <col min="728" max="728" width="11" style="232"/>
    <col min="729" max="729" width="11" style="232"/>
    <col min="730" max="730" width="11" style="232"/>
    <col min="731" max="731" width="11" style="232"/>
    <col min="732" max="732" width="11" style="232"/>
    <col min="733" max="733" width="11" style="232"/>
    <col min="734" max="734" width="11" style="232"/>
    <col min="735" max="735" width="11" style="232"/>
    <col min="736" max="736" width="11" style="232"/>
    <col min="737" max="737" width="11" style="232"/>
    <col min="738" max="738" width="11" style="232"/>
    <col min="739" max="739" width="11" style="232"/>
    <col min="740" max="740" width="11" style="232"/>
    <col min="741" max="741" width="11" style="232"/>
    <col min="742" max="742" width="11" style="232"/>
    <col min="743" max="743" width="11" style="232"/>
    <col min="744" max="744" width="11" style="232"/>
    <col min="745" max="745" width="11" style="232"/>
    <col min="746" max="746" width="11" style="232"/>
    <col min="747" max="747" width="11" style="232"/>
    <col min="748" max="748" width="11" style="232"/>
    <col min="749" max="749" width="11" style="232"/>
    <col min="750" max="750" width="11" style="232"/>
    <col min="751" max="751" width="11" style="232"/>
    <col min="752" max="752" width="11" style="232"/>
    <col min="753" max="753" width="11" style="232"/>
    <col min="754" max="754" width="11" style="232"/>
    <col min="755" max="755" width="11" style="232"/>
    <col min="756" max="756" width="11" style="232"/>
    <col min="757" max="757" width="10.140625" customWidth="true" style="232"/>
    <col min="758" max="758" width="10.140625" customWidth="true" style="232"/>
    <col min="759" max="759" width="10.140625" customWidth="true" style="232"/>
    <col min="760" max="760" width="10.140625" customWidth="true" style="232"/>
    <col min="761" max="761" width="10.140625" customWidth="true" style="232"/>
    <col min="762" max="762" width="10.140625" customWidth="true" style="232"/>
    <col min="763" max="763" width="10.140625" customWidth="true" style="232"/>
    <col min="764" max="764" width="10.140625" customWidth="true" style="232"/>
    <col min="765" max="765" width="10.140625" customWidth="true" style="232"/>
    <col min="766" max="766" width="11" style="232"/>
    <col min="767" max="767" width="11" style="232"/>
    <col min="768" max="768" width="11" style="232"/>
    <col min="769" max="769" width="11" style="232"/>
    <col min="770" max="770" width="11" style="232"/>
    <col min="771" max="771" width="11" style="232"/>
    <col min="772" max="772" width="11" style="232"/>
    <col min="773" max="773" width="11" style="232"/>
    <col min="774" max="774" width="11" style="232"/>
    <col min="775" max="775" width="11" style="232"/>
    <col min="776" max="776" width="11" style="232"/>
    <col min="777" max="777" width="11" style="232"/>
    <col min="778" max="778" width="11" style="232"/>
    <col min="779" max="779" width="11" style="232"/>
    <col min="780" max="780" width="11" style="232"/>
    <col min="781" max="781" width="11" style="232"/>
    <col min="782" max="782" width="11" style="232"/>
    <col min="783" max="783" width="11" style="232"/>
    <col min="784" max="784" width="11" style="232"/>
    <col min="785" max="785" width="11" style="232"/>
    <col min="786" max="786" width="11" style="232"/>
    <col min="787" max="787" width="11" style="232"/>
    <col min="788" max="788" width="11" style="232"/>
    <col min="789" max="789" width="11" style="232"/>
    <col min="790" max="790" width="11" style="232"/>
    <col min="791" max="791" width="11" style="232"/>
    <col min="792" max="792" width="11" style="232"/>
    <col min="793" max="793" width="11" style="232"/>
    <col min="794" max="794" width="11" style="232"/>
    <col min="795" max="795" width="11" style="232"/>
    <col min="796" max="796" width="11" style="232"/>
    <col min="797" max="797" width="11" style="232"/>
    <col min="798" max="798" width="11" style="232"/>
    <col min="799" max="799" width="11" style="232"/>
    <col min="800" max="800" width="11" style="232"/>
    <col min="801" max="801" width="11" style="232"/>
    <col min="802" max="802" width="11" style="232"/>
    <col min="803" max="803" width="11" style="232"/>
    <col min="804" max="804" width="11" style="232"/>
    <col min="805" max="805" width="11" style="232"/>
    <col min="806" max="806" width="11" style="232"/>
    <col min="807" max="807" width="11" style="232"/>
    <col min="808" max="808" width="11" style="232"/>
    <col min="809" max="809" width="11" style="232"/>
    <col min="810" max="810" width="11" style="232"/>
    <col min="811" max="811" width="11" style="232"/>
    <col min="812" max="812" width="11" style="232"/>
    <col min="813" max="813" width="11" style="232"/>
    <col min="814" max="814" width="11" style="232"/>
    <col min="815" max="815" width="11" style="232"/>
    <col min="816" max="816" width="11" style="232"/>
    <col min="817" max="817" width="11" style="232"/>
    <col min="818" max="818" width="11" style="232"/>
    <col min="819" max="819" width="11" style="232"/>
    <col min="820" max="820" width="11" style="232"/>
    <col min="821" max="821" width="11" style="232"/>
    <col min="822" max="822" width="11" style="232"/>
    <col min="823" max="823" width="11" style="232"/>
    <col min="824" max="824" width="11" style="232"/>
    <col min="825" max="825" width="11" style="232"/>
    <col min="826" max="826" width="11" style="232"/>
    <col min="827" max="827" width="11" style="232"/>
    <col min="828" max="828" width="11" style="232"/>
    <col min="829" max="829" width="11" style="232"/>
    <col min="830" max="830" width="11" style="232"/>
    <col min="831" max="831" width="11" style="232"/>
    <col min="832" max="832" width="11" style="232"/>
    <col min="833" max="833" width="11" style="232"/>
    <col min="834" max="834" width="11" style="232"/>
    <col min="835" max="835" width="11" style="232"/>
    <col min="836" max="836" width="11" style="232"/>
    <col min="837" max="837" width="11" style="232"/>
    <col min="838" max="838" width="11" style="232"/>
    <col min="839" max="839" width="11" style="232"/>
    <col min="840" max="840" width="11" style="232"/>
    <col min="841" max="841" width="11" style="232"/>
    <col min="842" max="842" width="11" style="232"/>
    <col min="843" max="843" width="11" style="232"/>
    <col min="844" max="844" width="11" style="232"/>
    <col min="845" max="845" width="11" style="232"/>
    <col min="846" max="846" width="11" style="232"/>
    <col min="847" max="847" width="11" style="232"/>
    <col min="848" max="848" width="11" style="232"/>
    <col min="849" max="849" width="11" style="232"/>
    <col min="850" max="850" width="11" style="232"/>
    <col min="851" max="851" width="11" style="232"/>
    <col min="852" max="852" width="11" style="232"/>
    <col min="853" max="853" width="11" style="232"/>
    <col min="854" max="854" width="11" style="232"/>
    <col min="855" max="855" width="11" style="232"/>
    <col min="856" max="856" width="11" style="232"/>
    <col min="857" max="857" width="11" style="232"/>
    <col min="858" max="858" width="11" style="232"/>
    <col min="859" max="859" width="11" style="232"/>
    <col min="860" max="860" width="11" style="232"/>
    <col min="861" max="861" width="11" style="232"/>
    <col min="862" max="862" width="11" style="232"/>
    <col min="863" max="863" width="11" style="232"/>
    <col min="864" max="864" width="11" style="232"/>
    <col min="865" max="865" width="11" style="232"/>
    <col min="866" max="866" width="11" style="232"/>
    <col min="867" max="867" width="11" style="232"/>
    <col min="868" max="868" width="11" style="232"/>
    <col min="869" max="869" width="11" style="232"/>
    <col min="870" max="870" width="11" style="232"/>
    <col min="871" max="871" width="11" style="232"/>
    <col min="872" max="872" width="11" style="232"/>
    <col min="873" max="873" width="11" style="232"/>
    <col min="874" max="874" width="11" style="232"/>
    <col min="875" max="875" width="11" style="232"/>
    <col min="876" max="876" width="11" style="232"/>
    <col min="877" max="877" width="11" style="232"/>
    <col min="878" max="878" width="11" style="232"/>
    <col min="879" max="879" width="11" style="232"/>
    <col min="880" max="880" width="11" style="232"/>
    <col min="881" max="881" width="11" style="232"/>
    <col min="882" max="882" width="11" style="232"/>
    <col min="883" max="883" width="11" style="232"/>
    <col min="884" max="884" width="11" style="232"/>
    <col min="885" max="885" width="11" style="232"/>
    <col min="886" max="886" width="11" style="232"/>
    <col min="887" max="887" width="11" style="232"/>
    <col min="888" max="888" width="11" style="232"/>
    <col min="889" max="889" width="11" style="232"/>
    <col min="890" max="890" width="11" style="232"/>
    <col min="891" max="891" width="11" style="232"/>
    <col min="892" max="892" width="11" style="232"/>
    <col min="893" max="893" width="11" style="232"/>
    <col min="894" max="894" width="11" style="232"/>
    <col min="895" max="895" width="11" style="232"/>
    <col min="896" max="896" width="11" style="232"/>
    <col min="897" max="897" width="11" style="232"/>
    <col min="898" max="898" width="11" style="232"/>
    <col min="899" max="899" width="11" style="232"/>
    <col min="900" max="900" width="11" style="232"/>
    <col min="901" max="901" width="11" style="232"/>
    <col min="902" max="902" width="11" style="232"/>
    <col min="903" max="903" width="11" style="232"/>
    <col min="904" max="904" width="11" style="232"/>
    <col min="905" max="905" width="11" style="232"/>
    <col min="906" max="906" width="11" style="232"/>
    <col min="907" max="907" width="11" style="232"/>
    <col min="908" max="908" width="11" style="232"/>
    <col min="909" max="909" width="11" style="232"/>
    <col min="910" max="910" width="11" style="232"/>
    <col min="911" max="911" width="11" style="232"/>
    <col min="912" max="912" width="11" style="232"/>
    <col min="913" max="913" width="11" style="232"/>
    <col min="914" max="914" width="11" style="232"/>
    <col min="915" max="915" width="11" style="232"/>
    <col min="916" max="916" width="11" style="232"/>
    <col min="917" max="917" width="11" style="232"/>
    <col min="918" max="918" width="11" style="232"/>
    <col min="919" max="919" width="11" style="232"/>
    <col min="920" max="920" width="11" style="232"/>
    <col min="921" max="921" width="11" style="232"/>
    <col min="922" max="922" width="11" style="232"/>
    <col min="923" max="923" width="11" style="232"/>
    <col min="924" max="924" width="11" style="232"/>
    <col min="925" max="925" width="11" style="232"/>
    <col min="926" max="926" width="11" style="232"/>
    <col min="927" max="927" width="11" style="232"/>
    <col min="928" max="928" width="11" style="232"/>
    <col min="929" max="929" width="11" style="232"/>
    <col min="930" max="930" width="11" style="232"/>
    <col min="931" max="931" width="11" style="232"/>
    <col min="932" max="932" width="11" style="232"/>
    <col min="933" max="933" width="11" style="232"/>
    <col min="934" max="934" width="11" style="232"/>
    <col min="935" max="935" width="11" style="232"/>
    <col min="936" max="936" width="11" style="232"/>
    <col min="937" max="937" width="11" style="232"/>
    <col min="938" max="938" width="11" style="232"/>
    <col min="939" max="939" width="11" style="232"/>
    <col min="940" max="940" width="11" style="232"/>
    <col min="941" max="941" width="11" style="232"/>
    <col min="942" max="942" width="11" style="232"/>
    <col min="943" max="943" width="11" style="232"/>
    <col min="944" max="944" width="11" style="232"/>
    <col min="945" max="945" width="11" style="232"/>
    <col min="946" max="946" width="11" style="232"/>
    <col min="947" max="947" width="11" style="232"/>
    <col min="948" max="948" width="11" style="232"/>
    <col min="949" max="949" width="11" style="232"/>
    <col min="950" max="950" width="11" style="232"/>
    <col min="951" max="951" width="11" style="232"/>
    <col min="952" max="952" width="11" style="232"/>
    <col min="953" max="953" width="11" style="232"/>
    <col min="954" max="954" width="11" style="232"/>
    <col min="955" max="955" width="11" style="232"/>
    <col min="956" max="956" width="11" style="232"/>
    <col min="957" max="957" width="11" style="232"/>
    <col min="958" max="958" width="11" style="232"/>
    <col min="959" max="959" width="11" style="232"/>
    <col min="960" max="960" width="11" style="232"/>
    <col min="961" max="961" width="11" style="232"/>
    <col min="962" max="962" width="11" style="232"/>
    <col min="963" max="963" width="11" style="232"/>
    <col min="964" max="964" width="11" style="232"/>
    <col min="965" max="965" width="11" style="232"/>
    <col min="966" max="966" width="11" style="232"/>
    <col min="967" max="967" width="11" style="232"/>
    <col min="968" max="968" width="11" style="232"/>
    <col min="969" max="969" width="11" style="232"/>
    <col min="970" max="970" width="11" style="232"/>
    <col min="971" max="971" width="11" style="232"/>
    <col min="972" max="972" width="11" style="232"/>
    <col min="973" max="973" width="11" style="232"/>
    <col min="974" max="974" width="11" style="232"/>
    <col min="975" max="975" width="11" style="232"/>
    <col min="976" max="976" width="11" style="232"/>
    <col min="977" max="977" width="11" style="232"/>
    <col min="978" max="978" width="11" style="232"/>
    <col min="979" max="979" width="11" style="232"/>
    <col min="980" max="980" width="11" style="232"/>
    <col min="981" max="981" width="11" style="232"/>
    <col min="982" max="982" width="11" style="232"/>
    <col min="983" max="983" width="11" style="232"/>
    <col min="984" max="984" width="11" style="232"/>
    <col min="985" max="985" width="11" style="232"/>
    <col min="986" max="986" width="11" style="232"/>
    <col min="987" max="987" width="11" style="232"/>
    <col min="988" max="988" width="11" style="232"/>
    <col min="989" max="989" width="11" style="232"/>
    <col min="990" max="990" width="11" style="232"/>
    <col min="991" max="991" width="11" style="232"/>
    <col min="992" max="992" width="11" style="232"/>
    <col min="993" max="993" width="11" style="232"/>
    <col min="994" max="994" width="11" style="232"/>
    <col min="995" max="995" width="11" style="232"/>
    <col min="996" max="996" width="11" style="232"/>
    <col min="997" max="997" width="11" style="232"/>
    <col min="998" max="998" width="11" style="232"/>
    <col min="999" max="999" width="11" style="232"/>
    <col min="1000" max="1000" width="11" style="232"/>
    <col min="1001" max="1001" width="11" style="232"/>
    <col min="1002" max="1002" width="11" style="232"/>
    <col min="1003" max="1003" width="11" style="232"/>
    <col min="1004" max="1004" width="11" style="232"/>
    <col min="1005" max="1005" width="11" style="232"/>
    <col min="1006" max="1006" width="11" style="232"/>
    <col min="1007" max="1007" width="11" style="232"/>
    <col min="1008" max="1008" width="11" style="232"/>
    <col min="1009" max="1009" width="11" style="232"/>
    <col min="1010" max="1010" width="11" style="232"/>
    <col min="1011" max="1011" width="11" style="232"/>
    <col min="1012" max="1012" width="11" style="232"/>
    <col min="1013" max="1013" width="10.140625" customWidth="true" style="232"/>
    <col min="1014" max="1014" width="10.140625" customWidth="true" style="232"/>
    <col min="1015" max="1015" width="10.140625" customWidth="true" style="232"/>
    <col min="1016" max="1016" width="10.140625" customWidth="true" style="232"/>
    <col min="1017" max="1017" width="10.140625" customWidth="true" style="232"/>
    <col min="1018" max="1018" width="10.140625" customWidth="true" style="232"/>
    <col min="1019" max="1019" width="10.140625" customWidth="true" style="232"/>
    <col min="1020" max="1020" width="10.140625" customWidth="true" style="232"/>
    <col min="1021" max="1021" width="10.140625" customWidth="true" style="232"/>
    <col min="1022" max="1022" width="11" style="232"/>
    <col min="1023" max="1023" width="11" style="232"/>
    <col min="1024" max="1024" width="11" style="232"/>
    <col min="1025" max="1025" width="11" style="232"/>
    <col min="1026" max="1026" width="11" style="232"/>
    <col min="1027" max="1027" width="11" style="232"/>
    <col min="1028" max="1028" width="11" style="232"/>
    <col min="1029" max="1029" width="11" style="232"/>
    <col min="1030" max="1030" width="11" style="232"/>
    <col min="1031" max="1031" width="11" style="232"/>
    <col min="1032" max="1032" width="11" style="232"/>
    <col min="1033" max="1033" width="11" style="232"/>
    <col min="1034" max="1034" width="11" style="232"/>
    <col min="1035" max="1035" width="11" style="232"/>
    <col min="1036" max="1036" width="11" style="232"/>
    <col min="1037" max="1037" width="11" style="232"/>
    <col min="1038" max="1038" width="11" style="232"/>
    <col min="1039" max="1039" width="11" style="232"/>
    <col min="1040" max="1040" width="11" style="232"/>
    <col min="1041" max="1041" width="11" style="232"/>
    <col min="1042" max="1042" width="11" style="232"/>
    <col min="1043" max="1043" width="11" style="232"/>
    <col min="1044" max="1044" width="11" style="232"/>
    <col min="1045" max="1045" width="11" style="232"/>
    <col min="1046" max="1046" width="11" style="232"/>
    <col min="1047" max="1047" width="11" style="232"/>
    <col min="1048" max="1048" width="11" style="232"/>
    <col min="1049" max="1049" width="11" style="232"/>
    <col min="1050" max="1050" width="11" style="232"/>
    <col min="1051" max="1051" width="11" style="232"/>
    <col min="1052" max="1052" width="11" style="232"/>
    <col min="1053" max="1053" width="11" style="232"/>
    <col min="1054" max="1054" width="11" style="232"/>
    <col min="1055" max="1055" width="11" style="232"/>
    <col min="1056" max="1056" width="11" style="232"/>
    <col min="1057" max="1057" width="11" style="232"/>
    <col min="1058" max="1058" width="11" style="232"/>
    <col min="1059" max="1059" width="11" style="232"/>
    <col min="1060" max="1060" width="11" style="232"/>
    <col min="1061" max="1061" width="11" style="232"/>
    <col min="1062" max="1062" width="11" style="232"/>
    <col min="1063" max="1063" width="11" style="232"/>
    <col min="1064" max="1064" width="11" style="232"/>
    <col min="1065" max="1065" width="11" style="232"/>
    <col min="1066" max="1066" width="11" style="232"/>
    <col min="1067" max="1067" width="11" style="232"/>
    <col min="1068" max="1068" width="11" style="232"/>
    <col min="1069" max="1069" width="11" style="232"/>
    <col min="1070" max="1070" width="11" style="232"/>
    <col min="1071" max="1071" width="11" style="232"/>
    <col min="1072" max="1072" width="11" style="232"/>
    <col min="1073" max="1073" width="11" style="232"/>
    <col min="1074" max="1074" width="11" style="232"/>
    <col min="1075" max="1075" width="11" style="232"/>
    <col min="1076" max="1076" width="11" style="232"/>
    <col min="1077" max="1077" width="11" style="232"/>
    <col min="1078" max="1078" width="11" style="232"/>
    <col min="1079" max="1079" width="11" style="232"/>
    <col min="1080" max="1080" width="11" style="232"/>
    <col min="1081" max="1081" width="11" style="232"/>
    <col min="1082" max="1082" width="11" style="232"/>
    <col min="1083" max="1083" width="11" style="232"/>
    <col min="1084" max="1084" width="11" style="232"/>
    <col min="1085" max="1085" width="11" style="232"/>
    <col min="1086" max="1086" width="11" style="232"/>
    <col min="1087" max="1087" width="11" style="232"/>
    <col min="1088" max="1088" width="11" style="232"/>
    <col min="1089" max="1089" width="11" style="232"/>
    <col min="1090" max="1090" width="11" style="232"/>
    <col min="1091" max="1091" width="11" style="232"/>
    <col min="1092" max="1092" width="11" style="232"/>
    <col min="1093" max="1093" width="11" style="232"/>
    <col min="1094" max="1094" width="11" style="232"/>
    <col min="1095" max="1095" width="11" style="232"/>
    <col min="1096" max="1096" width="11" style="232"/>
    <col min="1097" max="1097" width="11" style="232"/>
    <col min="1098" max="1098" width="11" style="232"/>
    <col min="1099" max="1099" width="11" style="232"/>
    <col min="1100" max="1100" width="11" style="232"/>
    <col min="1101" max="1101" width="11" style="232"/>
    <col min="1102" max="1102" width="11" style="232"/>
    <col min="1103" max="1103" width="11" style="232"/>
    <col min="1104" max="1104" width="11" style="232"/>
    <col min="1105" max="1105" width="11" style="232"/>
    <col min="1106" max="1106" width="11" style="232"/>
    <col min="1107" max="1107" width="11" style="232"/>
    <col min="1108" max="1108" width="11" style="232"/>
    <col min="1109" max="1109" width="11" style="232"/>
    <col min="1110" max="1110" width="11" style="232"/>
    <col min="1111" max="1111" width="11" style="232"/>
    <col min="1112" max="1112" width="11" style="232"/>
    <col min="1113" max="1113" width="11" style="232"/>
    <col min="1114" max="1114" width="11" style="232"/>
    <col min="1115" max="1115" width="11" style="232"/>
    <col min="1116" max="1116" width="11" style="232"/>
    <col min="1117" max="1117" width="11" style="232"/>
    <col min="1118" max="1118" width="11" style="232"/>
    <col min="1119" max="1119" width="11" style="232"/>
    <col min="1120" max="1120" width="11" style="232"/>
    <col min="1121" max="1121" width="11" style="232"/>
    <col min="1122" max="1122" width="11" style="232"/>
    <col min="1123" max="1123" width="11" style="232"/>
    <col min="1124" max="1124" width="11" style="232"/>
    <col min="1125" max="1125" width="11" style="232"/>
    <col min="1126" max="1126" width="11" style="232"/>
    <col min="1127" max="1127" width="11" style="232"/>
    <col min="1128" max="1128" width="11" style="232"/>
    <col min="1129" max="1129" width="11" style="232"/>
    <col min="1130" max="1130" width="11" style="232"/>
    <col min="1131" max="1131" width="11" style="232"/>
    <col min="1132" max="1132" width="11" style="232"/>
    <col min="1133" max="1133" width="11" style="232"/>
    <col min="1134" max="1134" width="11" style="232"/>
    <col min="1135" max="1135" width="11" style="232"/>
    <col min="1136" max="1136" width="11" style="232"/>
    <col min="1137" max="1137" width="11" style="232"/>
    <col min="1138" max="1138" width="11" style="232"/>
    <col min="1139" max="1139" width="11" style="232"/>
    <col min="1140" max="1140" width="11" style="232"/>
    <col min="1141" max="1141" width="11" style="232"/>
    <col min="1142" max="1142" width="11" style="232"/>
    <col min="1143" max="1143" width="11" style="232"/>
    <col min="1144" max="1144" width="11" style="232"/>
    <col min="1145" max="1145" width="11" style="232"/>
    <col min="1146" max="1146" width="11" style="232"/>
    <col min="1147" max="1147" width="11" style="232"/>
    <col min="1148" max="1148" width="11" style="232"/>
    <col min="1149" max="1149" width="11" style="232"/>
    <col min="1150" max="1150" width="11" style="232"/>
    <col min="1151" max="1151" width="11" style="232"/>
    <col min="1152" max="1152" width="11" style="232"/>
    <col min="1153" max="1153" width="11" style="232"/>
    <col min="1154" max="1154" width="11" style="232"/>
    <col min="1155" max="1155" width="11" style="232"/>
    <col min="1156" max="1156" width="11" style="232"/>
    <col min="1157" max="1157" width="11" style="232"/>
    <col min="1158" max="1158" width="11" style="232"/>
    <col min="1159" max="1159" width="11" style="232"/>
    <col min="1160" max="1160" width="11" style="232"/>
    <col min="1161" max="1161" width="11" style="232"/>
    <col min="1162" max="1162" width="11" style="232"/>
    <col min="1163" max="1163" width="11" style="232"/>
    <col min="1164" max="1164" width="11" style="232"/>
    <col min="1165" max="1165" width="11" style="232"/>
    <col min="1166" max="1166" width="11" style="232"/>
    <col min="1167" max="1167" width="11" style="232"/>
    <col min="1168" max="1168" width="11" style="232"/>
    <col min="1169" max="1169" width="11" style="232"/>
    <col min="1170" max="1170" width="11" style="232"/>
    <col min="1171" max="1171" width="11" style="232"/>
    <col min="1172" max="1172" width="11" style="232"/>
    <col min="1173" max="1173" width="11" style="232"/>
    <col min="1174" max="1174" width="11" style="232"/>
    <col min="1175" max="1175" width="11" style="232"/>
    <col min="1176" max="1176" width="11" style="232"/>
    <col min="1177" max="1177" width="11" style="232"/>
    <col min="1178" max="1178" width="11" style="232"/>
    <col min="1179" max="1179" width="11" style="232"/>
    <col min="1180" max="1180" width="11" style="232"/>
    <col min="1181" max="1181" width="11" style="232"/>
    <col min="1182" max="1182" width="11" style="232"/>
    <col min="1183" max="1183" width="11" style="232"/>
    <col min="1184" max="1184" width="11" style="232"/>
    <col min="1185" max="1185" width="11" style="232"/>
    <col min="1186" max="1186" width="11" style="232"/>
    <col min="1187" max="1187" width="11" style="232"/>
    <col min="1188" max="1188" width="11" style="232"/>
    <col min="1189" max="1189" width="11" style="232"/>
    <col min="1190" max="1190" width="11" style="232"/>
    <col min="1191" max="1191" width="11" style="232"/>
    <col min="1192" max="1192" width="11" style="232"/>
    <col min="1193" max="1193" width="11" style="232"/>
    <col min="1194" max="1194" width="11" style="232"/>
    <col min="1195" max="1195" width="11" style="232"/>
    <col min="1196" max="1196" width="11" style="232"/>
    <col min="1197" max="1197" width="11" style="232"/>
    <col min="1198" max="1198" width="11" style="232"/>
    <col min="1199" max="1199" width="11" style="232"/>
    <col min="1200" max="1200" width="11" style="232"/>
    <col min="1201" max="1201" width="11" style="232"/>
    <col min="1202" max="1202" width="11" style="232"/>
    <col min="1203" max="1203" width="11" style="232"/>
    <col min="1204" max="1204" width="11" style="232"/>
    <col min="1205" max="1205" width="11" style="232"/>
    <col min="1206" max="1206" width="11" style="232"/>
    <col min="1207" max="1207" width="11" style="232"/>
    <col min="1208" max="1208" width="11" style="232"/>
    <col min="1209" max="1209" width="11" style="232"/>
    <col min="1210" max="1210" width="11" style="232"/>
    <col min="1211" max="1211" width="11" style="232"/>
    <col min="1212" max="1212" width="11" style="232"/>
    <col min="1213" max="1213" width="11" style="232"/>
    <col min="1214" max="1214" width="11" style="232"/>
    <col min="1215" max="1215" width="11" style="232"/>
    <col min="1216" max="1216" width="11" style="232"/>
    <col min="1217" max="1217" width="11" style="232"/>
    <col min="1218" max="1218" width="11" style="232"/>
    <col min="1219" max="1219" width="11" style="232"/>
    <col min="1220" max="1220" width="11" style="232"/>
    <col min="1221" max="1221" width="11" style="232"/>
    <col min="1222" max="1222" width="11" style="232"/>
    <col min="1223" max="1223" width="11" style="232"/>
    <col min="1224" max="1224" width="11" style="232"/>
    <col min="1225" max="1225" width="11" style="232"/>
    <col min="1226" max="1226" width="11" style="232"/>
    <col min="1227" max="1227" width="11" style="232"/>
    <col min="1228" max="1228" width="11" style="232"/>
    <col min="1229" max="1229" width="11" style="232"/>
    <col min="1230" max="1230" width="11" style="232"/>
    <col min="1231" max="1231" width="11" style="232"/>
    <col min="1232" max="1232" width="11" style="232"/>
    <col min="1233" max="1233" width="11" style="232"/>
    <col min="1234" max="1234" width="11" style="232"/>
    <col min="1235" max="1235" width="11" style="232"/>
    <col min="1236" max="1236" width="11" style="232"/>
    <col min="1237" max="1237" width="11" style="232"/>
    <col min="1238" max="1238" width="11" style="232"/>
    <col min="1239" max="1239" width="11" style="232"/>
    <col min="1240" max="1240" width="11" style="232"/>
    <col min="1241" max="1241" width="11" style="232"/>
    <col min="1242" max="1242" width="11" style="232"/>
    <col min="1243" max="1243" width="11" style="232"/>
    <col min="1244" max="1244" width="11" style="232"/>
    <col min="1245" max="1245" width="11" style="232"/>
    <col min="1246" max="1246" width="11" style="232"/>
    <col min="1247" max="1247" width="11" style="232"/>
    <col min="1248" max="1248" width="11" style="232"/>
    <col min="1249" max="1249" width="11" style="232"/>
    <col min="1250" max="1250" width="11" style="232"/>
    <col min="1251" max="1251" width="11" style="232"/>
    <col min="1252" max="1252" width="11" style="232"/>
    <col min="1253" max="1253" width="11" style="232"/>
    <col min="1254" max="1254" width="11" style="232"/>
    <col min="1255" max="1255" width="11" style="232"/>
    <col min="1256" max="1256" width="11" style="232"/>
    <col min="1257" max="1257" width="11" style="232"/>
    <col min="1258" max="1258" width="11" style="232"/>
    <col min="1259" max="1259" width="11" style="232"/>
    <col min="1260" max="1260" width="11" style="232"/>
    <col min="1261" max="1261" width="11" style="232"/>
    <col min="1262" max="1262" width="11" style="232"/>
    <col min="1263" max="1263" width="11" style="232"/>
    <col min="1264" max="1264" width="11" style="232"/>
    <col min="1265" max="1265" width="11" style="232"/>
    <col min="1266" max="1266" width="11" style="232"/>
    <col min="1267" max="1267" width="11" style="232"/>
    <col min="1268" max="1268" width="11" style="232"/>
    <col min="1269" max="1269" width="10.140625" customWidth="true" style="232"/>
    <col min="1270" max="1270" width="10.140625" customWidth="true" style="232"/>
    <col min="1271" max="1271" width="10.140625" customWidth="true" style="232"/>
    <col min="1272" max="1272" width="10.140625" customWidth="true" style="232"/>
    <col min="1273" max="1273" width="10.140625" customWidth="true" style="232"/>
    <col min="1274" max="1274" width="10.140625" customWidth="true" style="232"/>
    <col min="1275" max="1275" width="10.140625" customWidth="true" style="232"/>
    <col min="1276" max="1276" width="10.140625" customWidth="true" style="232"/>
    <col min="1277" max="1277" width="10.140625" customWidth="true" style="232"/>
    <col min="1278" max="1278" width="11" style="232"/>
    <col min="1279" max="1279" width="11" style="232"/>
    <col min="1280" max="1280" width="11" style="232"/>
    <col min="1281" max="1281" width="11" style="232"/>
    <col min="1282" max="1282" width="11" style="232"/>
    <col min="1283" max="1283" width="11" style="232"/>
    <col min="1284" max="1284" width="11" style="232"/>
    <col min="1285" max="1285" width="11" style="232"/>
    <col min="1286" max="1286" width="11" style="232"/>
    <col min="1287" max="1287" width="11" style="232"/>
    <col min="1288" max="1288" width="11" style="232"/>
    <col min="1289" max="1289" width="11" style="232"/>
    <col min="1290" max="1290" width="11" style="232"/>
    <col min="1291" max="1291" width="11" style="232"/>
    <col min="1292" max="1292" width="11" style="232"/>
    <col min="1293" max="1293" width="11" style="232"/>
    <col min="1294" max="1294" width="11" style="232"/>
    <col min="1295" max="1295" width="11" style="232"/>
    <col min="1296" max="1296" width="11" style="232"/>
    <col min="1297" max="1297" width="11" style="232"/>
    <col min="1298" max="1298" width="11" style="232"/>
    <col min="1299" max="1299" width="11" style="232"/>
    <col min="1300" max="1300" width="11" style="232"/>
    <col min="1301" max="1301" width="11" style="232"/>
    <col min="1302" max="1302" width="11" style="232"/>
    <col min="1303" max="1303" width="11" style="232"/>
    <col min="1304" max="1304" width="11" style="232"/>
    <col min="1305" max="1305" width="11" style="232"/>
    <col min="1306" max="1306" width="11" style="232"/>
    <col min="1307" max="1307" width="11" style="232"/>
    <col min="1308" max="1308" width="11" style="232"/>
    <col min="1309" max="1309" width="11" style="232"/>
    <col min="1310" max="1310" width="11" style="232"/>
    <col min="1311" max="1311" width="11" style="232"/>
    <col min="1312" max="1312" width="11" style="232"/>
    <col min="1313" max="1313" width="11" style="232"/>
    <col min="1314" max="1314" width="11" style="232"/>
    <col min="1315" max="1315" width="11" style="232"/>
    <col min="1316" max="1316" width="11" style="232"/>
    <col min="1317" max="1317" width="11" style="232"/>
    <col min="1318" max="1318" width="11" style="232"/>
    <col min="1319" max="1319" width="11" style="232"/>
    <col min="1320" max="1320" width="11" style="232"/>
    <col min="1321" max="1321" width="11" style="232"/>
    <col min="1322" max="1322" width="11" style="232"/>
    <col min="1323" max="1323" width="11" style="232"/>
    <col min="1324" max="1324" width="11" style="232"/>
    <col min="1325" max="1325" width="11" style="232"/>
    <col min="1326" max="1326" width="11" style="232"/>
    <col min="1327" max="1327" width="11" style="232"/>
    <col min="1328" max="1328" width="11" style="232"/>
    <col min="1329" max="1329" width="11" style="232"/>
    <col min="1330" max="1330" width="11" style="232"/>
    <col min="1331" max="1331" width="11" style="232"/>
    <col min="1332" max="1332" width="11" style="232"/>
    <col min="1333" max="1333" width="11" style="232"/>
    <col min="1334" max="1334" width="11" style="232"/>
    <col min="1335" max="1335" width="11" style="232"/>
    <col min="1336" max="1336" width="11" style="232"/>
    <col min="1337" max="1337" width="11" style="232"/>
    <col min="1338" max="1338" width="11" style="232"/>
    <col min="1339" max="1339" width="11" style="232"/>
    <col min="1340" max="1340" width="11" style="232"/>
    <col min="1341" max="1341" width="11" style="232"/>
    <col min="1342" max="1342" width="11" style="232"/>
    <col min="1343" max="1343" width="11" style="232"/>
    <col min="1344" max="1344" width="11" style="232"/>
    <col min="1345" max="1345" width="11" style="232"/>
    <col min="1346" max="1346" width="11" style="232"/>
    <col min="1347" max="1347" width="11" style="232"/>
    <col min="1348" max="1348" width="11" style="232"/>
    <col min="1349" max="1349" width="11" style="232"/>
    <col min="1350" max="1350" width="11" style="232"/>
    <col min="1351" max="1351" width="11" style="232"/>
    <col min="1352" max="1352" width="11" style="232"/>
    <col min="1353" max="1353" width="11" style="232"/>
    <col min="1354" max="1354" width="11" style="232"/>
    <col min="1355" max="1355" width="11" style="232"/>
    <col min="1356" max="1356" width="11" style="232"/>
    <col min="1357" max="1357" width="11" style="232"/>
    <col min="1358" max="1358" width="11" style="232"/>
    <col min="1359" max="1359" width="11" style="232"/>
    <col min="1360" max="1360" width="11" style="232"/>
    <col min="1361" max="1361" width="11" style="232"/>
    <col min="1362" max="1362" width="11" style="232"/>
    <col min="1363" max="1363" width="11" style="232"/>
    <col min="1364" max="1364" width="11" style="232"/>
    <col min="1365" max="1365" width="11" style="232"/>
    <col min="1366" max="1366" width="11" style="232"/>
    <col min="1367" max="1367" width="11" style="232"/>
    <col min="1368" max="1368" width="11" style="232"/>
    <col min="1369" max="1369" width="11" style="232"/>
    <col min="1370" max="1370" width="11" style="232"/>
    <col min="1371" max="1371" width="11" style="232"/>
    <col min="1372" max="1372" width="11" style="232"/>
    <col min="1373" max="1373" width="11" style="232"/>
    <col min="1374" max="1374" width="11" style="232"/>
    <col min="1375" max="1375" width="11" style="232"/>
    <col min="1376" max="1376" width="11" style="232"/>
    <col min="1377" max="1377" width="11" style="232"/>
    <col min="1378" max="1378" width="11" style="232"/>
    <col min="1379" max="1379" width="11" style="232"/>
    <col min="1380" max="1380" width="11" style="232"/>
    <col min="1381" max="1381" width="11" style="232"/>
    <col min="1382" max="1382" width="11" style="232"/>
    <col min="1383" max="1383" width="11" style="232"/>
    <col min="1384" max="1384" width="11" style="232"/>
    <col min="1385" max="1385" width="11" style="232"/>
    <col min="1386" max="1386" width="11" style="232"/>
    <col min="1387" max="1387" width="11" style="232"/>
    <col min="1388" max="1388" width="11" style="232"/>
    <col min="1389" max="1389" width="11" style="232"/>
    <col min="1390" max="1390" width="11" style="232"/>
    <col min="1391" max="1391" width="11" style="232"/>
    <col min="1392" max="1392" width="11" style="232"/>
    <col min="1393" max="1393" width="11" style="232"/>
    <col min="1394" max="1394" width="11" style="232"/>
    <col min="1395" max="1395" width="11" style="232"/>
    <col min="1396" max="1396" width="11" style="232"/>
    <col min="1397" max="1397" width="11" style="232"/>
    <col min="1398" max="1398" width="11" style="232"/>
    <col min="1399" max="1399" width="11" style="232"/>
    <col min="1400" max="1400" width="11" style="232"/>
    <col min="1401" max="1401" width="11" style="232"/>
    <col min="1402" max="1402" width="11" style="232"/>
    <col min="1403" max="1403" width="11" style="232"/>
    <col min="1404" max="1404" width="11" style="232"/>
    <col min="1405" max="1405" width="11" style="232"/>
    <col min="1406" max="1406" width="11" style="232"/>
    <col min="1407" max="1407" width="11" style="232"/>
    <col min="1408" max="1408" width="11" style="232"/>
    <col min="1409" max="1409" width="11" style="232"/>
    <col min="1410" max="1410" width="11" style="232"/>
    <col min="1411" max="1411" width="11" style="232"/>
    <col min="1412" max="1412" width="11" style="232"/>
    <col min="1413" max="1413" width="11" style="232"/>
    <col min="1414" max="1414" width="11" style="232"/>
    <col min="1415" max="1415" width="11" style="232"/>
    <col min="1416" max="1416" width="11" style="232"/>
    <col min="1417" max="1417" width="11" style="232"/>
    <col min="1418" max="1418" width="11" style="232"/>
    <col min="1419" max="1419" width="11" style="232"/>
    <col min="1420" max="1420" width="11" style="232"/>
    <col min="1421" max="1421" width="11" style="232"/>
    <col min="1422" max="1422" width="11" style="232"/>
    <col min="1423" max="1423" width="11" style="232"/>
    <col min="1424" max="1424" width="11" style="232"/>
    <col min="1425" max="1425" width="11" style="232"/>
    <col min="1426" max="1426" width="11" style="232"/>
    <col min="1427" max="1427" width="11" style="232"/>
    <col min="1428" max="1428" width="11" style="232"/>
    <col min="1429" max="1429" width="11" style="232"/>
    <col min="1430" max="1430" width="11" style="232"/>
    <col min="1431" max="1431" width="11" style="232"/>
    <col min="1432" max="1432" width="11" style="232"/>
    <col min="1433" max="1433" width="11" style="232"/>
    <col min="1434" max="1434" width="11" style="232"/>
    <col min="1435" max="1435" width="11" style="232"/>
    <col min="1436" max="1436" width="11" style="232"/>
    <col min="1437" max="1437" width="11" style="232"/>
    <col min="1438" max="1438" width="11" style="232"/>
    <col min="1439" max="1439" width="11" style="232"/>
    <col min="1440" max="1440" width="11" style="232"/>
    <col min="1441" max="1441" width="11" style="232"/>
    <col min="1442" max="1442" width="11" style="232"/>
    <col min="1443" max="1443" width="11" style="232"/>
    <col min="1444" max="1444" width="11" style="232"/>
    <col min="1445" max="1445" width="11" style="232"/>
    <col min="1446" max="1446" width="11" style="232"/>
    <col min="1447" max="1447" width="11" style="232"/>
    <col min="1448" max="1448" width="11" style="232"/>
    <col min="1449" max="1449" width="11" style="232"/>
    <col min="1450" max="1450" width="11" style="232"/>
    <col min="1451" max="1451" width="11" style="232"/>
    <col min="1452" max="1452" width="11" style="232"/>
    <col min="1453" max="1453" width="11" style="232"/>
    <col min="1454" max="1454" width="11" style="232"/>
    <col min="1455" max="1455" width="11" style="232"/>
    <col min="1456" max="1456" width="11" style="232"/>
    <col min="1457" max="1457" width="11" style="232"/>
    <col min="1458" max="1458" width="11" style="232"/>
    <col min="1459" max="1459" width="11" style="232"/>
    <col min="1460" max="1460" width="11" style="232"/>
    <col min="1461" max="1461" width="11" style="232"/>
    <col min="1462" max="1462" width="11" style="232"/>
    <col min="1463" max="1463" width="11" style="232"/>
    <col min="1464" max="1464" width="11" style="232"/>
    <col min="1465" max="1465" width="11" style="232"/>
    <col min="1466" max="1466" width="11" style="232"/>
    <col min="1467" max="1467" width="11" style="232"/>
    <col min="1468" max="1468" width="11" style="232"/>
    <col min="1469" max="1469" width="11" style="232"/>
    <col min="1470" max="1470" width="11" style="232"/>
    <col min="1471" max="1471" width="11" style="232"/>
    <col min="1472" max="1472" width="11" style="232"/>
    <col min="1473" max="1473" width="11" style="232"/>
    <col min="1474" max="1474" width="11" style="232"/>
    <col min="1475" max="1475" width="11" style="232"/>
    <col min="1476" max="1476" width="11" style="232"/>
    <col min="1477" max="1477" width="11" style="232"/>
    <col min="1478" max="1478" width="11" style="232"/>
    <col min="1479" max="1479" width="11" style="232"/>
    <col min="1480" max="1480" width="11" style="232"/>
    <col min="1481" max="1481" width="11" style="232"/>
    <col min="1482" max="1482" width="11" style="232"/>
    <col min="1483" max="1483" width="11" style="232"/>
    <col min="1484" max="1484" width="11" style="232"/>
    <col min="1485" max="1485" width="11" style="232"/>
    <col min="1486" max="1486" width="11" style="232"/>
    <col min="1487" max="1487" width="11" style="232"/>
    <col min="1488" max="1488" width="11" style="232"/>
    <col min="1489" max="1489" width="11" style="232"/>
    <col min="1490" max="1490" width="11" style="232"/>
    <col min="1491" max="1491" width="11" style="232"/>
    <col min="1492" max="1492" width="11" style="232"/>
    <col min="1493" max="1493" width="11" style="232"/>
    <col min="1494" max="1494" width="11" style="232"/>
    <col min="1495" max="1495" width="11" style="232"/>
    <col min="1496" max="1496" width="11" style="232"/>
    <col min="1497" max="1497" width="11" style="232"/>
    <col min="1498" max="1498" width="11" style="232"/>
    <col min="1499" max="1499" width="11" style="232"/>
    <col min="1500" max="1500" width="11" style="232"/>
    <col min="1501" max="1501" width="11" style="232"/>
    <col min="1502" max="1502" width="11" style="232"/>
    <col min="1503" max="1503" width="11" style="232"/>
    <col min="1504" max="1504" width="11" style="232"/>
    <col min="1505" max="1505" width="11" style="232"/>
    <col min="1506" max="1506" width="11" style="232"/>
    <col min="1507" max="1507" width="11" style="232"/>
    <col min="1508" max="1508" width="11" style="232"/>
    <col min="1509" max="1509" width="11" style="232"/>
    <col min="1510" max="1510" width="11" style="232"/>
    <col min="1511" max="1511" width="11" style="232"/>
    <col min="1512" max="1512" width="11" style="232"/>
    <col min="1513" max="1513" width="11" style="232"/>
    <col min="1514" max="1514" width="11" style="232"/>
    <col min="1515" max="1515" width="11" style="232"/>
    <col min="1516" max="1516" width="11" style="232"/>
    <col min="1517" max="1517" width="11" style="232"/>
    <col min="1518" max="1518" width="11" style="232"/>
    <col min="1519" max="1519" width="11" style="232"/>
    <col min="1520" max="1520" width="11" style="232"/>
    <col min="1521" max="1521" width="11" style="232"/>
    <col min="1522" max="1522" width="11" style="232"/>
    <col min="1523" max="1523" width="11" style="232"/>
    <col min="1524" max="1524" width="11" style="232"/>
    <col min="1525" max="1525" width="10.140625" customWidth="true" style="232"/>
    <col min="1526" max="1526" width="10.140625" customWidth="true" style="232"/>
    <col min="1527" max="1527" width="10.140625" customWidth="true" style="232"/>
    <col min="1528" max="1528" width="10.140625" customWidth="true" style="232"/>
    <col min="1529" max="1529" width="10.140625" customWidth="true" style="232"/>
    <col min="1530" max="1530" width="10.140625" customWidth="true" style="232"/>
    <col min="1531" max="1531" width="10.140625" customWidth="true" style="232"/>
    <col min="1532" max="1532" width="10.140625" customWidth="true" style="232"/>
    <col min="1533" max="1533" width="10.140625" customWidth="true" style="232"/>
    <col min="1534" max="1534" width="11" style="232"/>
    <col min="1535" max="1535" width="11" style="232"/>
    <col min="1536" max="1536" width="11" style="232"/>
    <col min="1537" max="1537" width="11" style="232"/>
    <col min="1538" max="1538" width="11" style="232"/>
    <col min="1539" max="1539" width="11" style="232"/>
    <col min="1540" max="1540" width="11" style="232"/>
    <col min="1541" max="1541" width="11" style="232"/>
    <col min="1542" max="1542" width="11" style="232"/>
    <col min="1543" max="1543" width="11" style="232"/>
    <col min="1544" max="1544" width="11" style="232"/>
    <col min="1545" max="1545" width="11" style="232"/>
    <col min="1546" max="1546" width="11" style="232"/>
    <col min="1547" max="1547" width="11" style="232"/>
    <col min="1548" max="1548" width="11" style="232"/>
    <col min="1549" max="1549" width="11" style="232"/>
    <col min="1550" max="1550" width="11" style="232"/>
    <col min="1551" max="1551" width="11" style="232"/>
    <col min="1552" max="1552" width="11" style="232"/>
    <col min="1553" max="1553" width="11" style="232"/>
    <col min="1554" max="1554" width="11" style="232"/>
    <col min="1555" max="1555" width="11" style="232"/>
    <col min="1556" max="1556" width="11" style="232"/>
    <col min="1557" max="1557" width="11" style="232"/>
    <col min="1558" max="1558" width="11" style="232"/>
    <col min="1559" max="1559" width="11" style="232"/>
    <col min="1560" max="1560" width="11" style="232"/>
    <col min="1561" max="1561" width="11" style="232"/>
    <col min="1562" max="1562" width="11" style="232"/>
    <col min="1563" max="1563" width="11" style="232"/>
    <col min="1564" max="1564" width="11" style="232"/>
    <col min="1565" max="1565" width="11" style="232"/>
    <col min="1566" max="1566" width="11" style="232"/>
    <col min="1567" max="1567" width="11" style="232"/>
    <col min="1568" max="1568" width="11" style="232"/>
    <col min="1569" max="1569" width="11" style="232"/>
    <col min="1570" max="1570" width="11" style="232"/>
    <col min="1571" max="1571" width="11" style="232"/>
    <col min="1572" max="1572" width="11" style="232"/>
    <col min="1573" max="1573" width="11" style="232"/>
    <col min="1574" max="1574" width="11" style="232"/>
    <col min="1575" max="1575" width="11" style="232"/>
    <col min="1576" max="1576" width="11" style="232"/>
    <col min="1577" max="1577" width="11" style="232"/>
    <col min="1578" max="1578" width="11" style="232"/>
    <col min="1579" max="1579" width="11" style="232"/>
    <col min="1580" max="1580" width="11" style="232"/>
    <col min="1581" max="1581" width="11" style="232"/>
    <col min="1582" max="1582" width="11" style="232"/>
    <col min="1583" max="1583" width="11" style="232"/>
    <col min="1584" max="1584" width="11" style="232"/>
    <col min="1585" max="1585" width="11" style="232"/>
    <col min="1586" max="1586" width="11" style="232"/>
    <col min="1587" max="1587" width="11" style="232"/>
    <col min="1588" max="1588" width="11" style="232"/>
    <col min="1589" max="1589" width="11" style="232"/>
    <col min="1590" max="1590" width="11" style="232"/>
    <col min="1591" max="1591" width="11" style="232"/>
    <col min="1592" max="1592" width="11" style="232"/>
    <col min="1593" max="1593" width="11" style="232"/>
    <col min="1594" max="1594" width="11" style="232"/>
    <col min="1595" max="1595" width="11" style="232"/>
    <col min="1596" max="1596" width="11" style="232"/>
    <col min="1597" max="1597" width="11" style="232"/>
    <col min="1598" max="1598" width="11" style="232"/>
    <col min="1599" max="1599" width="11" style="232"/>
    <col min="1600" max="1600" width="11" style="232"/>
    <col min="1601" max="1601" width="11" style="232"/>
    <col min="1602" max="1602" width="11" style="232"/>
    <col min="1603" max="1603" width="11" style="232"/>
    <col min="1604" max="1604" width="11" style="232"/>
    <col min="1605" max="1605" width="11" style="232"/>
    <col min="1606" max="1606" width="11" style="232"/>
    <col min="1607" max="1607" width="11" style="232"/>
    <col min="1608" max="1608" width="11" style="232"/>
    <col min="1609" max="1609" width="11" style="232"/>
    <col min="1610" max="1610" width="11" style="232"/>
    <col min="1611" max="1611" width="11" style="232"/>
    <col min="1612" max="1612" width="11" style="232"/>
    <col min="1613" max="1613" width="11" style="232"/>
    <col min="1614" max="1614" width="11" style="232"/>
    <col min="1615" max="1615" width="11" style="232"/>
    <col min="1616" max="1616" width="11" style="232"/>
    <col min="1617" max="1617" width="11" style="232"/>
    <col min="1618" max="1618" width="11" style="232"/>
    <col min="1619" max="1619" width="11" style="232"/>
    <col min="1620" max="1620" width="11" style="232"/>
    <col min="1621" max="1621" width="11" style="232"/>
    <col min="1622" max="1622" width="11" style="232"/>
    <col min="1623" max="1623" width="11" style="232"/>
    <col min="1624" max="1624" width="11" style="232"/>
    <col min="1625" max="1625" width="11" style="232"/>
    <col min="1626" max="1626" width="11" style="232"/>
    <col min="1627" max="1627" width="11" style="232"/>
    <col min="1628" max="1628" width="11" style="232"/>
    <col min="1629" max="1629" width="11" style="232"/>
    <col min="1630" max="1630" width="11" style="232"/>
    <col min="1631" max="1631" width="11" style="232"/>
    <col min="1632" max="1632" width="11" style="232"/>
    <col min="1633" max="1633" width="11" style="232"/>
    <col min="1634" max="1634" width="11" style="232"/>
    <col min="1635" max="1635" width="11" style="232"/>
    <col min="1636" max="1636" width="11" style="232"/>
    <col min="1637" max="1637" width="11" style="232"/>
    <col min="1638" max="1638" width="11" style="232"/>
    <col min="1639" max="1639" width="11" style="232"/>
    <col min="1640" max="1640" width="11" style="232"/>
    <col min="1641" max="1641" width="11" style="232"/>
    <col min="1642" max="1642" width="11" style="232"/>
    <col min="1643" max="1643" width="11" style="232"/>
    <col min="1644" max="1644" width="11" style="232"/>
    <col min="1645" max="1645" width="11" style="232"/>
    <col min="1646" max="1646" width="11" style="232"/>
    <col min="1647" max="1647" width="11" style="232"/>
    <col min="1648" max="1648" width="11" style="232"/>
    <col min="1649" max="1649" width="11" style="232"/>
    <col min="1650" max="1650" width="11" style="232"/>
    <col min="1651" max="1651" width="11" style="232"/>
    <col min="1652" max="1652" width="11" style="232"/>
    <col min="1653" max="1653" width="11" style="232"/>
    <col min="1654" max="1654" width="11" style="232"/>
    <col min="1655" max="1655" width="11" style="232"/>
    <col min="1656" max="1656" width="11" style="232"/>
    <col min="1657" max="1657" width="11" style="232"/>
    <col min="1658" max="1658" width="11" style="232"/>
    <col min="1659" max="1659" width="11" style="232"/>
    <col min="1660" max="1660" width="11" style="232"/>
    <col min="1661" max="1661" width="11" style="232"/>
    <col min="1662" max="1662" width="11" style="232"/>
    <col min="1663" max="1663" width="11" style="232"/>
    <col min="1664" max="1664" width="11" style="232"/>
    <col min="1665" max="1665" width="11" style="232"/>
    <col min="1666" max="1666" width="11" style="232"/>
    <col min="1667" max="1667" width="11" style="232"/>
    <col min="1668" max="1668" width="11" style="232"/>
    <col min="1669" max="1669" width="11" style="232"/>
    <col min="1670" max="1670" width="11" style="232"/>
    <col min="1671" max="1671" width="11" style="232"/>
    <col min="1672" max="1672" width="11" style="232"/>
    <col min="1673" max="1673" width="11" style="232"/>
    <col min="1674" max="1674" width="11" style="232"/>
    <col min="1675" max="1675" width="11" style="232"/>
    <col min="1676" max="1676" width="11" style="232"/>
    <col min="1677" max="1677" width="11" style="232"/>
    <col min="1678" max="1678" width="11" style="232"/>
    <col min="1679" max="1679" width="11" style="232"/>
    <col min="1680" max="1680" width="11" style="232"/>
    <col min="1681" max="1681" width="11" style="232"/>
    <col min="1682" max="1682" width="11" style="232"/>
    <col min="1683" max="1683" width="11" style="232"/>
    <col min="1684" max="1684" width="11" style="232"/>
    <col min="1685" max="1685" width="11" style="232"/>
    <col min="1686" max="1686" width="11" style="232"/>
    <col min="1687" max="1687" width="11" style="232"/>
    <col min="1688" max="1688" width="11" style="232"/>
    <col min="1689" max="1689" width="11" style="232"/>
    <col min="1690" max="1690" width="11" style="232"/>
    <col min="1691" max="1691" width="11" style="232"/>
    <col min="1692" max="1692" width="11" style="232"/>
    <col min="1693" max="1693" width="11" style="232"/>
    <col min="1694" max="1694" width="11" style="232"/>
    <col min="1695" max="1695" width="11" style="232"/>
    <col min="1696" max="1696" width="11" style="232"/>
    <col min="1697" max="1697" width="11" style="232"/>
    <col min="1698" max="1698" width="11" style="232"/>
    <col min="1699" max="1699" width="11" style="232"/>
    <col min="1700" max="1700" width="11" style="232"/>
    <col min="1701" max="1701" width="11" style="232"/>
    <col min="1702" max="1702" width="11" style="232"/>
    <col min="1703" max="1703" width="11" style="232"/>
    <col min="1704" max="1704" width="11" style="232"/>
    <col min="1705" max="1705" width="11" style="232"/>
    <col min="1706" max="1706" width="11" style="232"/>
    <col min="1707" max="1707" width="11" style="232"/>
    <col min="1708" max="1708" width="11" style="232"/>
    <col min="1709" max="1709" width="11" style="232"/>
    <col min="1710" max="1710" width="11" style="232"/>
    <col min="1711" max="1711" width="11" style="232"/>
    <col min="1712" max="1712" width="11" style="232"/>
    <col min="1713" max="1713" width="11" style="232"/>
    <col min="1714" max="1714" width="11" style="232"/>
    <col min="1715" max="1715" width="11" style="232"/>
    <col min="1716" max="1716" width="11" style="232"/>
    <col min="1717" max="1717" width="11" style="232"/>
    <col min="1718" max="1718" width="11" style="232"/>
    <col min="1719" max="1719" width="11" style="232"/>
    <col min="1720" max="1720" width="11" style="232"/>
    <col min="1721" max="1721" width="11" style="232"/>
    <col min="1722" max="1722" width="11" style="232"/>
    <col min="1723" max="1723" width="11" style="232"/>
    <col min="1724" max="1724" width="11" style="232"/>
    <col min="1725" max="1725" width="11" style="232"/>
    <col min="1726" max="1726" width="11" style="232"/>
    <col min="1727" max="1727" width="11" style="232"/>
    <col min="1728" max="1728" width="11" style="232"/>
    <col min="1729" max="1729" width="11" style="232"/>
    <col min="1730" max="1730" width="11" style="232"/>
    <col min="1731" max="1731" width="11" style="232"/>
    <col min="1732" max="1732" width="11" style="232"/>
    <col min="1733" max="1733" width="11" style="232"/>
    <col min="1734" max="1734" width="11" style="232"/>
    <col min="1735" max="1735" width="11" style="232"/>
    <col min="1736" max="1736" width="11" style="232"/>
    <col min="1737" max="1737" width="11" style="232"/>
    <col min="1738" max="1738" width="11" style="232"/>
    <col min="1739" max="1739" width="11" style="232"/>
    <col min="1740" max="1740" width="11" style="232"/>
    <col min="1741" max="1741" width="11" style="232"/>
    <col min="1742" max="1742" width="11" style="232"/>
    <col min="1743" max="1743" width="11" style="232"/>
    <col min="1744" max="1744" width="11" style="232"/>
    <col min="1745" max="1745" width="11" style="232"/>
    <col min="1746" max="1746" width="11" style="232"/>
    <col min="1747" max="1747" width="11" style="232"/>
    <col min="1748" max="1748" width="11" style="232"/>
    <col min="1749" max="1749" width="11" style="232"/>
    <col min="1750" max="1750" width="11" style="232"/>
    <col min="1751" max="1751" width="11" style="232"/>
    <col min="1752" max="1752" width="11" style="232"/>
    <col min="1753" max="1753" width="11" style="232"/>
    <col min="1754" max="1754" width="11" style="232"/>
    <col min="1755" max="1755" width="11" style="232"/>
    <col min="1756" max="1756" width="11" style="232"/>
    <col min="1757" max="1757" width="11" style="232"/>
    <col min="1758" max="1758" width="11" style="232"/>
    <col min="1759" max="1759" width="11" style="232"/>
    <col min="1760" max="1760" width="11" style="232"/>
    <col min="1761" max="1761" width="11" style="232"/>
    <col min="1762" max="1762" width="11" style="232"/>
    <col min="1763" max="1763" width="11" style="232"/>
    <col min="1764" max="1764" width="11" style="232"/>
    <col min="1765" max="1765" width="11" style="232"/>
    <col min="1766" max="1766" width="11" style="232"/>
    <col min="1767" max="1767" width="11" style="232"/>
    <col min="1768" max="1768" width="11" style="232"/>
    <col min="1769" max="1769" width="11" style="232"/>
    <col min="1770" max="1770" width="11" style="232"/>
    <col min="1771" max="1771" width="11" style="232"/>
    <col min="1772" max="1772" width="11" style="232"/>
    <col min="1773" max="1773" width="11" style="232"/>
    <col min="1774" max="1774" width="11" style="232"/>
    <col min="1775" max="1775" width="11" style="232"/>
    <col min="1776" max="1776" width="11" style="232"/>
    <col min="1777" max="1777" width="11" style="232"/>
    <col min="1778" max="1778" width="11" style="232"/>
    <col min="1779" max="1779" width="11" style="232"/>
    <col min="1780" max="1780" width="11" style="232"/>
    <col min="1781" max="1781" width="10.140625" customWidth="true" style="232"/>
    <col min="1782" max="1782" width="10.140625" customWidth="true" style="232"/>
    <col min="1783" max="1783" width="10.140625" customWidth="true" style="232"/>
    <col min="1784" max="1784" width="10.140625" customWidth="true" style="232"/>
    <col min="1785" max="1785" width="10.140625" customWidth="true" style="232"/>
    <col min="1786" max="1786" width="10.140625" customWidth="true" style="232"/>
    <col min="1787" max="1787" width="10.140625" customWidth="true" style="232"/>
    <col min="1788" max="1788" width="10.140625" customWidth="true" style="232"/>
    <col min="1789" max="1789" width="10.140625" customWidth="true" style="232"/>
    <col min="1790" max="1790" width="11" style="232"/>
    <col min="1791" max="1791" width="11" style="232"/>
    <col min="1792" max="1792" width="11" style="232"/>
    <col min="1793" max="1793" width="11" style="232"/>
    <col min="1794" max="1794" width="11" style="232"/>
    <col min="1795" max="1795" width="11" style="232"/>
    <col min="1796" max="1796" width="11" style="232"/>
    <col min="1797" max="1797" width="11" style="232"/>
    <col min="1798" max="1798" width="11" style="232"/>
    <col min="1799" max="1799" width="11" style="232"/>
    <col min="1800" max="1800" width="11" style="232"/>
    <col min="1801" max="1801" width="11" style="232"/>
    <col min="1802" max="1802" width="11" style="232"/>
    <col min="1803" max="1803" width="11" style="232"/>
    <col min="1804" max="1804" width="11" style="232"/>
    <col min="1805" max="1805" width="11" style="232"/>
    <col min="1806" max="1806" width="11" style="232"/>
    <col min="1807" max="1807" width="11" style="232"/>
    <col min="1808" max="1808" width="11" style="232"/>
    <col min="1809" max="1809" width="11" style="232"/>
    <col min="1810" max="1810" width="11" style="232"/>
    <col min="1811" max="1811" width="11" style="232"/>
    <col min="1812" max="1812" width="11" style="232"/>
    <col min="1813" max="1813" width="11" style="232"/>
    <col min="1814" max="1814" width="11" style="232"/>
    <col min="1815" max="1815" width="11" style="232"/>
    <col min="1816" max="1816" width="11" style="232"/>
    <col min="1817" max="1817" width="11" style="232"/>
    <col min="1818" max="1818" width="11" style="232"/>
    <col min="1819" max="1819" width="11" style="232"/>
    <col min="1820" max="1820" width="11" style="232"/>
    <col min="1821" max="1821" width="11" style="232"/>
    <col min="1822" max="1822" width="11" style="232"/>
    <col min="1823" max="1823" width="11" style="232"/>
    <col min="1824" max="1824" width="11" style="232"/>
    <col min="1825" max="1825" width="11" style="232"/>
    <col min="1826" max="1826" width="11" style="232"/>
    <col min="1827" max="1827" width="11" style="232"/>
    <col min="1828" max="1828" width="11" style="232"/>
    <col min="1829" max="1829" width="11" style="232"/>
    <col min="1830" max="1830" width="11" style="232"/>
    <col min="1831" max="1831" width="11" style="232"/>
    <col min="1832" max="1832" width="11" style="232"/>
    <col min="1833" max="1833" width="11" style="232"/>
    <col min="1834" max="1834" width="11" style="232"/>
    <col min="1835" max="1835" width="11" style="232"/>
    <col min="1836" max="1836" width="11" style="232"/>
    <col min="1837" max="1837" width="11" style="232"/>
    <col min="1838" max="1838" width="11" style="232"/>
    <col min="1839" max="1839" width="11" style="232"/>
    <col min="1840" max="1840" width="11" style="232"/>
    <col min="1841" max="1841" width="11" style="232"/>
    <col min="1842" max="1842" width="11" style="232"/>
    <col min="1843" max="1843" width="11" style="232"/>
    <col min="1844" max="1844" width="11" style="232"/>
    <col min="1845" max="1845" width="11" style="232"/>
    <col min="1846" max="1846" width="11" style="232"/>
    <col min="1847" max="1847" width="11" style="232"/>
    <col min="1848" max="1848" width="11" style="232"/>
    <col min="1849" max="1849" width="11" style="232"/>
    <col min="1850" max="1850" width="11" style="232"/>
    <col min="1851" max="1851" width="11" style="232"/>
    <col min="1852" max="1852" width="11" style="232"/>
    <col min="1853" max="1853" width="11" style="232"/>
    <col min="1854" max="1854" width="11" style="232"/>
    <col min="1855" max="1855" width="11" style="232"/>
    <col min="1856" max="1856" width="11" style="232"/>
    <col min="1857" max="1857" width="11" style="232"/>
    <col min="1858" max="1858" width="11" style="232"/>
    <col min="1859" max="1859" width="11" style="232"/>
    <col min="1860" max="1860" width="11" style="232"/>
    <col min="1861" max="1861" width="11" style="232"/>
    <col min="1862" max="1862" width="11" style="232"/>
    <col min="1863" max="1863" width="11" style="232"/>
    <col min="1864" max="1864" width="11" style="232"/>
    <col min="1865" max="1865" width="11" style="232"/>
    <col min="1866" max="1866" width="11" style="232"/>
    <col min="1867" max="1867" width="11" style="232"/>
    <col min="1868" max="1868" width="11" style="232"/>
    <col min="1869" max="1869" width="11" style="232"/>
    <col min="1870" max="1870" width="11" style="232"/>
    <col min="1871" max="1871" width="11" style="232"/>
    <col min="1872" max="1872" width="11" style="232"/>
    <col min="1873" max="1873" width="11" style="232"/>
    <col min="1874" max="1874" width="11" style="232"/>
    <col min="1875" max="1875" width="11" style="232"/>
    <col min="1876" max="1876" width="11" style="232"/>
    <col min="1877" max="1877" width="11" style="232"/>
    <col min="1878" max="1878" width="11" style="232"/>
    <col min="1879" max="1879" width="11" style="232"/>
    <col min="1880" max="1880" width="11" style="232"/>
    <col min="1881" max="1881" width="11" style="232"/>
    <col min="1882" max="1882" width="11" style="232"/>
    <col min="1883" max="1883" width="11" style="232"/>
    <col min="1884" max="1884" width="11" style="232"/>
    <col min="1885" max="1885" width="11" style="232"/>
    <col min="1886" max="1886" width="11" style="232"/>
    <col min="1887" max="1887" width="11" style="232"/>
    <col min="1888" max="1888" width="11" style="232"/>
    <col min="1889" max="1889" width="11" style="232"/>
    <col min="1890" max="1890" width="11" style="232"/>
    <col min="1891" max="1891" width="11" style="232"/>
    <col min="1892" max="1892" width="11" style="232"/>
    <col min="1893" max="1893" width="11" style="232"/>
    <col min="1894" max="1894" width="11" style="232"/>
    <col min="1895" max="1895" width="11" style="232"/>
    <col min="1896" max="1896" width="11" style="232"/>
    <col min="1897" max="1897" width="11" style="232"/>
    <col min="1898" max="1898" width="11" style="232"/>
    <col min="1899" max="1899" width="11" style="232"/>
    <col min="1900" max="1900" width="11" style="232"/>
    <col min="1901" max="1901" width="11" style="232"/>
    <col min="1902" max="1902" width="11" style="232"/>
    <col min="1903" max="1903" width="11" style="232"/>
    <col min="1904" max="1904" width="11" style="232"/>
    <col min="1905" max="1905" width="11" style="232"/>
    <col min="1906" max="1906" width="11" style="232"/>
    <col min="1907" max="1907" width="11" style="232"/>
    <col min="1908" max="1908" width="11" style="232"/>
    <col min="1909" max="1909" width="11" style="232"/>
    <col min="1910" max="1910" width="11" style="232"/>
    <col min="1911" max="1911" width="11" style="232"/>
    <col min="1912" max="1912" width="11" style="232"/>
    <col min="1913" max="1913" width="11" style="232"/>
    <col min="1914" max="1914" width="11" style="232"/>
    <col min="1915" max="1915" width="11" style="232"/>
    <col min="1916" max="1916" width="11" style="232"/>
    <col min="1917" max="1917" width="11" style="232"/>
    <col min="1918" max="1918" width="11" style="232"/>
    <col min="1919" max="1919" width="11" style="232"/>
    <col min="1920" max="1920" width="11" style="232"/>
    <col min="1921" max="1921" width="11" style="232"/>
    <col min="1922" max="1922" width="11" style="232"/>
    <col min="1923" max="1923" width="11" style="232"/>
    <col min="1924" max="1924" width="11" style="232"/>
    <col min="1925" max="1925" width="11" style="232"/>
    <col min="1926" max="1926" width="11" style="232"/>
    <col min="1927" max="1927" width="11" style="232"/>
    <col min="1928" max="1928" width="11" style="232"/>
    <col min="1929" max="1929" width="11" style="232"/>
    <col min="1930" max="1930" width="11" style="232"/>
    <col min="1931" max="1931" width="11" style="232"/>
    <col min="1932" max="1932" width="11" style="232"/>
    <col min="1933" max="1933" width="11" style="232"/>
    <col min="1934" max="1934" width="11" style="232"/>
    <col min="1935" max="1935" width="11" style="232"/>
    <col min="1936" max="1936" width="11" style="232"/>
    <col min="1937" max="1937" width="11" style="232"/>
    <col min="1938" max="1938" width="11" style="232"/>
    <col min="1939" max="1939" width="11" style="232"/>
    <col min="1940" max="1940" width="11" style="232"/>
    <col min="1941" max="1941" width="11" style="232"/>
    <col min="1942" max="1942" width="11" style="232"/>
    <col min="1943" max="1943" width="11" style="232"/>
    <col min="1944" max="1944" width="11" style="232"/>
    <col min="1945" max="1945" width="11" style="232"/>
    <col min="1946" max="1946" width="11" style="232"/>
    <col min="1947" max="1947" width="11" style="232"/>
    <col min="1948" max="1948" width="11" style="232"/>
    <col min="1949" max="1949" width="11" style="232"/>
    <col min="1950" max="1950" width="11" style="232"/>
    <col min="1951" max="1951" width="11" style="232"/>
    <col min="1952" max="1952" width="11" style="232"/>
    <col min="1953" max="1953" width="11" style="232"/>
    <col min="1954" max="1954" width="11" style="232"/>
    <col min="1955" max="1955" width="11" style="232"/>
    <col min="1956" max="1956" width="11" style="232"/>
    <col min="1957" max="1957" width="11" style="232"/>
    <col min="1958" max="1958" width="11" style="232"/>
    <col min="1959" max="1959" width="11" style="232"/>
    <col min="1960" max="1960" width="11" style="232"/>
    <col min="1961" max="1961" width="11" style="232"/>
    <col min="1962" max="1962" width="11" style="232"/>
    <col min="1963" max="1963" width="11" style="232"/>
    <col min="1964" max="1964" width="11" style="232"/>
    <col min="1965" max="1965" width="11" style="232"/>
    <col min="1966" max="1966" width="11" style="232"/>
    <col min="1967" max="1967" width="11" style="232"/>
    <col min="1968" max="1968" width="11" style="232"/>
    <col min="1969" max="1969" width="11" style="232"/>
    <col min="1970" max="1970" width="11" style="232"/>
    <col min="1971" max="1971" width="11" style="232"/>
    <col min="1972" max="1972" width="11" style="232"/>
    <col min="1973" max="1973" width="11" style="232"/>
    <col min="1974" max="1974" width="11" style="232"/>
    <col min="1975" max="1975" width="11" style="232"/>
    <col min="1976" max="1976" width="11" style="232"/>
    <col min="1977" max="1977" width="11" style="232"/>
    <col min="1978" max="1978" width="11" style="232"/>
    <col min="1979" max="1979" width="11" style="232"/>
    <col min="1980" max="1980" width="11" style="232"/>
    <col min="1981" max="1981" width="11" style="232"/>
    <col min="1982" max="1982" width="11" style="232"/>
    <col min="1983" max="1983" width="11" style="232"/>
    <col min="1984" max="1984" width="11" style="232"/>
    <col min="1985" max="1985" width="11" style="232"/>
    <col min="1986" max="1986" width="11" style="232"/>
    <col min="1987" max="1987" width="11" style="232"/>
    <col min="1988" max="1988" width="11" style="232"/>
    <col min="1989" max="1989" width="11" style="232"/>
    <col min="1990" max="1990" width="11" style="232"/>
    <col min="1991" max="1991" width="11" style="232"/>
    <col min="1992" max="1992" width="11" style="232"/>
    <col min="1993" max="1993" width="11" style="232"/>
    <col min="1994" max="1994" width="11" style="232"/>
    <col min="1995" max="1995" width="11" style="232"/>
    <col min="1996" max="1996" width="11" style="232"/>
    <col min="1997" max="1997" width="11" style="232"/>
    <col min="1998" max="1998" width="11" style="232"/>
    <col min="1999" max="1999" width="11" style="232"/>
    <col min="2000" max="2000" width="11" style="232"/>
    <col min="2001" max="2001" width="11" style="232"/>
    <col min="2002" max="2002" width="11" style="232"/>
    <col min="2003" max="2003" width="11" style="232"/>
    <col min="2004" max="2004" width="11" style="232"/>
    <col min="2005" max="2005" width="11" style="232"/>
    <col min="2006" max="2006" width="11" style="232"/>
    <col min="2007" max="2007" width="11" style="232"/>
    <col min="2008" max="2008" width="11" style="232"/>
    <col min="2009" max="2009" width="11" style="232"/>
    <col min="2010" max="2010" width="11" style="232"/>
    <col min="2011" max="2011" width="11" style="232"/>
    <col min="2012" max="2012" width="11" style="232"/>
    <col min="2013" max="2013" width="11" style="232"/>
    <col min="2014" max="2014" width="11" style="232"/>
    <col min="2015" max="2015" width="11" style="232"/>
    <col min="2016" max="2016" width="11" style="232"/>
    <col min="2017" max="2017" width="11" style="232"/>
    <col min="2018" max="2018" width="11" style="232"/>
    <col min="2019" max="2019" width="11" style="232"/>
    <col min="2020" max="2020" width="11" style="232"/>
    <col min="2021" max="2021" width="11" style="232"/>
    <col min="2022" max="2022" width="11" style="232"/>
    <col min="2023" max="2023" width="11" style="232"/>
    <col min="2024" max="2024" width="11" style="232"/>
    <col min="2025" max="2025" width="11" style="232"/>
    <col min="2026" max="2026" width="11" style="232"/>
    <col min="2027" max="2027" width="11" style="232"/>
    <col min="2028" max="2028" width="11" style="232"/>
    <col min="2029" max="2029" width="11" style="232"/>
    <col min="2030" max="2030" width="11" style="232"/>
    <col min="2031" max="2031" width="11" style="232"/>
    <col min="2032" max="2032" width="11" style="232"/>
    <col min="2033" max="2033" width="11" style="232"/>
    <col min="2034" max="2034" width="11" style="232"/>
    <col min="2035" max="2035" width="11" style="232"/>
    <col min="2036" max="2036" width="11" style="232"/>
    <col min="2037" max="2037" width="10.140625" customWidth="true" style="232"/>
    <col min="2038" max="2038" width="10.140625" customWidth="true" style="232"/>
    <col min="2039" max="2039" width="10.140625" customWidth="true" style="232"/>
    <col min="2040" max="2040" width="10.140625" customWidth="true" style="232"/>
    <col min="2041" max="2041" width="10.140625" customWidth="true" style="232"/>
    <col min="2042" max="2042" width="10.140625" customWidth="true" style="232"/>
    <col min="2043" max="2043" width="10.140625" customWidth="true" style="232"/>
    <col min="2044" max="2044" width="10.140625" customWidth="true" style="232"/>
    <col min="2045" max="2045" width="10.140625" customWidth="true" style="232"/>
    <col min="2046" max="2046" width="11" style="232"/>
    <col min="2047" max="2047" width="11" style="232"/>
    <col min="2048" max="2048" width="11" style="232"/>
    <col min="2049" max="2049" width="11" style="232"/>
    <col min="2050" max="2050" width="11" style="232"/>
    <col min="2051" max="2051" width="11" style="232"/>
    <col min="2052" max="2052" width="11" style="232"/>
    <col min="2053" max="2053" width="11" style="232"/>
    <col min="2054" max="2054" width="11" style="232"/>
    <col min="2055" max="2055" width="11" style="232"/>
    <col min="2056" max="2056" width="11" style="232"/>
    <col min="2057" max="2057" width="11" style="232"/>
    <col min="2058" max="2058" width="11" style="232"/>
    <col min="2059" max="2059" width="11" style="232"/>
    <col min="2060" max="2060" width="11" style="232"/>
    <col min="2061" max="2061" width="11" style="232"/>
    <col min="2062" max="2062" width="11" style="232"/>
    <col min="2063" max="2063" width="11" style="232"/>
    <col min="2064" max="2064" width="11" style="232"/>
    <col min="2065" max="2065" width="11" style="232"/>
    <col min="2066" max="2066" width="11" style="232"/>
    <col min="2067" max="2067" width="11" style="232"/>
    <col min="2068" max="2068" width="11" style="232"/>
    <col min="2069" max="2069" width="11" style="232"/>
    <col min="2070" max="2070" width="11" style="232"/>
    <col min="2071" max="2071" width="11" style="232"/>
    <col min="2072" max="2072" width="11" style="232"/>
    <col min="2073" max="2073" width="11" style="232"/>
    <col min="2074" max="2074" width="11" style="232"/>
    <col min="2075" max="2075" width="11" style="232"/>
    <col min="2076" max="2076" width="11" style="232"/>
    <col min="2077" max="2077" width="11" style="232"/>
    <col min="2078" max="2078" width="11" style="232"/>
    <col min="2079" max="2079" width="11" style="232"/>
    <col min="2080" max="2080" width="11" style="232"/>
    <col min="2081" max="2081" width="11" style="232"/>
    <col min="2082" max="2082" width="11" style="232"/>
    <col min="2083" max="2083" width="11" style="232"/>
    <col min="2084" max="2084" width="11" style="232"/>
    <col min="2085" max="2085" width="11" style="232"/>
    <col min="2086" max="2086" width="11" style="232"/>
    <col min="2087" max="2087" width="11" style="232"/>
    <col min="2088" max="2088" width="11" style="232"/>
    <col min="2089" max="2089" width="11" style="232"/>
    <col min="2090" max="2090" width="11" style="232"/>
    <col min="2091" max="2091" width="11" style="232"/>
    <col min="2092" max="2092" width="11" style="232"/>
    <col min="2093" max="2093" width="11" style="232"/>
    <col min="2094" max="2094" width="11" style="232"/>
    <col min="2095" max="2095" width="11" style="232"/>
    <col min="2096" max="2096" width="11" style="232"/>
    <col min="2097" max="2097" width="11" style="232"/>
    <col min="2098" max="2098" width="11" style="232"/>
    <col min="2099" max="2099" width="11" style="232"/>
    <col min="2100" max="2100" width="11" style="232"/>
    <col min="2101" max="2101" width="11" style="232"/>
    <col min="2102" max="2102" width="11" style="232"/>
    <col min="2103" max="2103" width="11" style="232"/>
    <col min="2104" max="2104" width="11" style="232"/>
    <col min="2105" max="2105" width="11" style="232"/>
    <col min="2106" max="2106" width="11" style="232"/>
    <col min="2107" max="2107" width="11" style="232"/>
    <col min="2108" max="2108" width="11" style="232"/>
    <col min="2109" max="2109" width="11" style="232"/>
    <col min="2110" max="2110" width="11" style="232"/>
    <col min="2111" max="2111" width="11" style="232"/>
    <col min="2112" max="2112" width="11" style="232"/>
    <col min="2113" max="2113" width="11" style="232"/>
    <col min="2114" max="2114" width="11" style="232"/>
    <col min="2115" max="2115" width="11" style="232"/>
    <col min="2116" max="2116" width="11" style="232"/>
    <col min="2117" max="2117" width="11" style="232"/>
    <col min="2118" max="2118" width="11" style="232"/>
    <col min="2119" max="2119" width="11" style="232"/>
    <col min="2120" max="2120" width="11" style="232"/>
    <col min="2121" max="2121" width="11" style="232"/>
    <col min="2122" max="2122" width="11" style="232"/>
    <col min="2123" max="2123" width="11" style="232"/>
    <col min="2124" max="2124" width="11" style="232"/>
    <col min="2125" max="2125" width="11" style="232"/>
    <col min="2126" max="2126" width="11" style="232"/>
    <col min="2127" max="2127" width="11" style="232"/>
    <col min="2128" max="2128" width="11" style="232"/>
    <col min="2129" max="2129" width="11" style="232"/>
    <col min="2130" max="2130" width="11" style="232"/>
    <col min="2131" max="2131" width="11" style="232"/>
    <col min="2132" max="2132" width="11" style="232"/>
    <col min="2133" max="2133" width="11" style="232"/>
    <col min="2134" max="2134" width="11" style="232"/>
    <col min="2135" max="2135" width="11" style="232"/>
    <col min="2136" max="2136" width="11" style="232"/>
    <col min="2137" max="2137" width="11" style="232"/>
    <col min="2138" max="2138" width="11" style="232"/>
    <col min="2139" max="2139" width="11" style="232"/>
    <col min="2140" max="2140" width="11" style="232"/>
    <col min="2141" max="2141" width="11" style="232"/>
    <col min="2142" max="2142" width="11" style="232"/>
    <col min="2143" max="2143" width="11" style="232"/>
    <col min="2144" max="2144" width="11" style="232"/>
    <col min="2145" max="2145" width="11" style="232"/>
    <col min="2146" max="2146" width="11" style="232"/>
    <col min="2147" max="2147" width="11" style="232"/>
    <col min="2148" max="2148" width="11" style="232"/>
    <col min="2149" max="2149" width="11" style="232"/>
    <col min="2150" max="2150" width="11" style="232"/>
    <col min="2151" max="2151" width="11" style="232"/>
    <col min="2152" max="2152" width="11" style="232"/>
    <col min="2153" max="2153" width="11" style="232"/>
    <col min="2154" max="2154" width="11" style="232"/>
    <col min="2155" max="2155" width="11" style="232"/>
    <col min="2156" max="2156" width="11" style="232"/>
    <col min="2157" max="2157" width="11" style="232"/>
    <col min="2158" max="2158" width="11" style="232"/>
    <col min="2159" max="2159" width="11" style="232"/>
    <col min="2160" max="2160" width="11" style="232"/>
    <col min="2161" max="2161" width="11" style="232"/>
    <col min="2162" max="2162" width="11" style="232"/>
    <col min="2163" max="2163" width="11" style="232"/>
    <col min="2164" max="2164" width="11" style="232"/>
    <col min="2165" max="2165" width="11" style="232"/>
    <col min="2166" max="2166" width="11" style="232"/>
    <col min="2167" max="2167" width="11" style="232"/>
    <col min="2168" max="2168" width="11" style="232"/>
    <col min="2169" max="2169" width="11" style="232"/>
    <col min="2170" max="2170" width="11" style="232"/>
    <col min="2171" max="2171" width="11" style="232"/>
    <col min="2172" max="2172" width="11" style="232"/>
    <col min="2173" max="2173" width="11" style="232"/>
    <col min="2174" max="2174" width="11" style="232"/>
    <col min="2175" max="2175" width="11" style="232"/>
    <col min="2176" max="2176" width="11" style="232"/>
    <col min="2177" max="2177" width="11" style="232"/>
    <col min="2178" max="2178" width="11" style="232"/>
    <col min="2179" max="2179" width="11" style="232"/>
    <col min="2180" max="2180" width="11" style="232"/>
    <col min="2181" max="2181" width="11" style="232"/>
    <col min="2182" max="2182" width="11" style="232"/>
    <col min="2183" max="2183" width="11" style="232"/>
    <col min="2184" max="2184" width="11" style="232"/>
    <col min="2185" max="2185" width="11" style="232"/>
    <col min="2186" max="2186" width="11" style="232"/>
    <col min="2187" max="2187" width="11" style="232"/>
    <col min="2188" max="2188" width="11" style="232"/>
    <col min="2189" max="2189" width="11" style="232"/>
    <col min="2190" max="2190" width="11" style="232"/>
    <col min="2191" max="2191" width="11" style="232"/>
    <col min="2192" max="2192" width="11" style="232"/>
    <col min="2193" max="2193" width="11" style="232"/>
    <col min="2194" max="2194" width="11" style="232"/>
    <col min="2195" max="2195" width="11" style="232"/>
    <col min="2196" max="2196" width="11" style="232"/>
    <col min="2197" max="2197" width="11" style="232"/>
    <col min="2198" max="2198" width="11" style="232"/>
    <col min="2199" max="2199" width="11" style="232"/>
    <col min="2200" max="2200" width="11" style="232"/>
    <col min="2201" max="2201" width="11" style="232"/>
    <col min="2202" max="2202" width="11" style="232"/>
    <col min="2203" max="2203" width="11" style="232"/>
    <col min="2204" max="2204" width="11" style="232"/>
    <col min="2205" max="2205" width="11" style="232"/>
    <col min="2206" max="2206" width="11" style="232"/>
    <col min="2207" max="2207" width="11" style="232"/>
    <col min="2208" max="2208" width="11" style="232"/>
    <col min="2209" max="2209" width="11" style="232"/>
    <col min="2210" max="2210" width="11" style="232"/>
    <col min="2211" max="2211" width="11" style="232"/>
    <col min="2212" max="2212" width="11" style="232"/>
    <col min="2213" max="2213" width="11" style="232"/>
    <col min="2214" max="2214" width="11" style="232"/>
    <col min="2215" max="2215" width="11" style="232"/>
    <col min="2216" max="2216" width="11" style="232"/>
    <col min="2217" max="2217" width="11" style="232"/>
    <col min="2218" max="2218" width="11" style="232"/>
    <col min="2219" max="2219" width="11" style="232"/>
    <col min="2220" max="2220" width="11" style="232"/>
    <col min="2221" max="2221" width="11" style="232"/>
    <col min="2222" max="2222" width="11" style="232"/>
    <col min="2223" max="2223" width="11" style="232"/>
    <col min="2224" max="2224" width="11" style="232"/>
    <col min="2225" max="2225" width="11" style="232"/>
    <col min="2226" max="2226" width="11" style="232"/>
    <col min="2227" max="2227" width="11" style="232"/>
    <col min="2228" max="2228" width="11" style="232"/>
    <col min="2229" max="2229" width="11" style="232"/>
    <col min="2230" max="2230" width="11" style="232"/>
    <col min="2231" max="2231" width="11" style="232"/>
    <col min="2232" max="2232" width="11" style="232"/>
    <col min="2233" max="2233" width="11" style="232"/>
    <col min="2234" max="2234" width="11" style="232"/>
    <col min="2235" max="2235" width="11" style="232"/>
    <col min="2236" max="2236" width="11" style="232"/>
    <col min="2237" max="2237" width="11" style="232"/>
    <col min="2238" max="2238" width="11" style="232"/>
    <col min="2239" max="2239" width="11" style="232"/>
    <col min="2240" max="2240" width="11" style="232"/>
    <col min="2241" max="2241" width="11" style="232"/>
    <col min="2242" max="2242" width="11" style="232"/>
    <col min="2243" max="2243" width="11" style="232"/>
    <col min="2244" max="2244" width="11" style="232"/>
    <col min="2245" max="2245" width="11" style="232"/>
    <col min="2246" max="2246" width="11" style="232"/>
    <col min="2247" max="2247" width="11" style="232"/>
    <col min="2248" max="2248" width="11" style="232"/>
    <col min="2249" max="2249" width="11" style="232"/>
    <col min="2250" max="2250" width="11" style="232"/>
    <col min="2251" max="2251" width="11" style="232"/>
    <col min="2252" max="2252" width="11" style="232"/>
    <col min="2253" max="2253" width="11" style="232"/>
    <col min="2254" max="2254" width="11" style="232"/>
    <col min="2255" max="2255" width="11" style="232"/>
    <col min="2256" max="2256" width="11" style="232"/>
    <col min="2257" max="2257" width="11" style="232"/>
    <col min="2258" max="2258" width="11" style="232"/>
    <col min="2259" max="2259" width="11" style="232"/>
    <col min="2260" max="2260" width="11" style="232"/>
    <col min="2261" max="2261" width="11" style="232"/>
    <col min="2262" max="2262" width="11" style="232"/>
    <col min="2263" max="2263" width="11" style="232"/>
    <col min="2264" max="2264" width="11" style="232"/>
    <col min="2265" max="2265" width="11" style="232"/>
    <col min="2266" max="2266" width="11" style="232"/>
    <col min="2267" max="2267" width="11" style="232"/>
    <col min="2268" max="2268" width="11" style="232"/>
    <col min="2269" max="2269" width="11" style="232"/>
    <col min="2270" max="2270" width="11" style="232"/>
    <col min="2271" max="2271" width="11" style="232"/>
    <col min="2272" max="2272" width="11" style="232"/>
    <col min="2273" max="2273" width="11" style="232"/>
    <col min="2274" max="2274" width="11" style="232"/>
    <col min="2275" max="2275" width="11" style="232"/>
    <col min="2276" max="2276" width="11" style="232"/>
    <col min="2277" max="2277" width="11" style="232"/>
    <col min="2278" max="2278" width="11" style="232"/>
    <col min="2279" max="2279" width="11" style="232"/>
    <col min="2280" max="2280" width="11" style="232"/>
    <col min="2281" max="2281" width="11" style="232"/>
    <col min="2282" max="2282" width="11" style="232"/>
    <col min="2283" max="2283" width="11" style="232"/>
    <col min="2284" max="2284" width="11" style="232"/>
    <col min="2285" max="2285" width="11" style="232"/>
    <col min="2286" max="2286" width="11" style="232"/>
    <col min="2287" max="2287" width="11" style="232"/>
    <col min="2288" max="2288" width="11" style="232"/>
    <col min="2289" max="2289" width="11" style="232"/>
    <col min="2290" max="2290" width="11" style="232"/>
    <col min="2291" max="2291" width="11" style="232"/>
    <col min="2292" max="2292" width="11" style="232"/>
    <col min="2293" max="2293" width="10.140625" customWidth="true" style="232"/>
    <col min="2294" max="2294" width="10.140625" customWidth="true" style="232"/>
    <col min="2295" max="2295" width="10.140625" customWidth="true" style="232"/>
    <col min="2296" max="2296" width="10.140625" customWidth="true" style="232"/>
    <col min="2297" max="2297" width="10.140625" customWidth="true" style="232"/>
    <col min="2298" max="2298" width="10.140625" customWidth="true" style="232"/>
    <col min="2299" max="2299" width="10.140625" customWidth="true" style="232"/>
    <col min="2300" max="2300" width="10.140625" customWidth="true" style="232"/>
    <col min="2301" max="2301" width="10.140625" customWidth="true" style="232"/>
    <col min="2302" max="2302" width="11" style="232"/>
    <col min="2303" max="2303" width="11" style="232"/>
    <col min="2304" max="2304" width="11" style="232"/>
    <col min="2305" max="2305" width="11" style="232"/>
    <col min="2306" max="2306" width="11" style="232"/>
    <col min="2307" max="2307" width="11" style="232"/>
    <col min="2308" max="2308" width="11" style="232"/>
    <col min="2309" max="2309" width="11" style="232"/>
    <col min="2310" max="2310" width="11" style="232"/>
    <col min="2311" max="2311" width="11" style="232"/>
    <col min="2312" max="2312" width="11" style="232"/>
    <col min="2313" max="2313" width="11" style="232"/>
    <col min="2314" max="2314" width="11" style="232"/>
    <col min="2315" max="2315" width="11" style="232"/>
    <col min="2316" max="2316" width="11" style="232"/>
    <col min="2317" max="2317" width="11" style="232"/>
    <col min="2318" max="2318" width="11" style="232"/>
    <col min="2319" max="2319" width="11" style="232"/>
    <col min="2320" max="2320" width="11" style="232"/>
    <col min="2321" max="2321" width="11" style="232"/>
    <col min="2322" max="2322" width="11" style="232"/>
    <col min="2323" max="2323" width="11" style="232"/>
    <col min="2324" max="2324" width="11" style="232"/>
    <col min="2325" max="2325" width="11" style="232"/>
    <col min="2326" max="2326" width="11" style="232"/>
    <col min="2327" max="2327" width="11" style="232"/>
    <col min="2328" max="2328" width="11" style="232"/>
    <col min="2329" max="2329" width="11" style="232"/>
    <col min="2330" max="2330" width="11" style="232"/>
    <col min="2331" max="2331" width="11" style="232"/>
    <col min="2332" max="2332" width="11" style="232"/>
    <col min="2333" max="2333" width="11" style="232"/>
    <col min="2334" max="2334" width="11" style="232"/>
    <col min="2335" max="2335" width="11" style="232"/>
    <col min="2336" max="2336" width="11" style="232"/>
    <col min="2337" max="2337" width="11" style="232"/>
    <col min="2338" max="2338" width="11" style="232"/>
    <col min="2339" max="2339" width="11" style="232"/>
    <col min="2340" max="2340" width="11" style="232"/>
    <col min="2341" max="2341" width="11" style="232"/>
    <col min="2342" max="2342" width="11" style="232"/>
    <col min="2343" max="2343" width="11" style="232"/>
    <col min="2344" max="2344" width="11" style="232"/>
    <col min="2345" max="2345" width="11" style="232"/>
    <col min="2346" max="2346" width="11" style="232"/>
    <col min="2347" max="2347" width="11" style="232"/>
    <col min="2348" max="2348" width="11" style="232"/>
    <col min="2349" max="2349" width="11" style="232"/>
    <col min="2350" max="2350" width="11" style="232"/>
    <col min="2351" max="2351" width="11" style="232"/>
    <col min="2352" max="2352" width="11" style="232"/>
    <col min="2353" max="2353" width="11" style="232"/>
    <col min="2354" max="2354" width="11" style="232"/>
    <col min="2355" max="2355" width="11" style="232"/>
    <col min="2356" max="2356" width="11" style="232"/>
    <col min="2357" max="2357" width="11" style="232"/>
    <col min="2358" max="2358" width="11" style="232"/>
    <col min="2359" max="2359" width="11" style="232"/>
    <col min="2360" max="2360" width="11" style="232"/>
    <col min="2361" max="2361" width="11" style="232"/>
    <col min="2362" max="2362" width="11" style="232"/>
    <col min="2363" max="2363" width="11" style="232"/>
    <col min="2364" max="2364" width="11" style="232"/>
    <col min="2365" max="2365" width="11" style="232"/>
    <col min="2366" max="2366" width="11" style="232"/>
    <col min="2367" max="2367" width="11" style="232"/>
    <col min="2368" max="2368" width="11" style="232"/>
    <col min="2369" max="2369" width="11" style="232"/>
    <col min="2370" max="2370" width="11" style="232"/>
    <col min="2371" max="2371" width="11" style="232"/>
    <col min="2372" max="2372" width="11" style="232"/>
    <col min="2373" max="2373" width="11" style="232"/>
    <col min="2374" max="2374" width="11" style="232"/>
    <col min="2375" max="2375" width="11" style="232"/>
    <col min="2376" max="2376" width="11" style="232"/>
    <col min="2377" max="2377" width="11" style="232"/>
    <col min="2378" max="2378" width="11" style="232"/>
    <col min="2379" max="2379" width="11" style="232"/>
    <col min="2380" max="2380" width="11" style="232"/>
    <col min="2381" max="2381" width="11" style="232"/>
    <col min="2382" max="2382" width="11" style="232"/>
    <col min="2383" max="2383" width="11" style="232"/>
    <col min="2384" max="2384" width="11" style="232"/>
    <col min="2385" max="2385" width="11" style="232"/>
    <col min="2386" max="2386" width="11" style="232"/>
    <col min="2387" max="2387" width="11" style="232"/>
    <col min="2388" max="2388" width="11" style="232"/>
    <col min="2389" max="2389" width="11" style="232"/>
    <col min="2390" max="2390" width="11" style="232"/>
    <col min="2391" max="2391" width="11" style="232"/>
    <col min="2392" max="2392" width="11" style="232"/>
    <col min="2393" max="2393" width="11" style="232"/>
    <col min="2394" max="2394" width="11" style="232"/>
    <col min="2395" max="2395" width="11" style="232"/>
    <col min="2396" max="2396" width="11" style="232"/>
    <col min="2397" max="2397" width="11" style="232"/>
    <col min="2398" max="2398" width="11" style="232"/>
    <col min="2399" max="2399" width="11" style="232"/>
    <col min="2400" max="2400" width="11" style="232"/>
    <col min="2401" max="2401" width="11" style="232"/>
    <col min="2402" max="2402" width="11" style="232"/>
    <col min="2403" max="2403" width="11" style="232"/>
    <col min="2404" max="2404" width="11" style="232"/>
    <col min="2405" max="2405" width="11" style="232"/>
    <col min="2406" max="2406" width="11" style="232"/>
    <col min="2407" max="2407" width="11" style="232"/>
    <col min="2408" max="2408" width="11" style="232"/>
    <col min="2409" max="2409" width="11" style="232"/>
    <col min="2410" max="2410" width="11" style="232"/>
    <col min="2411" max="2411" width="11" style="232"/>
    <col min="2412" max="2412" width="11" style="232"/>
    <col min="2413" max="2413" width="11" style="232"/>
    <col min="2414" max="2414" width="11" style="232"/>
    <col min="2415" max="2415" width="11" style="232"/>
    <col min="2416" max="2416" width="11" style="232"/>
    <col min="2417" max="2417" width="11" style="232"/>
    <col min="2418" max="2418" width="11" style="232"/>
    <col min="2419" max="2419" width="11" style="232"/>
    <col min="2420" max="2420" width="11" style="232"/>
    <col min="2421" max="2421" width="11" style="232"/>
    <col min="2422" max="2422" width="11" style="232"/>
    <col min="2423" max="2423" width="11" style="232"/>
    <col min="2424" max="2424" width="11" style="232"/>
    <col min="2425" max="2425" width="11" style="232"/>
    <col min="2426" max="2426" width="11" style="232"/>
    <col min="2427" max="2427" width="11" style="232"/>
    <col min="2428" max="2428" width="11" style="232"/>
    <col min="2429" max="2429" width="11" style="232"/>
    <col min="2430" max="2430" width="11" style="232"/>
    <col min="2431" max="2431" width="11" style="232"/>
    <col min="2432" max="2432" width="11" style="232"/>
    <col min="2433" max="2433" width="11" style="232"/>
    <col min="2434" max="2434" width="11" style="232"/>
    <col min="2435" max="2435" width="11" style="232"/>
    <col min="2436" max="2436" width="11" style="232"/>
    <col min="2437" max="2437" width="11" style="232"/>
    <col min="2438" max="2438" width="11" style="232"/>
    <col min="2439" max="2439" width="11" style="232"/>
    <col min="2440" max="2440" width="11" style="232"/>
    <col min="2441" max="2441" width="11" style="232"/>
    <col min="2442" max="2442" width="11" style="232"/>
    <col min="2443" max="2443" width="11" style="232"/>
    <col min="2444" max="2444" width="11" style="232"/>
    <col min="2445" max="2445" width="11" style="232"/>
    <col min="2446" max="2446" width="11" style="232"/>
    <col min="2447" max="2447" width="11" style="232"/>
    <col min="2448" max="2448" width="11" style="232"/>
    <col min="2449" max="2449" width="11" style="232"/>
    <col min="2450" max="2450" width="11" style="232"/>
    <col min="2451" max="2451" width="11" style="232"/>
    <col min="2452" max="2452" width="11" style="232"/>
    <col min="2453" max="2453" width="11" style="232"/>
    <col min="2454" max="2454" width="11" style="232"/>
    <col min="2455" max="2455" width="11" style="232"/>
    <col min="2456" max="2456" width="11" style="232"/>
    <col min="2457" max="2457" width="11" style="232"/>
    <col min="2458" max="2458" width="11" style="232"/>
    <col min="2459" max="2459" width="11" style="232"/>
    <col min="2460" max="2460" width="11" style="232"/>
    <col min="2461" max="2461" width="11" style="232"/>
    <col min="2462" max="2462" width="11" style="232"/>
    <col min="2463" max="2463" width="11" style="232"/>
    <col min="2464" max="2464" width="11" style="232"/>
    <col min="2465" max="2465" width="11" style="232"/>
    <col min="2466" max="2466" width="11" style="232"/>
    <col min="2467" max="2467" width="11" style="232"/>
    <col min="2468" max="2468" width="11" style="232"/>
    <col min="2469" max="2469" width="11" style="232"/>
    <col min="2470" max="2470" width="11" style="232"/>
    <col min="2471" max="2471" width="11" style="232"/>
    <col min="2472" max="2472" width="11" style="232"/>
    <col min="2473" max="2473" width="11" style="232"/>
    <col min="2474" max="2474" width="11" style="232"/>
    <col min="2475" max="2475" width="11" style="232"/>
    <col min="2476" max="2476" width="11" style="232"/>
    <col min="2477" max="2477" width="11" style="232"/>
    <col min="2478" max="2478" width="11" style="232"/>
    <col min="2479" max="2479" width="11" style="232"/>
    <col min="2480" max="2480" width="11" style="232"/>
    <col min="2481" max="2481" width="11" style="232"/>
    <col min="2482" max="2482" width="11" style="232"/>
    <col min="2483" max="2483" width="11" style="232"/>
    <col min="2484" max="2484" width="11" style="232"/>
    <col min="2485" max="2485" width="11" style="232"/>
    <col min="2486" max="2486" width="11" style="232"/>
    <col min="2487" max="2487" width="11" style="232"/>
    <col min="2488" max="2488" width="11" style="232"/>
    <col min="2489" max="2489" width="11" style="232"/>
    <col min="2490" max="2490" width="11" style="232"/>
    <col min="2491" max="2491" width="11" style="232"/>
    <col min="2492" max="2492" width="11" style="232"/>
    <col min="2493" max="2493" width="11" style="232"/>
    <col min="2494" max="2494" width="11" style="232"/>
    <col min="2495" max="2495" width="11" style="232"/>
    <col min="2496" max="2496" width="11" style="232"/>
    <col min="2497" max="2497" width="11" style="232"/>
    <col min="2498" max="2498" width="11" style="232"/>
    <col min="2499" max="2499" width="11" style="232"/>
    <col min="2500" max="2500" width="11" style="232"/>
    <col min="2501" max="2501" width="11" style="232"/>
    <col min="2502" max="2502" width="11" style="232"/>
    <col min="2503" max="2503" width="11" style="232"/>
    <col min="2504" max="2504" width="11" style="232"/>
    <col min="2505" max="2505" width="11" style="232"/>
    <col min="2506" max="2506" width="11" style="232"/>
    <col min="2507" max="2507" width="11" style="232"/>
    <col min="2508" max="2508" width="11" style="232"/>
    <col min="2509" max="2509" width="11" style="232"/>
    <col min="2510" max="2510" width="11" style="232"/>
    <col min="2511" max="2511" width="11" style="232"/>
    <col min="2512" max="2512" width="11" style="232"/>
    <col min="2513" max="2513" width="11" style="232"/>
    <col min="2514" max="2514" width="11" style="232"/>
    <col min="2515" max="2515" width="11" style="232"/>
    <col min="2516" max="2516" width="11" style="232"/>
    <col min="2517" max="2517" width="11" style="232"/>
    <col min="2518" max="2518" width="11" style="232"/>
    <col min="2519" max="2519" width="11" style="232"/>
    <col min="2520" max="2520" width="11" style="232"/>
    <col min="2521" max="2521" width="11" style="232"/>
    <col min="2522" max="2522" width="11" style="232"/>
    <col min="2523" max="2523" width="11" style="232"/>
    <col min="2524" max="2524" width="11" style="232"/>
    <col min="2525" max="2525" width="11" style="232"/>
    <col min="2526" max="2526" width="11" style="232"/>
    <col min="2527" max="2527" width="11" style="232"/>
    <col min="2528" max="2528" width="11" style="232"/>
    <col min="2529" max="2529" width="11" style="232"/>
    <col min="2530" max="2530" width="11" style="232"/>
    <col min="2531" max="2531" width="11" style="232"/>
    <col min="2532" max="2532" width="11" style="232"/>
    <col min="2533" max="2533" width="11" style="232"/>
    <col min="2534" max="2534" width="11" style="232"/>
    <col min="2535" max="2535" width="11" style="232"/>
    <col min="2536" max="2536" width="11" style="232"/>
    <col min="2537" max="2537" width="11" style="232"/>
    <col min="2538" max="2538" width="11" style="232"/>
    <col min="2539" max="2539" width="11" style="232"/>
    <col min="2540" max="2540" width="11" style="232"/>
    <col min="2541" max="2541" width="11" style="232"/>
    <col min="2542" max="2542" width="11" style="232"/>
    <col min="2543" max="2543" width="11" style="232"/>
    <col min="2544" max="2544" width="11" style="232"/>
    <col min="2545" max="2545" width="11" style="232"/>
    <col min="2546" max="2546" width="11" style="232"/>
    <col min="2547" max="2547" width="11" style="232"/>
    <col min="2548" max="2548" width="11" style="232"/>
    <col min="2549" max="2549" width="10.140625" customWidth="true" style="232"/>
    <col min="2550" max="2550" width="10.140625" customWidth="true" style="232"/>
    <col min="2551" max="2551" width="10.140625" customWidth="true" style="232"/>
    <col min="2552" max="2552" width="10.140625" customWidth="true" style="232"/>
    <col min="2553" max="2553" width="10.140625" customWidth="true" style="232"/>
    <col min="2554" max="2554" width="10.140625" customWidth="true" style="232"/>
    <col min="2555" max="2555" width="10.140625" customWidth="true" style="232"/>
    <col min="2556" max="2556" width="10.140625" customWidth="true" style="232"/>
    <col min="2557" max="2557" width="10.140625" customWidth="true" style="232"/>
    <col min="2558" max="2558" width="11" style="232"/>
    <col min="2559" max="2559" width="11" style="232"/>
    <col min="2560" max="2560" width="11" style="232"/>
    <col min="2561" max="2561" width="11" style="232"/>
    <col min="2562" max="2562" width="11" style="232"/>
    <col min="2563" max="2563" width="11" style="232"/>
    <col min="2564" max="2564" width="11" style="232"/>
    <col min="2565" max="2565" width="11" style="232"/>
    <col min="2566" max="2566" width="11" style="232"/>
    <col min="2567" max="2567" width="11" style="232"/>
    <col min="2568" max="2568" width="11" style="232"/>
    <col min="2569" max="2569" width="11" style="232"/>
    <col min="2570" max="2570" width="11" style="232"/>
    <col min="2571" max="2571" width="11" style="232"/>
    <col min="2572" max="2572" width="11" style="232"/>
    <col min="2573" max="2573" width="11" style="232"/>
    <col min="2574" max="2574" width="11" style="232"/>
    <col min="2575" max="2575" width="11" style="232"/>
    <col min="2576" max="2576" width="11" style="232"/>
    <col min="2577" max="2577" width="11" style="232"/>
    <col min="2578" max="2578" width="11" style="232"/>
    <col min="2579" max="2579" width="11" style="232"/>
    <col min="2580" max="2580" width="11" style="232"/>
    <col min="2581" max="2581" width="11" style="232"/>
    <col min="2582" max="2582" width="11" style="232"/>
    <col min="2583" max="2583" width="11" style="232"/>
    <col min="2584" max="2584" width="11" style="232"/>
    <col min="2585" max="2585" width="11" style="232"/>
    <col min="2586" max="2586" width="11" style="232"/>
    <col min="2587" max="2587" width="11" style="232"/>
    <col min="2588" max="2588" width="11" style="232"/>
    <col min="2589" max="2589" width="11" style="232"/>
    <col min="2590" max="2590" width="11" style="232"/>
    <col min="2591" max="2591" width="11" style="232"/>
    <col min="2592" max="2592" width="11" style="232"/>
    <col min="2593" max="2593" width="11" style="232"/>
    <col min="2594" max="2594" width="11" style="232"/>
    <col min="2595" max="2595" width="11" style="232"/>
    <col min="2596" max="2596" width="11" style="232"/>
    <col min="2597" max="2597" width="11" style="232"/>
    <col min="2598" max="2598" width="11" style="232"/>
    <col min="2599" max="2599" width="11" style="232"/>
    <col min="2600" max="2600" width="11" style="232"/>
    <col min="2601" max="2601" width="11" style="232"/>
    <col min="2602" max="2602" width="11" style="232"/>
    <col min="2603" max="2603" width="11" style="232"/>
    <col min="2604" max="2604" width="11" style="232"/>
    <col min="2605" max="2605" width="11" style="232"/>
    <col min="2606" max="2606" width="11" style="232"/>
    <col min="2607" max="2607" width="11" style="232"/>
    <col min="2608" max="2608" width="11" style="232"/>
    <col min="2609" max="2609" width="11" style="232"/>
    <col min="2610" max="2610" width="11" style="232"/>
    <col min="2611" max="2611" width="11" style="232"/>
    <col min="2612" max="2612" width="11" style="232"/>
    <col min="2613" max="2613" width="11" style="232"/>
    <col min="2614" max="2614" width="11" style="232"/>
    <col min="2615" max="2615" width="11" style="232"/>
    <col min="2616" max="2616" width="11" style="232"/>
    <col min="2617" max="2617" width="11" style="232"/>
    <col min="2618" max="2618" width="11" style="232"/>
    <col min="2619" max="2619" width="11" style="232"/>
    <col min="2620" max="2620" width="11" style="232"/>
    <col min="2621" max="2621" width="11" style="232"/>
    <col min="2622" max="2622" width="11" style="232"/>
    <col min="2623" max="2623" width="11" style="232"/>
    <col min="2624" max="2624" width="11" style="232"/>
    <col min="2625" max="2625" width="11" style="232"/>
    <col min="2626" max="2626" width="11" style="232"/>
    <col min="2627" max="2627" width="11" style="232"/>
    <col min="2628" max="2628" width="11" style="232"/>
    <col min="2629" max="2629" width="11" style="232"/>
    <col min="2630" max="2630" width="11" style="232"/>
    <col min="2631" max="2631" width="11" style="232"/>
    <col min="2632" max="2632" width="11" style="232"/>
    <col min="2633" max="2633" width="11" style="232"/>
    <col min="2634" max="2634" width="11" style="232"/>
    <col min="2635" max="2635" width="11" style="232"/>
    <col min="2636" max="2636" width="11" style="232"/>
    <col min="2637" max="2637" width="11" style="232"/>
    <col min="2638" max="2638" width="11" style="232"/>
    <col min="2639" max="2639" width="11" style="232"/>
    <col min="2640" max="2640" width="11" style="232"/>
    <col min="2641" max="2641" width="11" style="232"/>
    <col min="2642" max="2642" width="11" style="232"/>
    <col min="2643" max="2643" width="11" style="232"/>
    <col min="2644" max="2644" width="11" style="232"/>
    <col min="2645" max="2645" width="11" style="232"/>
    <col min="2646" max="2646" width="11" style="232"/>
    <col min="2647" max="2647" width="11" style="232"/>
    <col min="2648" max="2648" width="11" style="232"/>
    <col min="2649" max="2649" width="11" style="232"/>
    <col min="2650" max="2650" width="11" style="232"/>
    <col min="2651" max="2651" width="11" style="232"/>
    <col min="2652" max="2652" width="11" style="232"/>
    <col min="2653" max="2653" width="11" style="232"/>
    <col min="2654" max="2654" width="11" style="232"/>
    <col min="2655" max="2655" width="11" style="232"/>
    <col min="2656" max="2656" width="11" style="232"/>
    <col min="2657" max="2657" width="11" style="232"/>
    <col min="2658" max="2658" width="11" style="232"/>
    <col min="2659" max="2659" width="11" style="232"/>
    <col min="2660" max="2660" width="11" style="232"/>
    <col min="2661" max="2661" width="11" style="232"/>
    <col min="2662" max="2662" width="11" style="232"/>
    <col min="2663" max="2663" width="11" style="232"/>
    <col min="2664" max="2664" width="11" style="232"/>
    <col min="2665" max="2665" width="11" style="232"/>
    <col min="2666" max="2666" width="11" style="232"/>
    <col min="2667" max="2667" width="11" style="232"/>
    <col min="2668" max="2668" width="11" style="232"/>
    <col min="2669" max="2669" width="11" style="232"/>
    <col min="2670" max="2670" width="11" style="232"/>
    <col min="2671" max="2671" width="11" style="232"/>
    <col min="2672" max="2672" width="11" style="232"/>
    <col min="2673" max="2673" width="11" style="232"/>
    <col min="2674" max="2674" width="11" style="232"/>
    <col min="2675" max="2675" width="11" style="232"/>
    <col min="2676" max="2676" width="11" style="232"/>
    <col min="2677" max="2677" width="11" style="232"/>
    <col min="2678" max="2678" width="11" style="232"/>
    <col min="2679" max="2679" width="11" style="232"/>
    <col min="2680" max="2680" width="11" style="232"/>
    <col min="2681" max="2681" width="11" style="232"/>
    <col min="2682" max="2682" width="11" style="232"/>
    <col min="2683" max="2683" width="11" style="232"/>
    <col min="2684" max="2684" width="11" style="232"/>
    <col min="2685" max="2685" width="11" style="232"/>
    <col min="2686" max="2686" width="11" style="232"/>
    <col min="2687" max="2687" width="11" style="232"/>
    <col min="2688" max="2688" width="11" style="232"/>
    <col min="2689" max="2689" width="11" style="232"/>
    <col min="2690" max="2690" width="11" style="232"/>
    <col min="2691" max="2691" width="11" style="232"/>
    <col min="2692" max="2692" width="11" style="232"/>
    <col min="2693" max="2693" width="11" style="232"/>
    <col min="2694" max="2694" width="11" style="232"/>
    <col min="2695" max="2695" width="11" style="232"/>
    <col min="2696" max="2696" width="11" style="232"/>
    <col min="2697" max="2697" width="11" style="232"/>
    <col min="2698" max="2698" width="11" style="232"/>
    <col min="2699" max="2699" width="11" style="232"/>
    <col min="2700" max="2700" width="11" style="232"/>
    <col min="2701" max="2701" width="11" style="232"/>
    <col min="2702" max="2702" width="11" style="232"/>
    <col min="2703" max="2703" width="11" style="232"/>
    <col min="2704" max="2704" width="11" style="232"/>
    <col min="2705" max="2705" width="11" style="232"/>
    <col min="2706" max="2706" width="11" style="232"/>
    <col min="2707" max="2707" width="11" style="232"/>
    <col min="2708" max="2708" width="11" style="232"/>
    <col min="2709" max="2709" width="11" style="232"/>
    <col min="2710" max="2710" width="11" style="232"/>
    <col min="2711" max="2711" width="11" style="232"/>
    <col min="2712" max="2712" width="11" style="232"/>
    <col min="2713" max="2713" width="11" style="232"/>
    <col min="2714" max="2714" width="11" style="232"/>
    <col min="2715" max="2715" width="11" style="232"/>
    <col min="2716" max="2716" width="11" style="232"/>
    <col min="2717" max="2717" width="11" style="232"/>
    <col min="2718" max="2718" width="11" style="232"/>
    <col min="2719" max="2719" width="11" style="232"/>
    <col min="2720" max="2720" width="11" style="232"/>
    <col min="2721" max="2721" width="11" style="232"/>
    <col min="2722" max="2722" width="11" style="232"/>
    <col min="2723" max="2723" width="11" style="232"/>
    <col min="2724" max="2724" width="11" style="232"/>
    <col min="2725" max="2725" width="11" style="232"/>
    <col min="2726" max="2726" width="11" style="232"/>
    <col min="2727" max="2727" width="11" style="232"/>
    <col min="2728" max="2728" width="11" style="232"/>
    <col min="2729" max="2729" width="11" style="232"/>
    <col min="2730" max="2730" width="11" style="232"/>
    <col min="2731" max="2731" width="11" style="232"/>
    <col min="2732" max="2732" width="11" style="232"/>
    <col min="2733" max="2733" width="11" style="232"/>
    <col min="2734" max="2734" width="11" style="232"/>
    <col min="2735" max="2735" width="11" style="232"/>
    <col min="2736" max="2736" width="11" style="232"/>
    <col min="2737" max="2737" width="11" style="232"/>
    <col min="2738" max="2738" width="11" style="232"/>
    <col min="2739" max="2739" width="11" style="232"/>
    <col min="2740" max="2740" width="11" style="232"/>
    <col min="2741" max="2741" width="11" style="232"/>
    <col min="2742" max="2742" width="11" style="232"/>
    <col min="2743" max="2743" width="11" style="232"/>
    <col min="2744" max="2744" width="11" style="232"/>
    <col min="2745" max="2745" width="11" style="232"/>
    <col min="2746" max="2746" width="11" style="232"/>
    <col min="2747" max="2747" width="11" style="232"/>
    <col min="2748" max="2748" width="11" style="232"/>
    <col min="2749" max="2749" width="11" style="232"/>
    <col min="2750" max="2750" width="11" style="232"/>
    <col min="2751" max="2751" width="11" style="232"/>
    <col min="2752" max="2752" width="11" style="232"/>
    <col min="2753" max="2753" width="11" style="232"/>
    <col min="2754" max="2754" width="11" style="232"/>
    <col min="2755" max="2755" width="11" style="232"/>
    <col min="2756" max="2756" width="11" style="232"/>
    <col min="2757" max="2757" width="11" style="232"/>
    <col min="2758" max="2758" width="11" style="232"/>
    <col min="2759" max="2759" width="11" style="232"/>
    <col min="2760" max="2760" width="11" style="232"/>
    <col min="2761" max="2761" width="11" style="232"/>
    <col min="2762" max="2762" width="11" style="232"/>
    <col min="2763" max="2763" width="11" style="232"/>
    <col min="2764" max="2764" width="11" style="232"/>
    <col min="2765" max="2765" width="11" style="232"/>
    <col min="2766" max="2766" width="11" style="232"/>
    <col min="2767" max="2767" width="11" style="232"/>
    <col min="2768" max="2768" width="11" style="232"/>
    <col min="2769" max="2769" width="11" style="232"/>
    <col min="2770" max="2770" width="11" style="232"/>
    <col min="2771" max="2771" width="11" style="232"/>
    <col min="2772" max="2772" width="11" style="232"/>
    <col min="2773" max="2773" width="11" style="232"/>
    <col min="2774" max="2774" width="11" style="232"/>
    <col min="2775" max="2775" width="11" style="232"/>
    <col min="2776" max="2776" width="11" style="232"/>
    <col min="2777" max="2777" width="11" style="232"/>
    <col min="2778" max="2778" width="11" style="232"/>
    <col min="2779" max="2779" width="11" style="232"/>
    <col min="2780" max="2780" width="11" style="232"/>
    <col min="2781" max="2781" width="11" style="232"/>
    <col min="2782" max="2782" width="11" style="232"/>
    <col min="2783" max="2783" width="11" style="232"/>
    <col min="2784" max="2784" width="11" style="232"/>
    <col min="2785" max="2785" width="11" style="232"/>
    <col min="2786" max="2786" width="11" style="232"/>
    <col min="2787" max="2787" width="11" style="232"/>
    <col min="2788" max="2788" width="11" style="232"/>
    <col min="2789" max="2789" width="11" style="232"/>
    <col min="2790" max="2790" width="11" style="232"/>
    <col min="2791" max="2791" width="11" style="232"/>
    <col min="2792" max="2792" width="11" style="232"/>
    <col min="2793" max="2793" width="11" style="232"/>
    <col min="2794" max="2794" width="11" style="232"/>
    <col min="2795" max="2795" width="11" style="232"/>
    <col min="2796" max="2796" width="11" style="232"/>
    <col min="2797" max="2797" width="11" style="232"/>
    <col min="2798" max="2798" width="11" style="232"/>
    <col min="2799" max="2799" width="11" style="232"/>
    <col min="2800" max="2800" width="11" style="232"/>
    <col min="2801" max="2801" width="11" style="232"/>
    <col min="2802" max="2802" width="11" style="232"/>
    <col min="2803" max="2803" width="11" style="232"/>
    <col min="2804" max="2804" width="11" style="232"/>
    <col min="2805" max="2805" width="10.140625" customWidth="true" style="232"/>
    <col min="2806" max="2806" width="10.140625" customWidth="true" style="232"/>
    <col min="2807" max="2807" width="10.140625" customWidth="true" style="232"/>
    <col min="2808" max="2808" width="10.140625" customWidth="true" style="232"/>
    <col min="2809" max="2809" width="10.140625" customWidth="true" style="232"/>
    <col min="2810" max="2810" width="10.140625" customWidth="true" style="232"/>
    <col min="2811" max="2811" width="10.140625" customWidth="true" style="232"/>
    <col min="2812" max="2812" width="10.140625" customWidth="true" style="232"/>
    <col min="2813" max="2813" width="10.140625" customWidth="true" style="232"/>
    <col min="2814" max="2814" width="11" style="232"/>
    <col min="2815" max="2815" width="11" style="232"/>
    <col min="2816" max="2816" width="11" style="232"/>
    <col min="2817" max="2817" width="11" style="232"/>
    <col min="2818" max="2818" width="11" style="232"/>
    <col min="2819" max="2819" width="11" style="232"/>
    <col min="2820" max="2820" width="11" style="232"/>
    <col min="2821" max="2821" width="11" style="232"/>
    <col min="2822" max="2822" width="11" style="232"/>
    <col min="2823" max="2823" width="11" style="232"/>
    <col min="2824" max="2824" width="11" style="232"/>
    <col min="2825" max="2825" width="11" style="232"/>
    <col min="2826" max="2826" width="11" style="232"/>
    <col min="2827" max="2827" width="11" style="232"/>
    <col min="2828" max="2828" width="11" style="232"/>
    <col min="2829" max="2829" width="11" style="232"/>
    <col min="2830" max="2830" width="11" style="232"/>
    <col min="2831" max="2831" width="11" style="232"/>
    <col min="2832" max="2832" width="11" style="232"/>
    <col min="2833" max="2833" width="11" style="232"/>
    <col min="2834" max="2834" width="11" style="232"/>
    <col min="2835" max="2835" width="11" style="232"/>
    <col min="2836" max="2836" width="11" style="232"/>
    <col min="2837" max="2837" width="11" style="232"/>
    <col min="2838" max="2838" width="11" style="232"/>
    <col min="2839" max="2839" width="11" style="232"/>
    <col min="2840" max="2840" width="11" style="232"/>
    <col min="2841" max="2841" width="11" style="232"/>
    <col min="2842" max="2842" width="11" style="232"/>
    <col min="2843" max="2843" width="11" style="232"/>
    <col min="2844" max="2844" width="11" style="232"/>
    <col min="2845" max="2845" width="11" style="232"/>
    <col min="2846" max="2846" width="11" style="232"/>
    <col min="2847" max="2847" width="11" style="232"/>
    <col min="2848" max="2848" width="11" style="232"/>
    <col min="2849" max="2849" width="11" style="232"/>
    <col min="2850" max="2850" width="11" style="232"/>
    <col min="2851" max="2851" width="11" style="232"/>
    <col min="2852" max="2852" width="11" style="232"/>
    <col min="2853" max="2853" width="11" style="232"/>
    <col min="2854" max="2854" width="11" style="232"/>
    <col min="2855" max="2855" width="11" style="232"/>
    <col min="2856" max="2856" width="11" style="232"/>
    <col min="2857" max="2857" width="11" style="232"/>
    <col min="2858" max="2858" width="11" style="232"/>
    <col min="2859" max="2859" width="11" style="232"/>
    <col min="2860" max="2860" width="11" style="232"/>
    <col min="2861" max="2861" width="11" style="232"/>
    <col min="2862" max="2862" width="11" style="232"/>
    <col min="2863" max="2863" width="11" style="232"/>
    <col min="2864" max="2864" width="11" style="232"/>
    <col min="2865" max="2865" width="11" style="232"/>
    <col min="2866" max="2866" width="11" style="232"/>
    <col min="2867" max="2867" width="11" style="232"/>
    <col min="2868" max="2868" width="11" style="232"/>
    <col min="2869" max="2869" width="11" style="232"/>
    <col min="2870" max="2870" width="11" style="232"/>
    <col min="2871" max="2871" width="11" style="232"/>
    <col min="2872" max="2872" width="11" style="232"/>
    <col min="2873" max="2873" width="11" style="232"/>
    <col min="2874" max="2874" width="11" style="232"/>
    <col min="2875" max="2875" width="11" style="232"/>
    <col min="2876" max="2876" width="11" style="232"/>
    <col min="2877" max="2877" width="11" style="232"/>
    <col min="2878" max="2878" width="11" style="232"/>
    <col min="2879" max="2879" width="11" style="232"/>
    <col min="2880" max="2880" width="11" style="232"/>
    <col min="2881" max="2881" width="11" style="232"/>
    <col min="2882" max="2882" width="11" style="232"/>
    <col min="2883" max="2883" width="11" style="232"/>
    <col min="2884" max="2884" width="11" style="232"/>
    <col min="2885" max="2885" width="11" style="232"/>
    <col min="2886" max="2886" width="11" style="232"/>
    <col min="2887" max="2887" width="11" style="232"/>
    <col min="2888" max="2888" width="11" style="232"/>
    <col min="2889" max="2889" width="11" style="232"/>
    <col min="2890" max="2890" width="11" style="232"/>
    <col min="2891" max="2891" width="11" style="232"/>
    <col min="2892" max="2892" width="11" style="232"/>
    <col min="2893" max="2893" width="11" style="232"/>
    <col min="2894" max="2894" width="11" style="232"/>
    <col min="2895" max="2895" width="11" style="232"/>
    <col min="2896" max="2896" width="11" style="232"/>
    <col min="2897" max="2897" width="11" style="232"/>
    <col min="2898" max="2898" width="11" style="232"/>
    <col min="2899" max="2899" width="11" style="232"/>
    <col min="2900" max="2900" width="11" style="232"/>
    <col min="2901" max="2901" width="11" style="232"/>
    <col min="2902" max="2902" width="11" style="232"/>
    <col min="2903" max="2903" width="11" style="232"/>
    <col min="2904" max="2904" width="11" style="232"/>
    <col min="2905" max="2905" width="11" style="232"/>
    <col min="2906" max="2906" width="11" style="232"/>
    <col min="2907" max="2907" width="11" style="232"/>
    <col min="2908" max="2908" width="11" style="232"/>
    <col min="2909" max="2909" width="11" style="232"/>
    <col min="2910" max="2910" width="11" style="232"/>
    <col min="2911" max="2911" width="11" style="232"/>
    <col min="2912" max="2912" width="11" style="232"/>
    <col min="2913" max="2913" width="11" style="232"/>
    <col min="2914" max="2914" width="11" style="232"/>
    <col min="2915" max="2915" width="11" style="232"/>
    <col min="2916" max="2916" width="11" style="232"/>
    <col min="2917" max="2917" width="11" style="232"/>
    <col min="2918" max="2918" width="11" style="232"/>
    <col min="2919" max="2919" width="11" style="232"/>
    <col min="2920" max="2920" width="11" style="232"/>
    <col min="2921" max="2921" width="11" style="232"/>
    <col min="2922" max="2922" width="11" style="232"/>
    <col min="2923" max="2923" width="11" style="232"/>
    <col min="2924" max="2924" width="11" style="232"/>
    <col min="2925" max="2925" width="11" style="232"/>
    <col min="2926" max="2926" width="11" style="232"/>
    <col min="2927" max="2927" width="11" style="232"/>
    <col min="2928" max="2928" width="11" style="232"/>
    <col min="2929" max="2929" width="11" style="232"/>
    <col min="2930" max="2930" width="11" style="232"/>
    <col min="2931" max="2931" width="11" style="232"/>
    <col min="2932" max="2932" width="11" style="232"/>
    <col min="2933" max="2933" width="11" style="232"/>
    <col min="2934" max="2934" width="11" style="232"/>
    <col min="2935" max="2935" width="11" style="232"/>
    <col min="2936" max="2936" width="11" style="232"/>
    <col min="2937" max="2937" width="11" style="232"/>
    <col min="2938" max="2938" width="11" style="232"/>
    <col min="2939" max="2939" width="11" style="232"/>
    <col min="2940" max="2940" width="11" style="232"/>
    <col min="2941" max="2941" width="11" style="232"/>
    <col min="2942" max="2942" width="11" style="232"/>
    <col min="2943" max="2943" width="11" style="232"/>
    <col min="2944" max="2944" width="11" style="232"/>
    <col min="2945" max="2945" width="11" style="232"/>
    <col min="2946" max="2946" width="11" style="232"/>
    <col min="2947" max="2947" width="11" style="232"/>
    <col min="2948" max="2948" width="11" style="232"/>
    <col min="2949" max="2949" width="11" style="232"/>
    <col min="2950" max="2950" width="11" style="232"/>
    <col min="2951" max="2951" width="11" style="232"/>
    <col min="2952" max="2952" width="11" style="232"/>
    <col min="2953" max="2953" width="11" style="232"/>
    <col min="2954" max="2954" width="11" style="232"/>
    <col min="2955" max="2955" width="11" style="232"/>
    <col min="2956" max="2956" width="11" style="232"/>
    <col min="2957" max="2957" width="11" style="232"/>
    <col min="2958" max="2958" width="11" style="232"/>
    <col min="2959" max="2959" width="11" style="232"/>
    <col min="2960" max="2960" width="11" style="232"/>
    <col min="2961" max="2961" width="11" style="232"/>
    <col min="2962" max="2962" width="11" style="232"/>
    <col min="2963" max="2963" width="11" style="232"/>
    <col min="2964" max="2964" width="11" style="232"/>
    <col min="2965" max="2965" width="11" style="232"/>
    <col min="2966" max="2966" width="11" style="232"/>
    <col min="2967" max="2967" width="11" style="232"/>
    <col min="2968" max="2968" width="11" style="232"/>
    <col min="2969" max="2969" width="11" style="232"/>
    <col min="2970" max="2970" width="11" style="232"/>
    <col min="2971" max="2971" width="11" style="232"/>
    <col min="2972" max="2972" width="11" style="232"/>
    <col min="2973" max="2973" width="11" style="232"/>
    <col min="2974" max="2974" width="11" style="232"/>
    <col min="2975" max="2975" width="11" style="232"/>
    <col min="2976" max="2976" width="11" style="232"/>
    <col min="2977" max="2977" width="11" style="232"/>
    <col min="2978" max="2978" width="11" style="232"/>
    <col min="2979" max="2979" width="11" style="232"/>
    <col min="2980" max="2980" width="11" style="232"/>
    <col min="2981" max="2981" width="11" style="232"/>
    <col min="2982" max="2982" width="11" style="232"/>
    <col min="2983" max="2983" width="11" style="232"/>
    <col min="2984" max="2984" width="11" style="232"/>
    <col min="2985" max="2985" width="11" style="232"/>
    <col min="2986" max="2986" width="11" style="232"/>
    <col min="2987" max="2987" width="11" style="232"/>
    <col min="2988" max="2988" width="11" style="232"/>
    <col min="2989" max="2989" width="11" style="232"/>
    <col min="2990" max="2990" width="11" style="232"/>
    <col min="2991" max="2991" width="11" style="232"/>
    <col min="2992" max="2992" width="11" style="232"/>
    <col min="2993" max="2993" width="11" style="232"/>
    <col min="2994" max="2994" width="11" style="232"/>
    <col min="2995" max="2995" width="11" style="232"/>
    <col min="2996" max="2996" width="11" style="232"/>
    <col min="2997" max="2997" width="11" style="232"/>
    <col min="2998" max="2998" width="11" style="232"/>
    <col min="2999" max="2999" width="11" style="232"/>
    <col min="3000" max="3000" width="11" style="232"/>
    <col min="3001" max="3001" width="11" style="232"/>
    <col min="3002" max="3002" width="11" style="232"/>
    <col min="3003" max="3003" width="11" style="232"/>
    <col min="3004" max="3004" width="11" style="232"/>
    <col min="3005" max="3005" width="11" style="232"/>
    <col min="3006" max="3006" width="11" style="232"/>
    <col min="3007" max="3007" width="11" style="232"/>
    <col min="3008" max="3008" width="11" style="232"/>
    <col min="3009" max="3009" width="11" style="232"/>
    <col min="3010" max="3010" width="11" style="232"/>
    <col min="3011" max="3011" width="11" style="232"/>
    <col min="3012" max="3012" width="11" style="232"/>
    <col min="3013" max="3013" width="11" style="232"/>
    <col min="3014" max="3014" width="11" style="232"/>
    <col min="3015" max="3015" width="11" style="232"/>
    <col min="3016" max="3016" width="11" style="232"/>
    <col min="3017" max="3017" width="11" style="232"/>
    <col min="3018" max="3018" width="11" style="232"/>
    <col min="3019" max="3019" width="11" style="232"/>
    <col min="3020" max="3020" width="11" style="232"/>
    <col min="3021" max="3021" width="11" style="232"/>
    <col min="3022" max="3022" width="11" style="232"/>
    <col min="3023" max="3023" width="11" style="232"/>
    <col min="3024" max="3024" width="11" style="232"/>
    <col min="3025" max="3025" width="11" style="232"/>
    <col min="3026" max="3026" width="11" style="232"/>
    <col min="3027" max="3027" width="11" style="232"/>
    <col min="3028" max="3028" width="11" style="232"/>
    <col min="3029" max="3029" width="11" style="232"/>
    <col min="3030" max="3030" width="11" style="232"/>
    <col min="3031" max="3031" width="11" style="232"/>
    <col min="3032" max="3032" width="11" style="232"/>
    <col min="3033" max="3033" width="11" style="232"/>
    <col min="3034" max="3034" width="11" style="232"/>
    <col min="3035" max="3035" width="11" style="232"/>
    <col min="3036" max="3036" width="11" style="232"/>
    <col min="3037" max="3037" width="11" style="232"/>
    <col min="3038" max="3038" width="11" style="232"/>
    <col min="3039" max="3039" width="11" style="232"/>
    <col min="3040" max="3040" width="11" style="232"/>
    <col min="3041" max="3041" width="11" style="232"/>
    <col min="3042" max="3042" width="11" style="232"/>
    <col min="3043" max="3043" width="11" style="232"/>
    <col min="3044" max="3044" width="11" style="232"/>
    <col min="3045" max="3045" width="11" style="232"/>
    <col min="3046" max="3046" width="11" style="232"/>
    <col min="3047" max="3047" width="11" style="232"/>
    <col min="3048" max="3048" width="11" style="232"/>
    <col min="3049" max="3049" width="11" style="232"/>
    <col min="3050" max="3050" width="11" style="232"/>
    <col min="3051" max="3051" width="11" style="232"/>
    <col min="3052" max="3052" width="11" style="232"/>
    <col min="3053" max="3053" width="11" style="232"/>
    <col min="3054" max="3054" width="11" style="232"/>
    <col min="3055" max="3055" width="11" style="232"/>
    <col min="3056" max="3056" width="11" style="232"/>
    <col min="3057" max="3057" width="11" style="232"/>
    <col min="3058" max="3058" width="11" style="232"/>
    <col min="3059" max="3059" width="11" style="232"/>
    <col min="3060" max="3060" width="11" style="232"/>
    <col min="3061" max="3061" width="10.140625" customWidth="true" style="232"/>
    <col min="3062" max="3062" width="10.140625" customWidth="true" style="232"/>
    <col min="3063" max="3063" width="10.140625" customWidth="true" style="232"/>
    <col min="3064" max="3064" width="10.140625" customWidth="true" style="232"/>
    <col min="3065" max="3065" width="10.140625" customWidth="true" style="232"/>
    <col min="3066" max="3066" width="10.140625" customWidth="true" style="232"/>
    <col min="3067" max="3067" width="10.140625" customWidth="true" style="232"/>
    <col min="3068" max="3068" width="10.140625" customWidth="true" style="232"/>
    <col min="3069" max="3069" width="10.140625" customWidth="true" style="232"/>
    <col min="3070" max="3070" width="11" style="232"/>
    <col min="3071" max="3071" width="11" style="232"/>
    <col min="3072" max="3072" width="11" style="232"/>
    <col min="3073" max="3073" width="11" style="232"/>
    <col min="3074" max="3074" width="11" style="232"/>
    <col min="3075" max="3075" width="11" style="232"/>
    <col min="3076" max="3076" width="11" style="232"/>
    <col min="3077" max="3077" width="11" style="232"/>
    <col min="3078" max="3078" width="11" style="232"/>
    <col min="3079" max="3079" width="11" style="232"/>
    <col min="3080" max="3080" width="11" style="232"/>
    <col min="3081" max="3081" width="11" style="232"/>
    <col min="3082" max="3082" width="11" style="232"/>
    <col min="3083" max="3083" width="11" style="232"/>
    <col min="3084" max="3084" width="11" style="232"/>
    <col min="3085" max="3085" width="11" style="232"/>
    <col min="3086" max="3086" width="11" style="232"/>
    <col min="3087" max="3087" width="11" style="232"/>
    <col min="3088" max="3088" width="11" style="232"/>
    <col min="3089" max="3089" width="11" style="232"/>
    <col min="3090" max="3090" width="11" style="232"/>
    <col min="3091" max="3091" width="11" style="232"/>
    <col min="3092" max="3092" width="11" style="232"/>
    <col min="3093" max="3093" width="11" style="232"/>
    <col min="3094" max="3094" width="11" style="232"/>
    <col min="3095" max="3095" width="11" style="232"/>
    <col min="3096" max="3096" width="11" style="232"/>
    <col min="3097" max="3097" width="11" style="232"/>
    <col min="3098" max="3098" width="11" style="232"/>
    <col min="3099" max="3099" width="11" style="232"/>
    <col min="3100" max="3100" width="11" style="232"/>
    <col min="3101" max="3101" width="11" style="232"/>
    <col min="3102" max="3102" width="11" style="232"/>
    <col min="3103" max="3103" width="11" style="232"/>
    <col min="3104" max="3104" width="11" style="232"/>
    <col min="3105" max="3105" width="11" style="232"/>
    <col min="3106" max="3106" width="11" style="232"/>
    <col min="3107" max="3107" width="11" style="232"/>
    <col min="3108" max="3108" width="11" style="232"/>
    <col min="3109" max="3109" width="11" style="232"/>
    <col min="3110" max="3110" width="11" style="232"/>
    <col min="3111" max="3111" width="11" style="232"/>
    <col min="3112" max="3112" width="11" style="232"/>
    <col min="3113" max="3113" width="11" style="232"/>
    <col min="3114" max="3114" width="11" style="232"/>
    <col min="3115" max="3115" width="11" style="232"/>
    <col min="3116" max="3116" width="11" style="232"/>
    <col min="3117" max="3117" width="11" style="232"/>
    <col min="3118" max="3118" width="11" style="232"/>
    <col min="3119" max="3119" width="11" style="232"/>
    <col min="3120" max="3120" width="11" style="232"/>
    <col min="3121" max="3121" width="11" style="232"/>
    <col min="3122" max="3122" width="11" style="232"/>
    <col min="3123" max="3123" width="11" style="232"/>
    <col min="3124" max="3124" width="11" style="232"/>
    <col min="3125" max="3125" width="11" style="232"/>
    <col min="3126" max="3126" width="11" style="232"/>
    <col min="3127" max="3127" width="11" style="232"/>
    <col min="3128" max="3128" width="11" style="232"/>
    <col min="3129" max="3129" width="11" style="232"/>
    <col min="3130" max="3130" width="11" style="232"/>
    <col min="3131" max="3131" width="11" style="232"/>
    <col min="3132" max="3132" width="11" style="232"/>
    <col min="3133" max="3133" width="11" style="232"/>
    <col min="3134" max="3134" width="11" style="232"/>
    <col min="3135" max="3135" width="11" style="232"/>
    <col min="3136" max="3136" width="11" style="232"/>
    <col min="3137" max="3137" width="11" style="232"/>
    <col min="3138" max="3138" width="11" style="232"/>
    <col min="3139" max="3139" width="11" style="232"/>
    <col min="3140" max="3140" width="11" style="232"/>
    <col min="3141" max="3141" width="11" style="232"/>
    <col min="3142" max="3142" width="11" style="232"/>
    <col min="3143" max="3143" width="11" style="232"/>
    <col min="3144" max="3144" width="11" style="232"/>
    <col min="3145" max="3145" width="11" style="232"/>
    <col min="3146" max="3146" width="11" style="232"/>
    <col min="3147" max="3147" width="11" style="232"/>
    <col min="3148" max="3148" width="11" style="232"/>
    <col min="3149" max="3149" width="11" style="232"/>
    <col min="3150" max="3150" width="11" style="232"/>
    <col min="3151" max="3151" width="11" style="232"/>
    <col min="3152" max="3152" width="11" style="232"/>
    <col min="3153" max="3153" width="11" style="232"/>
    <col min="3154" max="3154" width="11" style="232"/>
    <col min="3155" max="3155" width="11" style="232"/>
    <col min="3156" max="3156" width="11" style="232"/>
    <col min="3157" max="3157" width="11" style="232"/>
    <col min="3158" max="3158" width="11" style="232"/>
    <col min="3159" max="3159" width="11" style="232"/>
    <col min="3160" max="3160" width="11" style="232"/>
    <col min="3161" max="3161" width="11" style="232"/>
    <col min="3162" max="3162" width="11" style="232"/>
    <col min="3163" max="3163" width="11" style="232"/>
    <col min="3164" max="3164" width="11" style="232"/>
    <col min="3165" max="3165" width="11" style="232"/>
    <col min="3166" max="3166" width="11" style="232"/>
    <col min="3167" max="3167" width="11" style="232"/>
    <col min="3168" max="3168" width="11" style="232"/>
    <col min="3169" max="3169" width="11" style="232"/>
    <col min="3170" max="3170" width="11" style="232"/>
    <col min="3171" max="3171" width="11" style="232"/>
    <col min="3172" max="3172" width="11" style="232"/>
    <col min="3173" max="3173" width="11" style="232"/>
    <col min="3174" max="3174" width="11" style="232"/>
    <col min="3175" max="3175" width="11" style="232"/>
    <col min="3176" max="3176" width="11" style="232"/>
    <col min="3177" max="3177" width="11" style="232"/>
    <col min="3178" max="3178" width="11" style="232"/>
    <col min="3179" max="3179" width="11" style="232"/>
    <col min="3180" max="3180" width="11" style="232"/>
    <col min="3181" max="3181" width="11" style="232"/>
    <col min="3182" max="3182" width="11" style="232"/>
    <col min="3183" max="3183" width="11" style="232"/>
    <col min="3184" max="3184" width="11" style="232"/>
    <col min="3185" max="3185" width="11" style="232"/>
    <col min="3186" max="3186" width="11" style="232"/>
    <col min="3187" max="3187" width="11" style="232"/>
    <col min="3188" max="3188" width="11" style="232"/>
    <col min="3189" max="3189" width="11" style="232"/>
    <col min="3190" max="3190" width="11" style="232"/>
    <col min="3191" max="3191" width="11" style="232"/>
    <col min="3192" max="3192" width="11" style="232"/>
    <col min="3193" max="3193" width="11" style="232"/>
    <col min="3194" max="3194" width="11" style="232"/>
    <col min="3195" max="3195" width="11" style="232"/>
    <col min="3196" max="3196" width="11" style="232"/>
    <col min="3197" max="3197" width="11" style="232"/>
    <col min="3198" max="3198" width="11" style="232"/>
    <col min="3199" max="3199" width="11" style="232"/>
    <col min="3200" max="3200" width="11" style="232"/>
    <col min="3201" max="3201" width="11" style="232"/>
    <col min="3202" max="3202" width="11" style="232"/>
    <col min="3203" max="3203" width="11" style="232"/>
    <col min="3204" max="3204" width="11" style="232"/>
    <col min="3205" max="3205" width="11" style="232"/>
    <col min="3206" max="3206" width="11" style="232"/>
    <col min="3207" max="3207" width="11" style="232"/>
    <col min="3208" max="3208" width="11" style="232"/>
    <col min="3209" max="3209" width="11" style="232"/>
    <col min="3210" max="3210" width="11" style="232"/>
    <col min="3211" max="3211" width="11" style="232"/>
    <col min="3212" max="3212" width="11" style="232"/>
    <col min="3213" max="3213" width="11" style="232"/>
    <col min="3214" max="3214" width="11" style="232"/>
    <col min="3215" max="3215" width="11" style="232"/>
    <col min="3216" max="3216" width="11" style="232"/>
    <col min="3217" max="3217" width="11" style="232"/>
    <col min="3218" max="3218" width="11" style="232"/>
    <col min="3219" max="3219" width="11" style="232"/>
    <col min="3220" max="3220" width="11" style="232"/>
    <col min="3221" max="3221" width="11" style="232"/>
    <col min="3222" max="3222" width="11" style="232"/>
    <col min="3223" max="3223" width="11" style="232"/>
    <col min="3224" max="3224" width="11" style="232"/>
    <col min="3225" max="3225" width="11" style="232"/>
    <col min="3226" max="3226" width="11" style="232"/>
    <col min="3227" max="3227" width="11" style="232"/>
    <col min="3228" max="3228" width="11" style="232"/>
    <col min="3229" max="3229" width="11" style="232"/>
    <col min="3230" max="3230" width="11" style="232"/>
    <col min="3231" max="3231" width="11" style="232"/>
    <col min="3232" max="3232" width="11" style="232"/>
    <col min="3233" max="3233" width="11" style="232"/>
    <col min="3234" max="3234" width="11" style="232"/>
    <col min="3235" max="3235" width="11" style="232"/>
    <col min="3236" max="3236" width="11" style="232"/>
    <col min="3237" max="3237" width="11" style="232"/>
    <col min="3238" max="3238" width="11" style="232"/>
    <col min="3239" max="3239" width="11" style="232"/>
    <col min="3240" max="3240" width="11" style="232"/>
    <col min="3241" max="3241" width="11" style="232"/>
    <col min="3242" max="3242" width="11" style="232"/>
    <col min="3243" max="3243" width="11" style="232"/>
    <col min="3244" max="3244" width="11" style="232"/>
    <col min="3245" max="3245" width="11" style="232"/>
    <col min="3246" max="3246" width="11" style="232"/>
    <col min="3247" max="3247" width="11" style="232"/>
    <col min="3248" max="3248" width="11" style="232"/>
    <col min="3249" max="3249" width="11" style="232"/>
    <col min="3250" max="3250" width="11" style="232"/>
    <col min="3251" max="3251" width="11" style="232"/>
    <col min="3252" max="3252" width="11" style="232"/>
    <col min="3253" max="3253" width="11" style="232"/>
    <col min="3254" max="3254" width="11" style="232"/>
    <col min="3255" max="3255" width="11" style="232"/>
    <col min="3256" max="3256" width="11" style="232"/>
    <col min="3257" max="3257" width="11" style="232"/>
    <col min="3258" max="3258" width="11" style="232"/>
    <col min="3259" max="3259" width="11" style="232"/>
    <col min="3260" max="3260" width="11" style="232"/>
    <col min="3261" max="3261" width="11" style="232"/>
    <col min="3262" max="3262" width="11" style="232"/>
    <col min="3263" max="3263" width="11" style="232"/>
    <col min="3264" max="3264" width="11" style="232"/>
    <col min="3265" max="3265" width="11" style="232"/>
    <col min="3266" max="3266" width="11" style="232"/>
    <col min="3267" max="3267" width="11" style="232"/>
    <col min="3268" max="3268" width="11" style="232"/>
    <col min="3269" max="3269" width="11" style="232"/>
    <col min="3270" max="3270" width="11" style="232"/>
    <col min="3271" max="3271" width="11" style="232"/>
    <col min="3272" max="3272" width="11" style="232"/>
    <col min="3273" max="3273" width="11" style="232"/>
    <col min="3274" max="3274" width="11" style="232"/>
    <col min="3275" max="3275" width="11" style="232"/>
    <col min="3276" max="3276" width="11" style="232"/>
    <col min="3277" max="3277" width="11" style="232"/>
    <col min="3278" max="3278" width="11" style="232"/>
    <col min="3279" max="3279" width="11" style="232"/>
    <col min="3280" max="3280" width="11" style="232"/>
    <col min="3281" max="3281" width="11" style="232"/>
    <col min="3282" max="3282" width="11" style="232"/>
    <col min="3283" max="3283" width="11" style="232"/>
    <col min="3284" max="3284" width="11" style="232"/>
    <col min="3285" max="3285" width="11" style="232"/>
    <col min="3286" max="3286" width="11" style="232"/>
    <col min="3287" max="3287" width="11" style="232"/>
    <col min="3288" max="3288" width="11" style="232"/>
    <col min="3289" max="3289" width="11" style="232"/>
    <col min="3290" max="3290" width="11" style="232"/>
    <col min="3291" max="3291" width="11" style="232"/>
    <col min="3292" max="3292" width="11" style="232"/>
    <col min="3293" max="3293" width="11" style="232"/>
    <col min="3294" max="3294" width="11" style="232"/>
    <col min="3295" max="3295" width="11" style="232"/>
    <col min="3296" max="3296" width="11" style="232"/>
    <col min="3297" max="3297" width="11" style="232"/>
    <col min="3298" max="3298" width="11" style="232"/>
    <col min="3299" max="3299" width="11" style="232"/>
    <col min="3300" max="3300" width="11" style="232"/>
    <col min="3301" max="3301" width="11" style="232"/>
    <col min="3302" max="3302" width="11" style="232"/>
    <col min="3303" max="3303" width="11" style="232"/>
    <col min="3304" max="3304" width="11" style="232"/>
    <col min="3305" max="3305" width="11" style="232"/>
    <col min="3306" max="3306" width="11" style="232"/>
    <col min="3307" max="3307" width="11" style="232"/>
    <col min="3308" max="3308" width="11" style="232"/>
    <col min="3309" max="3309" width="11" style="232"/>
    <col min="3310" max="3310" width="11" style="232"/>
    <col min="3311" max="3311" width="11" style="232"/>
    <col min="3312" max="3312" width="11" style="232"/>
    <col min="3313" max="3313" width="11" style="232"/>
    <col min="3314" max="3314" width="11" style="232"/>
    <col min="3315" max="3315" width="11" style="232"/>
    <col min="3316" max="3316" width="11" style="232"/>
    <col min="3317" max="3317" width="10.140625" customWidth="true" style="232"/>
    <col min="3318" max="3318" width="10.140625" customWidth="true" style="232"/>
    <col min="3319" max="3319" width="10.140625" customWidth="true" style="232"/>
    <col min="3320" max="3320" width="10.140625" customWidth="true" style="232"/>
    <col min="3321" max="3321" width="10.140625" customWidth="true" style="232"/>
    <col min="3322" max="3322" width="10.140625" customWidth="true" style="232"/>
    <col min="3323" max="3323" width="10.140625" customWidth="true" style="232"/>
    <col min="3324" max="3324" width="10.140625" customWidth="true" style="232"/>
    <col min="3325" max="3325" width="10.140625" customWidth="true" style="232"/>
    <col min="3326" max="3326" width="11" style="232"/>
    <col min="3327" max="3327" width="11" style="232"/>
    <col min="3328" max="3328" width="11" style="232"/>
    <col min="3329" max="3329" width="11" style="232"/>
    <col min="3330" max="3330" width="11" style="232"/>
    <col min="3331" max="3331" width="11" style="232"/>
    <col min="3332" max="3332" width="11" style="232"/>
    <col min="3333" max="3333" width="11" style="232"/>
    <col min="3334" max="3334" width="11" style="232"/>
    <col min="3335" max="3335" width="11" style="232"/>
    <col min="3336" max="3336" width="11" style="232"/>
    <col min="3337" max="3337" width="11" style="232"/>
    <col min="3338" max="3338" width="11" style="232"/>
    <col min="3339" max="3339" width="11" style="232"/>
    <col min="3340" max="3340" width="11" style="232"/>
    <col min="3341" max="3341" width="11" style="232"/>
    <col min="3342" max="3342" width="11" style="232"/>
    <col min="3343" max="3343" width="11" style="232"/>
    <col min="3344" max="3344" width="11" style="232"/>
    <col min="3345" max="3345" width="11" style="232"/>
    <col min="3346" max="3346" width="11" style="232"/>
    <col min="3347" max="3347" width="11" style="232"/>
    <col min="3348" max="3348" width="11" style="232"/>
    <col min="3349" max="3349" width="11" style="232"/>
    <col min="3350" max="3350" width="11" style="232"/>
    <col min="3351" max="3351" width="11" style="232"/>
    <col min="3352" max="3352" width="11" style="232"/>
    <col min="3353" max="3353" width="11" style="232"/>
    <col min="3354" max="3354" width="11" style="232"/>
    <col min="3355" max="3355" width="11" style="232"/>
    <col min="3356" max="3356" width="11" style="232"/>
    <col min="3357" max="3357" width="11" style="232"/>
    <col min="3358" max="3358" width="11" style="232"/>
    <col min="3359" max="3359" width="11" style="232"/>
    <col min="3360" max="3360" width="11" style="232"/>
    <col min="3361" max="3361" width="11" style="232"/>
    <col min="3362" max="3362" width="11" style="232"/>
    <col min="3363" max="3363" width="11" style="232"/>
    <col min="3364" max="3364" width="11" style="232"/>
    <col min="3365" max="3365" width="11" style="232"/>
    <col min="3366" max="3366" width="11" style="232"/>
    <col min="3367" max="3367" width="11" style="232"/>
    <col min="3368" max="3368" width="11" style="232"/>
    <col min="3369" max="3369" width="11" style="232"/>
    <col min="3370" max="3370" width="11" style="232"/>
    <col min="3371" max="3371" width="11" style="232"/>
    <col min="3372" max="3372" width="11" style="232"/>
    <col min="3373" max="3373" width="11" style="232"/>
    <col min="3374" max="3374" width="11" style="232"/>
    <col min="3375" max="3375" width="11" style="232"/>
    <col min="3376" max="3376" width="11" style="232"/>
    <col min="3377" max="3377" width="11" style="232"/>
    <col min="3378" max="3378" width="11" style="232"/>
    <col min="3379" max="3379" width="11" style="232"/>
    <col min="3380" max="3380" width="11" style="232"/>
    <col min="3381" max="3381" width="11" style="232"/>
    <col min="3382" max="3382" width="11" style="232"/>
    <col min="3383" max="3383" width="11" style="232"/>
    <col min="3384" max="3384" width="11" style="232"/>
    <col min="3385" max="3385" width="11" style="232"/>
    <col min="3386" max="3386" width="11" style="232"/>
    <col min="3387" max="3387" width="11" style="232"/>
    <col min="3388" max="3388" width="11" style="232"/>
    <col min="3389" max="3389" width="11" style="232"/>
    <col min="3390" max="3390" width="11" style="232"/>
    <col min="3391" max="3391" width="11" style="232"/>
    <col min="3392" max="3392" width="11" style="232"/>
    <col min="3393" max="3393" width="11" style="232"/>
    <col min="3394" max="3394" width="11" style="232"/>
    <col min="3395" max="3395" width="11" style="232"/>
    <col min="3396" max="3396" width="11" style="232"/>
    <col min="3397" max="3397" width="11" style="232"/>
    <col min="3398" max="3398" width="11" style="232"/>
    <col min="3399" max="3399" width="11" style="232"/>
    <col min="3400" max="3400" width="11" style="232"/>
    <col min="3401" max="3401" width="11" style="232"/>
    <col min="3402" max="3402" width="11" style="232"/>
    <col min="3403" max="3403" width="11" style="232"/>
    <col min="3404" max="3404" width="11" style="232"/>
    <col min="3405" max="3405" width="11" style="232"/>
    <col min="3406" max="3406" width="11" style="232"/>
    <col min="3407" max="3407" width="11" style="232"/>
    <col min="3408" max="3408" width="11" style="232"/>
    <col min="3409" max="3409" width="11" style="232"/>
    <col min="3410" max="3410" width="11" style="232"/>
    <col min="3411" max="3411" width="11" style="232"/>
    <col min="3412" max="3412" width="11" style="232"/>
    <col min="3413" max="3413" width="11" style="232"/>
    <col min="3414" max="3414" width="11" style="232"/>
    <col min="3415" max="3415" width="11" style="232"/>
    <col min="3416" max="3416" width="11" style="232"/>
    <col min="3417" max="3417" width="11" style="232"/>
    <col min="3418" max="3418" width="11" style="232"/>
    <col min="3419" max="3419" width="11" style="232"/>
    <col min="3420" max="3420" width="11" style="232"/>
    <col min="3421" max="3421" width="11" style="232"/>
    <col min="3422" max="3422" width="11" style="232"/>
    <col min="3423" max="3423" width="11" style="232"/>
    <col min="3424" max="3424" width="11" style="232"/>
    <col min="3425" max="3425" width="11" style="232"/>
    <col min="3426" max="3426" width="11" style="232"/>
    <col min="3427" max="3427" width="11" style="232"/>
    <col min="3428" max="3428" width="11" style="232"/>
    <col min="3429" max="3429" width="11" style="232"/>
    <col min="3430" max="3430" width="11" style="232"/>
    <col min="3431" max="3431" width="11" style="232"/>
    <col min="3432" max="3432" width="11" style="232"/>
    <col min="3433" max="3433" width="11" style="232"/>
    <col min="3434" max="3434" width="11" style="232"/>
    <col min="3435" max="3435" width="11" style="232"/>
    <col min="3436" max="3436" width="11" style="232"/>
    <col min="3437" max="3437" width="11" style="232"/>
    <col min="3438" max="3438" width="11" style="232"/>
    <col min="3439" max="3439" width="11" style="232"/>
    <col min="3440" max="3440" width="11" style="232"/>
    <col min="3441" max="3441" width="11" style="232"/>
    <col min="3442" max="3442" width="11" style="232"/>
    <col min="3443" max="3443" width="11" style="232"/>
    <col min="3444" max="3444" width="11" style="232"/>
    <col min="3445" max="3445" width="11" style="232"/>
    <col min="3446" max="3446" width="11" style="232"/>
    <col min="3447" max="3447" width="11" style="232"/>
    <col min="3448" max="3448" width="11" style="232"/>
    <col min="3449" max="3449" width="11" style="232"/>
    <col min="3450" max="3450" width="11" style="232"/>
    <col min="3451" max="3451" width="11" style="232"/>
    <col min="3452" max="3452" width="11" style="232"/>
    <col min="3453" max="3453" width="11" style="232"/>
    <col min="3454" max="3454" width="11" style="232"/>
    <col min="3455" max="3455" width="11" style="232"/>
    <col min="3456" max="3456" width="11" style="232"/>
    <col min="3457" max="3457" width="11" style="232"/>
    <col min="3458" max="3458" width="11" style="232"/>
    <col min="3459" max="3459" width="11" style="232"/>
    <col min="3460" max="3460" width="11" style="232"/>
    <col min="3461" max="3461" width="11" style="232"/>
    <col min="3462" max="3462" width="11" style="232"/>
    <col min="3463" max="3463" width="11" style="232"/>
    <col min="3464" max="3464" width="11" style="232"/>
    <col min="3465" max="3465" width="11" style="232"/>
    <col min="3466" max="3466" width="11" style="232"/>
    <col min="3467" max="3467" width="11" style="232"/>
    <col min="3468" max="3468" width="11" style="232"/>
    <col min="3469" max="3469" width="11" style="232"/>
    <col min="3470" max="3470" width="11" style="232"/>
    <col min="3471" max="3471" width="11" style="232"/>
    <col min="3472" max="3472" width="11" style="232"/>
    <col min="3473" max="3473" width="11" style="232"/>
    <col min="3474" max="3474" width="11" style="232"/>
    <col min="3475" max="3475" width="11" style="232"/>
    <col min="3476" max="3476" width="11" style="232"/>
    <col min="3477" max="3477" width="11" style="232"/>
    <col min="3478" max="3478" width="11" style="232"/>
    <col min="3479" max="3479" width="11" style="232"/>
    <col min="3480" max="3480" width="11" style="232"/>
    <col min="3481" max="3481" width="11" style="232"/>
    <col min="3482" max="3482" width="11" style="232"/>
    <col min="3483" max="3483" width="11" style="232"/>
    <col min="3484" max="3484" width="11" style="232"/>
    <col min="3485" max="3485" width="11" style="232"/>
    <col min="3486" max="3486" width="11" style="232"/>
    <col min="3487" max="3487" width="11" style="232"/>
    <col min="3488" max="3488" width="11" style="232"/>
    <col min="3489" max="3489" width="11" style="232"/>
    <col min="3490" max="3490" width="11" style="232"/>
    <col min="3491" max="3491" width="11" style="232"/>
    <col min="3492" max="3492" width="11" style="232"/>
    <col min="3493" max="3493" width="11" style="232"/>
    <col min="3494" max="3494" width="11" style="232"/>
    <col min="3495" max="3495" width="11" style="232"/>
    <col min="3496" max="3496" width="11" style="232"/>
    <col min="3497" max="3497" width="11" style="232"/>
    <col min="3498" max="3498" width="11" style="232"/>
    <col min="3499" max="3499" width="11" style="232"/>
    <col min="3500" max="3500" width="11" style="232"/>
    <col min="3501" max="3501" width="11" style="232"/>
    <col min="3502" max="3502" width="11" style="232"/>
    <col min="3503" max="3503" width="11" style="232"/>
    <col min="3504" max="3504" width="11" style="232"/>
    <col min="3505" max="3505" width="11" style="232"/>
    <col min="3506" max="3506" width="11" style="232"/>
    <col min="3507" max="3507" width="11" style="232"/>
    <col min="3508" max="3508" width="11" style="232"/>
    <col min="3509" max="3509" width="11" style="232"/>
    <col min="3510" max="3510" width="11" style="232"/>
    <col min="3511" max="3511" width="11" style="232"/>
    <col min="3512" max="3512" width="11" style="232"/>
    <col min="3513" max="3513" width="11" style="232"/>
    <col min="3514" max="3514" width="11" style="232"/>
    <col min="3515" max="3515" width="11" style="232"/>
    <col min="3516" max="3516" width="11" style="232"/>
    <col min="3517" max="3517" width="11" style="232"/>
    <col min="3518" max="3518" width="11" style="232"/>
    <col min="3519" max="3519" width="11" style="232"/>
    <col min="3520" max="3520" width="11" style="232"/>
    <col min="3521" max="3521" width="11" style="232"/>
    <col min="3522" max="3522" width="11" style="232"/>
    <col min="3523" max="3523" width="11" style="232"/>
    <col min="3524" max="3524" width="11" style="232"/>
    <col min="3525" max="3525" width="11" style="232"/>
    <col min="3526" max="3526" width="11" style="232"/>
    <col min="3527" max="3527" width="11" style="232"/>
    <col min="3528" max="3528" width="11" style="232"/>
    <col min="3529" max="3529" width="11" style="232"/>
    <col min="3530" max="3530" width="11" style="232"/>
    <col min="3531" max="3531" width="11" style="232"/>
    <col min="3532" max="3532" width="11" style="232"/>
    <col min="3533" max="3533" width="11" style="232"/>
    <col min="3534" max="3534" width="11" style="232"/>
    <col min="3535" max="3535" width="11" style="232"/>
    <col min="3536" max="3536" width="11" style="232"/>
    <col min="3537" max="3537" width="11" style="232"/>
    <col min="3538" max="3538" width="11" style="232"/>
    <col min="3539" max="3539" width="11" style="232"/>
    <col min="3540" max="3540" width="11" style="232"/>
    <col min="3541" max="3541" width="11" style="232"/>
    <col min="3542" max="3542" width="11" style="232"/>
    <col min="3543" max="3543" width="11" style="232"/>
    <col min="3544" max="3544" width="11" style="232"/>
    <col min="3545" max="3545" width="11" style="232"/>
    <col min="3546" max="3546" width="11" style="232"/>
    <col min="3547" max="3547" width="11" style="232"/>
    <col min="3548" max="3548" width="11" style="232"/>
    <col min="3549" max="3549" width="11" style="232"/>
    <col min="3550" max="3550" width="11" style="232"/>
    <col min="3551" max="3551" width="11" style="232"/>
    <col min="3552" max="3552" width="11" style="232"/>
    <col min="3553" max="3553" width="11" style="232"/>
    <col min="3554" max="3554" width="11" style="232"/>
    <col min="3555" max="3555" width="11" style="232"/>
    <col min="3556" max="3556" width="11" style="232"/>
    <col min="3557" max="3557" width="11" style="232"/>
    <col min="3558" max="3558" width="11" style="232"/>
    <col min="3559" max="3559" width="11" style="232"/>
    <col min="3560" max="3560" width="11" style="232"/>
    <col min="3561" max="3561" width="11" style="232"/>
    <col min="3562" max="3562" width="11" style="232"/>
    <col min="3563" max="3563" width="11" style="232"/>
    <col min="3564" max="3564" width="11" style="232"/>
    <col min="3565" max="3565" width="11" style="232"/>
    <col min="3566" max="3566" width="11" style="232"/>
    <col min="3567" max="3567" width="11" style="232"/>
    <col min="3568" max="3568" width="11" style="232"/>
    <col min="3569" max="3569" width="11" style="232"/>
    <col min="3570" max="3570" width="11" style="232"/>
    <col min="3571" max="3571" width="11" style="232"/>
    <col min="3572" max="3572" width="11" style="232"/>
    <col min="3573" max="3573" width="10.140625" customWidth="true" style="232"/>
    <col min="3574" max="3574" width="10.140625" customWidth="true" style="232"/>
    <col min="3575" max="3575" width="10.140625" customWidth="true" style="232"/>
    <col min="3576" max="3576" width="10.140625" customWidth="true" style="232"/>
    <col min="3577" max="3577" width="10.140625" customWidth="true" style="232"/>
    <col min="3578" max="3578" width="10.140625" customWidth="true" style="232"/>
    <col min="3579" max="3579" width="10.140625" customWidth="true" style="232"/>
    <col min="3580" max="3580" width="10.140625" customWidth="true" style="232"/>
    <col min="3581" max="3581" width="10.140625" customWidth="true" style="232"/>
    <col min="3582" max="3582" width="11" style="232"/>
    <col min="3583" max="3583" width="11" style="232"/>
    <col min="3584" max="3584" width="11" style="232"/>
    <col min="3585" max="3585" width="11" style="232"/>
    <col min="3586" max="3586" width="11" style="232"/>
    <col min="3587" max="3587" width="11" style="232"/>
    <col min="3588" max="3588" width="11" style="232"/>
    <col min="3589" max="3589" width="11" style="232"/>
    <col min="3590" max="3590" width="11" style="232"/>
    <col min="3591" max="3591" width="11" style="232"/>
    <col min="3592" max="3592" width="11" style="232"/>
    <col min="3593" max="3593" width="11" style="232"/>
    <col min="3594" max="3594" width="11" style="232"/>
    <col min="3595" max="3595" width="11" style="232"/>
    <col min="3596" max="3596" width="11" style="232"/>
    <col min="3597" max="3597" width="11" style="232"/>
    <col min="3598" max="3598" width="11" style="232"/>
    <col min="3599" max="3599" width="11" style="232"/>
    <col min="3600" max="3600" width="11" style="232"/>
    <col min="3601" max="3601" width="11" style="232"/>
    <col min="3602" max="3602" width="11" style="232"/>
    <col min="3603" max="3603" width="11" style="232"/>
    <col min="3604" max="3604" width="11" style="232"/>
    <col min="3605" max="3605" width="11" style="232"/>
    <col min="3606" max="3606" width="11" style="232"/>
    <col min="3607" max="3607" width="11" style="232"/>
    <col min="3608" max="3608" width="11" style="232"/>
    <col min="3609" max="3609" width="11" style="232"/>
    <col min="3610" max="3610" width="11" style="232"/>
    <col min="3611" max="3611" width="11" style="232"/>
    <col min="3612" max="3612" width="11" style="232"/>
    <col min="3613" max="3613" width="11" style="232"/>
    <col min="3614" max="3614" width="11" style="232"/>
    <col min="3615" max="3615" width="11" style="232"/>
    <col min="3616" max="3616" width="11" style="232"/>
    <col min="3617" max="3617" width="11" style="232"/>
    <col min="3618" max="3618" width="11" style="232"/>
    <col min="3619" max="3619" width="11" style="232"/>
    <col min="3620" max="3620" width="11" style="232"/>
    <col min="3621" max="3621" width="11" style="232"/>
    <col min="3622" max="3622" width="11" style="232"/>
    <col min="3623" max="3623" width="11" style="232"/>
    <col min="3624" max="3624" width="11" style="232"/>
    <col min="3625" max="3625" width="11" style="232"/>
    <col min="3626" max="3626" width="11" style="232"/>
    <col min="3627" max="3627" width="11" style="232"/>
    <col min="3628" max="3628" width="11" style="232"/>
    <col min="3629" max="3629" width="11" style="232"/>
    <col min="3630" max="3630" width="11" style="232"/>
    <col min="3631" max="3631" width="11" style="232"/>
    <col min="3632" max="3632" width="11" style="232"/>
    <col min="3633" max="3633" width="11" style="232"/>
    <col min="3634" max="3634" width="11" style="232"/>
    <col min="3635" max="3635" width="11" style="232"/>
    <col min="3636" max="3636" width="11" style="232"/>
    <col min="3637" max="3637" width="11" style="232"/>
    <col min="3638" max="3638" width="11" style="232"/>
    <col min="3639" max="3639" width="11" style="232"/>
    <col min="3640" max="3640" width="11" style="232"/>
    <col min="3641" max="3641" width="11" style="232"/>
    <col min="3642" max="3642" width="11" style="232"/>
    <col min="3643" max="3643" width="11" style="232"/>
    <col min="3644" max="3644" width="11" style="232"/>
    <col min="3645" max="3645" width="11" style="232"/>
    <col min="3646" max="3646" width="11" style="232"/>
    <col min="3647" max="3647" width="11" style="232"/>
    <col min="3648" max="3648" width="11" style="232"/>
    <col min="3649" max="3649" width="11" style="232"/>
    <col min="3650" max="3650" width="11" style="232"/>
    <col min="3651" max="3651" width="11" style="232"/>
    <col min="3652" max="3652" width="11" style="232"/>
    <col min="3653" max="3653" width="11" style="232"/>
    <col min="3654" max="3654" width="11" style="232"/>
    <col min="3655" max="3655" width="11" style="232"/>
    <col min="3656" max="3656" width="11" style="232"/>
    <col min="3657" max="3657" width="11" style="232"/>
    <col min="3658" max="3658" width="11" style="232"/>
    <col min="3659" max="3659" width="11" style="232"/>
    <col min="3660" max="3660" width="11" style="232"/>
    <col min="3661" max="3661" width="11" style="232"/>
    <col min="3662" max="3662" width="11" style="232"/>
    <col min="3663" max="3663" width="11" style="232"/>
    <col min="3664" max="3664" width="11" style="232"/>
    <col min="3665" max="3665" width="11" style="232"/>
    <col min="3666" max="3666" width="11" style="232"/>
    <col min="3667" max="3667" width="11" style="232"/>
    <col min="3668" max="3668" width="11" style="232"/>
    <col min="3669" max="3669" width="11" style="232"/>
    <col min="3670" max="3670" width="11" style="232"/>
    <col min="3671" max="3671" width="11" style="232"/>
    <col min="3672" max="3672" width="11" style="232"/>
    <col min="3673" max="3673" width="11" style="232"/>
    <col min="3674" max="3674" width="11" style="232"/>
    <col min="3675" max="3675" width="11" style="232"/>
    <col min="3676" max="3676" width="11" style="232"/>
    <col min="3677" max="3677" width="11" style="232"/>
    <col min="3678" max="3678" width="11" style="232"/>
    <col min="3679" max="3679" width="11" style="232"/>
    <col min="3680" max="3680" width="11" style="232"/>
    <col min="3681" max="3681" width="11" style="232"/>
    <col min="3682" max="3682" width="11" style="232"/>
    <col min="3683" max="3683" width="11" style="232"/>
    <col min="3684" max="3684" width="11" style="232"/>
    <col min="3685" max="3685" width="11" style="232"/>
    <col min="3686" max="3686" width="11" style="232"/>
    <col min="3687" max="3687" width="11" style="232"/>
    <col min="3688" max="3688" width="11" style="232"/>
    <col min="3689" max="3689" width="11" style="232"/>
    <col min="3690" max="3690" width="11" style="232"/>
    <col min="3691" max="3691" width="11" style="232"/>
    <col min="3692" max="3692" width="11" style="232"/>
    <col min="3693" max="3693" width="11" style="232"/>
    <col min="3694" max="3694" width="11" style="232"/>
    <col min="3695" max="3695" width="11" style="232"/>
    <col min="3696" max="3696" width="11" style="232"/>
    <col min="3697" max="3697" width="11" style="232"/>
    <col min="3698" max="3698" width="11" style="232"/>
    <col min="3699" max="3699" width="11" style="232"/>
    <col min="3700" max="3700" width="11" style="232"/>
    <col min="3701" max="3701" width="11" style="232"/>
    <col min="3702" max="3702" width="11" style="232"/>
    <col min="3703" max="3703" width="11" style="232"/>
    <col min="3704" max="3704" width="11" style="232"/>
    <col min="3705" max="3705" width="11" style="232"/>
    <col min="3706" max="3706" width="11" style="232"/>
    <col min="3707" max="3707" width="11" style="232"/>
    <col min="3708" max="3708" width="11" style="232"/>
    <col min="3709" max="3709" width="11" style="232"/>
    <col min="3710" max="3710" width="11" style="232"/>
    <col min="3711" max="3711" width="11" style="232"/>
    <col min="3712" max="3712" width="11" style="232"/>
    <col min="3713" max="3713" width="11" style="232"/>
    <col min="3714" max="3714" width="11" style="232"/>
    <col min="3715" max="3715" width="11" style="232"/>
    <col min="3716" max="3716" width="11" style="232"/>
    <col min="3717" max="3717" width="11" style="232"/>
    <col min="3718" max="3718" width="11" style="232"/>
    <col min="3719" max="3719" width="11" style="232"/>
    <col min="3720" max="3720" width="11" style="232"/>
    <col min="3721" max="3721" width="11" style="232"/>
    <col min="3722" max="3722" width="11" style="232"/>
    <col min="3723" max="3723" width="11" style="232"/>
    <col min="3724" max="3724" width="11" style="232"/>
    <col min="3725" max="3725" width="11" style="232"/>
    <col min="3726" max="3726" width="11" style="232"/>
    <col min="3727" max="3727" width="11" style="232"/>
    <col min="3728" max="3728" width="11" style="232"/>
    <col min="3729" max="3729" width="11" style="232"/>
    <col min="3730" max="3730" width="11" style="232"/>
    <col min="3731" max="3731" width="11" style="232"/>
    <col min="3732" max="3732" width="11" style="232"/>
    <col min="3733" max="3733" width="11" style="232"/>
    <col min="3734" max="3734" width="11" style="232"/>
    <col min="3735" max="3735" width="11" style="232"/>
    <col min="3736" max="3736" width="11" style="232"/>
    <col min="3737" max="3737" width="11" style="232"/>
    <col min="3738" max="3738" width="11" style="232"/>
    <col min="3739" max="3739" width="11" style="232"/>
    <col min="3740" max="3740" width="11" style="232"/>
    <col min="3741" max="3741" width="11" style="232"/>
    <col min="3742" max="3742" width="11" style="232"/>
    <col min="3743" max="3743" width="11" style="232"/>
    <col min="3744" max="3744" width="11" style="232"/>
    <col min="3745" max="3745" width="11" style="232"/>
    <col min="3746" max="3746" width="11" style="232"/>
    <col min="3747" max="3747" width="11" style="232"/>
    <col min="3748" max="3748" width="11" style="232"/>
    <col min="3749" max="3749" width="11" style="232"/>
    <col min="3750" max="3750" width="11" style="232"/>
    <col min="3751" max="3751" width="11" style="232"/>
    <col min="3752" max="3752" width="11" style="232"/>
    <col min="3753" max="3753" width="11" style="232"/>
    <col min="3754" max="3754" width="11" style="232"/>
    <col min="3755" max="3755" width="11" style="232"/>
    <col min="3756" max="3756" width="11" style="232"/>
    <col min="3757" max="3757" width="11" style="232"/>
    <col min="3758" max="3758" width="11" style="232"/>
    <col min="3759" max="3759" width="11" style="232"/>
    <col min="3760" max="3760" width="11" style="232"/>
    <col min="3761" max="3761" width="11" style="232"/>
    <col min="3762" max="3762" width="11" style="232"/>
    <col min="3763" max="3763" width="11" style="232"/>
    <col min="3764" max="3764" width="11" style="232"/>
    <col min="3765" max="3765" width="11" style="232"/>
    <col min="3766" max="3766" width="11" style="232"/>
    <col min="3767" max="3767" width="11" style="232"/>
    <col min="3768" max="3768" width="11" style="232"/>
    <col min="3769" max="3769" width="11" style="232"/>
    <col min="3770" max="3770" width="11" style="232"/>
    <col min="3771" max="3771" width="11" style="232"/>
    <col min="3772" max="3772" width="11" style="232"/>
    <col min="3773" max="3773" width="11" style="232"/>
    <col min="3774" max="3774" width="11" style="232"/>
    <col min="3775" max="3775" width="11" style="232"/>
    <col min="3776" max="3776" width="11" style="232"/>
    <col min="3777" max="3777" width="11" style="232"/>
    <col min="3778" max="3778" width="11" style="232"/>
    <col min="3779" max="3779" width="11" style="232"/>
    <col min="3780" max="3780" width="11" style="232"/>
    <col min="3781" max="3781" width="11" style="232"/>
    <col min="3782" max="3782" width="11" style="232"/>
    <col min="3783" max="3783" width="11" style="232"/>
    <col min="3784" max="3784" width="11" style="232"/>
    <col min="3785" max="3785" width="11" style="232"/>
    <col min="3786" max="3786" width="11" style="232"/>
    <col min="3787" max="3787" width="11" style="232"/>
    <col min="3788" max="3788" width="11" style="232"/>
    <col min="3789" max="3789" width="11" style="232"/>
    <col min="3790" max="3790" width="11" style="232"/>
    <col min="3791" max="3791" width="11" style="232"/>
    <col min="3792" max="3792" width="11" style="232"/>
    <col min="3793" max="3793" width="11" style="232"/>
    <col min="3794" max="3794" width="11" style="232"/>
    <col min="3795" max="3795" width="11" style="232"/>
    <col min="3796" max="3796" width="11" style="232"/>
    <col min="3797" max="3797" width="11" style="232"/>
    <col min="3798" max="3798" width="11" style="232"/>
    <col min="3799" max="3799" width="11" style="232"/>
    <col min="3800" max="3800" width="11" style="232"/>
    <col min="3801" max="3801" width="11" style="232"/>
    <col min="3802" max="3802" width="11" style="232"/>
    <col min="3803" max="3803" width="11" style="232"/>
    <col min="3804" max="3804" width="11" style="232"/>
    <col min="3805" max="3805" width="11" style="232"/>
    <col min="3806" max="3806" width="11" style="232"/>
    <col min="3807" max="3807" width="11" style="232"/>
    <col min="3808" max="3808" width="11" style="232"/>
    <col min="3809" max="3809" width="11" style="232"/>
    <col min="3810" max="3810" width="11" style="232"/>
    <col min="3811" max="3811" width="11" style="232"/>
    <col min="3812" max="3812" width="11" style="232"/>
    <col min="3813" max="3813" width="11" style="232"/>
    <col min="3814" max="3814" width="11" style="232"/>
    <col min="3815" max="3815" width="11" style="232"/>
    <col min="3816" max="3816" width="11" style="232"/>
    <col min="3817" max="3817" width="11" style="232"/>
    <col min="3818" max="3818" width="11" style="232"/>
    <col min="3819" max="3819" width="11" style="232"/>
    <col min="3820" max="3820" width="11" style="232"/>
    <col min="3821" max="3821" width="11" style="232"/>
    <col min="3822" max="3822" width="11" style="232"/>
    <col min="3823" max="3823" width="11" style="232"/>
    <col min="3824" max="3824" width="11" style="232"/>
    <col min="3825" max="3825" width="11" style="232"/>
    <col min="3826" max="3826" width="11" style="232"/>
    <col min="3827" max="3827" width="11" style="232"/>
    <col min="3828" max="3828" width="11" style="232"/>
    <col min="3829" max="3829" width="10.140625" customWidth="true" style="232"/>
    <col min="3830" max="3830" width="10.140625" customWidth="true" style="232"/>
    <col min="3831" max="3831" width="10.140625" customWidth="true" style="232"/>
    <col min="3832" max="3832" width="10.140625" customWidth="true" style="232"/>
    <col min="3833" max="3833" width="10.140625" customWidth="true" style="232"/>
    <col min="3834" max="3834" width="10.140625" customWidth="true" style="232"/>
    <col min="3835" max="3835" width="10.140625" customWidth="true" style="232"/>
    <col min="3836" max="3836" width="10.140625" customWidth="true" style="232"/>
    <col min="3837" max="3837" width="10.140625" customWidth="true" style="232"/>
    <col min="3838" max="3838" width="11" style="232"/>
    <col min="3839" max="3839" width="11" style="232"/>
    <col min="3840" max="3840" width="11" style="232"/>
    <col min="3841" max="3841" width="11" style="232"/>
    <col min="3842" max="3842" width="11" style="232"/>
    <col min="3843" max="3843" width="11" style="232"/>
    <col min="3844" max="3844" width="11" style="232"/>
    <col min="3845" max="3845" width="11" style="232"/>
    <col min="3846" max="3846" width="11" style="232"/>
    <col min="3847" max="3847" width="11" style="232"/>
    <col min="3848" max="3848" width="11" style="232"/>
    <col min="3849" max="3849" width="11" style="232"/>
    <col min="3850" max="3850" width="11" style="232"/>
    <col min="3851" max="3851" width="11" style="232"/>
    <col min="3852" max="3852" width="11" style="232"/>
    <col min="3853" max="3853" width="11" style="232"/>
    <col min="3854" max="3854" width="11" style="232"/>
    <col min="3855" max="3855" width="11" style="232"/>
    <col min="3856" max="3856" width="11" style="232"/>
    <col min="3857" max="3857" width="11" style="232"/>
    <col min="3858" max="3858" width="11" style="232"/>
    <col min="3859" max="3859" width="11" style="232"/>
    <col min="3860" max="3860" width="11" style="232"/>
    <col min="3861" max="3861" width="11" style="232"/>
    <col min="3862" max="3862" width="11" style="232"/>
    <col min="3863" max="3863" width="11" style="232"/>
    <col min="3864" max="3864" width="11" style="232"/>
    <col min="3865" max="3865" width="11" style="232"/>
    <col min="3866" max="3866" width="11" style="232"/>
    <col min="3867" max="3867" width="11" style="232"/>
    <col min="3868" max="3868" width="11" style="232"/>
    <col min="3869" max="3869" width="11" style="232"/>
    <col min="3870" max="3870" width="11" style="232"/>
    <col min="3871" max="3871" width="11" style="232"/>
    <col min="3872" max="3872" width="11" style="232"/>
    <col min="3873" max="3873" width="11" style="232"/>
    <col min="3874" max="3874" width="11" style="232"/>
    <col min="3875" max="3875" width="11" style="232"/>
    <col min="3876" max="3876" width="11" style="232"/>
    <col min="3877" max="3877" width="11" style="232"/>
    <col min="3878" max="3878" width="11" style="232"/>
    <col min="3879" max="3879" width="11" style="232"/>
    <col min="3880" max="3880" width="11" style="232"/>
    <col min="3881" max="3881" width="11" style="232"/>
    <col min="3882" max="3882" width="11" style="232"/>
    <col min="3883" max="3883" width="11" style="232"/>
    <col min="3884" max="3884" width="11" style="232"/>
    <col min="3885" max="3885" width="11" style="232"/>
    <col min="3886" max="3886" width="11" style="232"/>
    <col min="3887" max="3887" width="11" style="232"/>
    <col min="3888" max="3888" width="11" style="232"/>
    <col min="3889" max="3889" width="11" style="232"/>
    <col min="3890" max="3890" width="11" style="232"/>
    <col min="3891" max="3891" width="11" style="232"/>
    <col min="3892" max="3892" width="11" style="232"/>
    <col min="3893" max="3893" width="11" style="232"/>
    <col min="3894" max="3894" width="11" style="232"/>
    <col min="3895" max="3895" width="11" style="232"/>
    <col min="3896" max="3896" width="11" style="232"/>
    <col min="3897" max="3897" width="11" style="232"/>
    <col min="3898" max="3898" width="11" style="232"/>
    <col min="3899" max="3899" width="11" style="232"/>
    <col min="3900" max="3900" width="11" style="232"/>
    <col min="3901" max="3901" width="11" style="232"/>
    <col min="3902" max="3902" width="11" style="232"/>
    <col min="3903" max="3903" width="11" style="232"/>
    <col min="3904" max="3904" width="11" style="232"/>
    <col min="3905" max="3905" width="11" style="232"/>
    <col min="3906" max="3906" width="11" style="232"/>
    <col min="3907" max="3907" width="11" style="232"/>
    <col min="3908" max="3908" width="11" style="232"/>
    <col min="3909" max="3909" width="11" style="232"/>
    <col min="3910" max="3910" width="11" style="232"/>
    <col min="3911" max="3911" width="11" style="232"/>
    <col min="3912" max="3912" width="11" style="232"/>
    <col min="3913" max="3913" width="11" style="232"/>
    <col min="3914" max="3914" width="11" style="232"/>
    <col min="3915" max="3915" width="11" style="232"/>
    <col min="3916" max="3916" width="11" style="232"/>
    <col min="3917" max="3917" width="11" style="232"/>
    <col min="3918" max="3918" width="11" style="232"/>
    <col min="3919" max="3919" width="11" style="232"/>
    <col min="3920" max="3920" width="11" style="232"/>
    <col min="3921" max="3921" width="11" style="232"/>
    <col min="3922" max="3922" width="11" style="232"/>
    <col min="3923" max="3923" width="11" style="232"/>
    <col min="3924" max="3924" width="11" style="232"/>
    <col min="3925" max="3925" width="11" style="232"/>
    <col min="3926" max="3926" width="11" style="232"/>
    <col min="3927" max="3927" width="11" style="232"/>
    <col min="3928" max="3928" width="11" style="232"/>
    <col min="3929" max="3929" width="11" style="232"/>
    <col min="3930" max="3930" width="11" style="232"/>
    <col min="3931" max="3931" width="11" style="232"/>
    <col min="3932" max="3932" width="11" style="232"/>
    <col min="3933" max="3933" width="11" style="232"/>
    <col min="3934" max="3934" width="11" style="232"/>
    <col min="3935" max="3935" width="11" style="232"/>
    <col min="3936" max="3936" width="11" style="232"/>
    <col min="3937" max="3937" width="11" style="232"/>
    <col min="3938" max="3938" width="11" style="232"/>
    <col min="3939" max="3939" width="11" style="232"/>
    <col min="3940" max="3940" width="11" style="232"/>
    <col min="3941" max="3941" width="11" style="232"/>
    <col min="3942" max="3942" width="11" style="232"/>
    <col min="3943" max="3943" width="11" style="232"/>
    <col min="3944" max="3944" width="11" style="232"/>
    <col min="3945" max="3945" width="11" style="232"/>
    <col min="3946" max="3946" width="11" style="232"/>
    <col min="3947" max="3947" width="11" style="232"/>
    <col min="3948" max="3948" width="11" style="232"/>
    <col min="3949" max="3949" width="11" style="232"/>
    <col min="3950" max="3950" width="11" style="232"/>
    <col min="3951" max="3951" width="11" style="232"/>
    <col min="3952" max="3952" width="11" style="232"/>
    <col min="3953" max="3953" width="11" style="232"/>
    <col min="3954" max="3954" width="11" style="232"/>
    <col min="3955" max="3955" width="11" style="232"/>
    <col min="3956" max="3956" width="11" style="232"/>
    <col min="3957" max="3957" width="11" style="232"/>
    <col min="3958" max="3958" width="11" style="232"/>
    <col min="3959" max="3959" width="11" style="232"/>
    <col min="3960" max="3960" width="11" style="232"/>
    <col min="3961" max="3961" width="11" style="232"/>
    <col min="3962" max="3962" width="11" style="232"/>
    <col min="3963" max="3963" width="11" style="232"/>
    <col min="3964" max="3964" width="11" style="232"/>
    <col min="3965" max="3965" width="11" style="232"/>
    <col min="3966" max="3966" width="11" style="232"/>
    <col min="3967" max="3967" width="11" style="232"/>
    <col min="3968" max="3968" width="11" style="232"/>
    <col min="3969" max="3969" width="11" style="232"/>
    <col min="3970" max="3970" width="11" style="232"/>
    <col min="3971" max="3971" width="11" style="232"/>
    <col min="3972" max="3972" width="11" style="232"/>
    <col min="3973" max="3973" width="11" style="232"/>
    <col min="3974" max="3974" width="11" style="232"/>
    <col min="3975" max="3975" width="11" style="232"/>
    <col min="3976" max="3976" width="11" style="232"/>
    <col min="3977" max="3977" width="11" style="232"/>
    <col min="3978" max="3978" width="11" style="232"/>
    <col min="3979" max="3979" width="11" style="232"/>
    <col min="3980" max="3980" width="11" style="232"/>
    <col min="3981" max="3981" width="11" style="232"/>
    <col min="3982" max="3982" width="11" style="232"/>
    <col min="3983" max="3983" width="11" style="232"/>
    <col min="3984" max="3984" width="11" style="232"/>
    <col min="3985" max="3985" width="11" style="232"/>
    <col min="3986" max="3986" width="11" style="232"/>
    <col min="3987" max="3987" width="11" style="232"/>
    <col min="3988" max="3988" width="11" style="232"/>
    <col min="3989" max="3989" width="11" style="232"/>
    <col min="3990" max="3990" width="11" style="232"/>
    <col min="3991" max="3991" width="11" style="232"/>
    <col min="3992" max="3992" width="11" style="232"/>
    <col min="3993" max="3993" width="11" style="232"/>
    <col min="3994" max="3994" width="11" style="232"/>
    <col min="3995" max="3995" width="11" style="232"/>
    <col min="3996" max="3996" width="11" style="232"/>
    <col min="3997" max="3997" width="11" style="232"/>
    <col min="3998" max="3998" width="11" style="232"/>
    <col min="3999" max="3999" width="11" style="232"/>
    <col min="4000" max="4000" width="11" style="232"/>
    <col min="4001" max="4001" width="11" style="232"/>
    <col min="4002" max="4002" width="11" style="232"/>
    <col min="4003" max="4003" width="11" style="232"/>
    <col min="4004" max="4004" width="11" style="232"/>
    <col min="4005" max="4005" width="11" style="232"/>
    <col min="4006" max="4006" width="11" style="232"/>
    <col min="4007" max="4007" width="11" style="232"/>
    <col min="4008" max="4008" width="11" style="232"/>
    <col min="4009" max="4009" width="11" style="232"/>
    <col min="4010" max="4010" width="11" style="232"/>
    <col min="4011" max="4011" width="11" style="232"/>
    <col min="4012" max="4012" width="11" style="232"/>
    <col min="4013" max="4013" width="11" style="232"/>
    <col min="4014" max="4014" width="11" style="232"/>
    <col min="4015" max="4015" width="11" style="232"/>
    <col min="4016" max="4016" width="11" style="232"/>
    <col min="4017" max="4017" width="11" style="232"/>
    <col min="4018" max="4018" width="11" style="232"/>
    <col min="4019" max="4019" width="11" style="232"/>
    <col min="4020" max="4020" width="11" style="232"/>
    <col min="4021" max="4021" width="11" style="232"/>
    <col min="4022" max="4022" width="11" style="232"/>
    <col min="4023" max="4023" width="11" style="232"/>
    <col min="4024" max="4024" width="11" style="232"/>
    <col min="4025" max="4025" width="11" style="232"/>
    <col min="4026" max="4026" width="11" style="232"/>
    <col min="4027" max="4027" width="11" style="232"/>
    <col min="4028" max="4028" width="11" style="232"/>
    <col min="4029" max="4029" width="11" style="232"/>
    <col min="4030" max="4030" width="11" style="232"/>
    <col min="4031" max="4031" width="11" style="232"/>
    <col min="4032" max="4032" width="11" style="232"/>
    <col min="4033" max="4033" width="11" style="232"/>
    <col min="4034" max="4034" width="11" style="232"/>
    <col min="4035" max="4035" width="11" style="232"/>
    <col min="4036" max="4036" width="11" style="232"/>
    <col min="4037" max="4037" width="11" style="232"/>
    <col min="4038" max="4038" width="11" style="232"/>
    <col min="4039" max="4039" width="11" style="232"/>
    <col min="4040" max="4040" width="11" style="232"/>
    <col min="4041" max="4041" width="11" style="232"/>
    <col min="4042" max="4042" width="11" style="232"/>
    <col min="4043" max="4043" width="11" style="232"/>
    <col min="4044" max="4044" width="11" style="232"/>
    <col min="4045" max="4045" width="11" style="232"/>
    <col min="4046" max="4046" width="11" style="232"/>
    <col min="4047" max="4047" width="11" style="232"/>
    <col min="4048" max="4048" width="11" style="232"/>
    <col min="4049" max="4049" width="11" style="232"/>
    <col min="4050" max="4050" width="11" style="232"/>
    <col min="4051" max="4051" width="11" style="232"/>
    <col min="4052" max="4052" width="11" style="232"/>
    <col min="4053" max="4053" width="11" style="232"/>
    <col min="4054" max="4054" width="11" style="232"/>
    <col min="4055" max="4055" width="11" style="232"/>
    <col min="4056" max="4056" width="11" style="232"/>
    <col min="4057" max="4057" width="11" style="232"/>
    <col min="4058" max="4058" width="11" style="232"/>
    <col min="4059" max="4059" width="11" style="232"/>
    <col min="4060" max="4060" width="11" style="232"/>
    <col min="4061" max="4061" width="11" style="232"/>
    <col min="4062" max="4062" width="11" style="232"/>
    <col min="4063" max="4063" width="11" style="232"/>
    <col min="4064" max="4064" width="11" style="232"/>
    <col min="4065" max="4065" width="11" style="232"/>
    <col min="4066" max="4066" width="11" style="232"/>
    <col min="4067" max="4067" width="11" style="232"/>
    <col min="4068" max="4068" width="11" style="232"/>
    <col min="4069" max="4069" width="11" style="232"/>
    <col min="4070" max="4070" width="11" style="232"/>
    <col min="4071" max="4071" width="11" style="232"/>
    <col min="4072" max="4072" width="11" style="232"/>
    <col min="4073" max="4073" width="11" style="232"/>
    <col min="4074" max="4074" width="11" style="232"/>
    <col min="4075" max="4075" width="11" style="232"/>
    <col min="4076" max="4076" width="11" style="232"/>
    <col min="4077" max="4077" width="11" style="232"/>
    <col min="4078" max="4078" width="11" style="232"/>
    <col min="4079" max="4079" width="11" style="232"/>
    <col min="4080" max="4080" width="11" style="232"/>
    <col min="4081" max="4081" width="11" style="232"/>
    <col min="4082" max="4082" width="11" style="232"/>
    <col min="4083" max="4083" width="11" style="232"/>
    <col min="4084" max="4084" width="11" style="232"/>
    <col min="4085" max="4085" width="10.140625" customWidth="true" style="232"/>
    <col min="4086" max="4086" width="10.140625" customWidth="true" style="232"/>
    <col min="4087" max="4087" width="10.140625" customWidth="true" style="232"/>
    <col min="4088" max="4088" width="10.140625" customWidth="true" style="232"/>
    <col min="4089" max="4089" width="10.140625" customWidth="true" style="232"/>
    <col min="4090" max="4090" width="10.140625" customWidth="true" style="232"/>
    <col min="4091" max="4091" width="10.140625" customWidth="true" style="232"/>
    <col min="4092" max="4092" width="10.140625" customWidth="true" style="232"/>
    <col min="4093" max="4093" width="10.140625" customWidth="true" style="232"/>
    <col min="4094" max="4094" width="11" style="232"/>
    <col min="4095" max="4095" width="11" style="232"/>
    <col min="4096" max="4096" width="11" style="232"/>
    <col min="4097" max="4097" width="11" style="232"/>
    <col min="4098" max="4098" width="11" style="232"/>
    <col min="4099" max="4099" width="11" style="232"/>
    <col min="4100" max="4100" width="11" style="232"/>
    <col min="4101" max="4101" width="11" style="232"/>
    <col min="4102" max="4102" width="11" style="232"/>
    <col min="4103" max="4103" width="11" style="232"/>
    <col min="4104" max="4104" width="11" style="232"/>
    <col min="4105" max="4105" width="11" style="232"/>
    <col min="4106" max="4106" width="11" style="232"/>
    <col min="4107" max="4107" width="11" style="232"/>
    <col min="4108" max="4108" width="11" style="232"/>
    <col min="4109" max="4109" width="11" style="232"/>
    <col min="4110" max="4110" width="11" style="232"/>
    <col min="4111" max="4111" width="11" style="232"/>
    <col min="4112" max="4112" width="11" style="232"/>
    <col min="4113" max="4113" width="11" style="232"/>
    <col min="4114" max="4114" width="11" style="232"/>
    <col min="4115" max="4115" width="11" style="232"/>
    <col min="4116" max="4116" width="11" style="232"/>
    <col min="4117" max="4117" width="11" style="232"/>
    <col min="4118" max="4118" width="11" style="232"/>
    <col min="4119" max="4119" width="11" style="232"/>
    <col min="4120" max="4120" width="11" style="232"/>
    <col min="4121" max="4121" width="11" style="232"/>
    <col min="4122" max="4122" width="11" style="232"/>
    <col min="4123" max="4123" width="11" style="232"/>
    <col min="4124" max="4124" width="11" style="232"/>
    <col min="4125" max="4125" width="11" style="232"/>
    <col min="4126" max="4126" width="11" style="232"/>
    <col min="4127" max="4127" width="11" style="232"/>
    <col min="4128" max="4128" width="11" style="232"/>
    <col min="4129" max="4129" width="11" style="232"/>
    <col min="4130" max="4130" width="11" style="232"/>
    <col min="4131" max="4131" width="11" style="232"/>
    <col min="4132" max="4132" width="11" style="232"/>
    <col min="4133" max="4133" width="11" style="232"/>
    <col min="4134" max="4134" width="11" style="232"/>
    <col min="4135" max="4135" width="11" style="232"/>
    <col min="4136" max="4136" width="11" style="232"/>
    <col min="4137" max="4137" width="11" style="232"/>
    <col min="4138" max="4138" width="11" style="232"/>
    <col min="4139" max="4139" width="11" style="232"/>
    <col min="4140" max="4140" width="11" style="232"/>
    <col min="4141" max="4141" width="11" style="232"/>
    <col min="4142" max="4142" width="11" style="232"/>
    <col min="4143" max="4143" width="11" style="232"/>
    <col min="4144" max="4144" width="11" style="232"/>
    <col min="4145" max="4145" width="11" style="232"/>
    <col min="4146" max="4146" width="11" style="232"/>
    <col min="4147" max="4147" width="11" style="232"/>
    <col min="4148" max="4148" width="11" style="232"/>
    <col min="4149" max="4149" width="11" style="232"/>
    <col min="4150" max="4150" width="11" style="232"/>
    <col min="4151" max="4151" width="11" style="232"/>
    <col min="4152" max="4152" width="11" style="232"/>
    <col min="4153" max="4153" width="11" style="232"/>
    <col min="4154" max="4154" width="11" style="232"/>
    <col min="4155" max="4155" width="11" style="232"/>
    <col min="4156" max="4156" width="11" style="232"/>
    <col min="4157" max="4157" width="11" style="232"/>
    <col min="4158" max="4158" width="11" style="232"/>
    <col min="4159" max="4159" width="11" style="232"/>
    <col min="4160" max="4160" width="11" style="232"/>
    <col min="4161" max="4161" width="11" style="232"/>
    <col min="4162" max="4162" width="11" style="232"/>
    <col min="4163" max="4163" width="11" style="232"/>
    <col min="4164" max="4164" width="11" style="232"/>
    <col min="4165" max="4165" width="11" style="232"/>
    <col min="4166" max="4166" width="11" style="232"/>
    <col min="4167" max="4167" width="11" style="232"/>
    <col min="4168" max="4168" width="11" style="232"/>
    <col min="4169" max="4169" width="11" style="232"/>
    <col min="4170" max="4170" width="11" style="232"/>
    <col min="4171" max="4171" width="11" style="232"/>
    <col min="4172" max="4172" width="11" style="232"/>
    <col min="4173" max="4173" width="11" style="232"/>
    <col min="4174" max="4174" width="11" style="232"/>
    <col min="4175" max="4175" width="11" style="232"/>
    <col min="4176" max="4176" width="11" style="232"/>
    <col min="4177" max="4177" width="11" style="232"/>
    <col min="4178" max="4178" width="11" style="232"/>
    <col min="4179" max="4179" width="11" style="232"/>
    <col min="4180" max="4180" width="11" style="232"/>
    <col min="4181" max="4181" width="11" style="232"/>
    <col min="4182" max="4182" width="11" style="232"/>
    <col min="4183" max="4183" width="11" style="232"/>
    <col min="4184" max="4184" width="11" style="232"/>
    <col min="4185" max="4185" width="11" style="232"/>
    <col min="4186" max="4186" width="11" style="232"/>
    <col min="4187" max="4187" width="11" style="232"/>
    <col min="4188" max="4188" width="11" style="232"/>
    <col min="4189" max="4189" width="11" style="232"/>
    <col min="4190" max="4190" width="11" style="232"/>
    <col min="4191" max="4191" width="11" style="232"/>
    <col min="4192" max="4192" width="11" style="232"/>
    <col min="4193" max="4193" width="11" style="232"/>
    <col min="4194" max="4194" width="11" style="232"/>
    <col min="4195" max="4195" width="11" style="232"/>
    <col min="4196" max="4196" width="11" style="232"/>
    <col min="4197" max="4197" width="11" style="232"/>
    <col min="4198" max="4198" width="11" style="232"/>
    <col min="4199" max="4199" width="11" style="232"/>
    <col min="4200" max="4200" width="11" style="232"/>
    <col min="4201" max="4201" width="11" style="232"/>
    <col min="4202" max="4202" width="11" style="232"/>
    <col min="4203" max="4203" width="11" style="232"/>
    <col min="4204" max="4204" width="11" style="232"/>
    <col min="4205" max="4205" width="11" style="232"/>
    <col min="4206" max="4206" width="11" style="232"/>
    <col min="4207" max="4207" width="11" style="232"/>
    <col min="4208" max="4208" width="11" style="232"/>
    <col min="4209" max="4209" width="11" style="232"/>
    <col min="4210" max="4210" width="11" style="232"/>
    <col min="4211" max="4211" width="11" style="232"/>
    <col min="4212" max="4212" width="11" style="232"/>
    <col min="4213" max="4213" width="11" style="232"/>
    <col min="4214" max="4214" width="11" style="232"/>
    <col min="4215" max="4215" width="11" style="232"/>
    <col min="4216" max="4216" width="11" style="232"/>
    <col min="4217" max="4217" width="11" style="232"/>
    <col min="4218" max="4218" width="11" style="232"/>
    <col min="4219" max="4219" width="11" style="232"/>
    <col min="4220" max="4220" width="11" style="232"/>
    <col min="4221" max="4221" width="11" style="232"/>
    <col min="4222" max="4222" width="11" style="232"/>
    <col min="4223" max="4223" width="11" style="232"/>
    <col min="4224" max="4224" width="11" style="232"/>
    <col min="4225" max="4225" width="11" style="232"/>
    <col min="4226" max="4226" width="11" style="232"/>
    <col min="4227" max="4227" width="11" style="232"/>
    <col min="4228" max="4228" width="11" style="232"/>
    <col min="4229" max="4229" width="11" style="232"/>
    <col min="4230" max="4230" width="11" style="232"/>
    <col min="4231" max="4231" width="11" style="232"/>
    <col min="4232" max="4232" width="11" style="232"/>
    <col min="4233" max="4233" width="11" style="232"/>
    <col min="4234" max="4234" width="11" style="232"/>
    <col min="4235" max="4235" width="11" style="232"/>
    <col min="4236" max="4236" width="11" style="232"/>
    <col min="4237" max="4237" width="11" style="232"/>
    <col min="4238" max="4238" width="11" style="232"/>
    <col min="4239" max="4239" width="11" style="232"/>
    <col min="4240" max="4240" width="11" style="232"/>
    <col min="4241" max="4241" width="11" style="232"/>
    <col min="4242" max="4242" width="11" style="232"/>
    <col min="4243" max="4243" width="11" style="232"/>
    <col min="4244" max="4244" width="11" style="232"/>
    <col min="4245" max="4245" width="11" style="232"/>
    <col min="4246" max="4246" width="11" style="232"/>
    <col min="4247" max="4247" width="11" style="232"/>
    <col min="4248" max="4248" width="11" style="232"/>
    <col min="4249" max="4249" width="11" style="232"/>
    <col min="4250" max="4250" width="11" style="232"/>
    <col min="4251" max="4251" width="11" style="232"/>
    <col min="4252" max="4252" width="11" style="232"/>
    <col min="4253" max="4253" width="11" style="232"/>
    <col min="4254" max="4254" width="11" style="232"/>
    <col min="4255" max="4255" width="11" style="232"/>
    <col min="4256" max="4256" width="11" style="232"/>
    <col min="4257" max="4257" width="11" style="232"/>
    <col min="4258" max="4258" width="11" style="232"/>
    <col min="4259" max="4259" width="11" style="232"/>
    <col min="4260" max="4260" width="11" style="232"/>
    <col min="4261" max="4261" width="11" style="232"/>
    <col min="4262" max="4262" width="11" style="232"/>
    <col min="4263" max="4263" width="11" style="232"/>
    <col min="4264" max="4264" width="11" style="232"/>
    <col min="4265" max="4265" width="11" style="232"/>
    <col min="4266" max="4266" width="11" style="232"/>
    <col min="4267" max="4267" width="11" style="232"/>
    <col min="4268" max="4268" width="11" style="232"/>
    <col min="4269" max="4269" width="11" style="232"/>
    <col min="4270" max="4270" width="11" style="232"/>
    <col min="4271" max="4271" width="11" style="232"/>
    <col min="4272" max="4272" width="11" style="232"/>
    <col min="4273" max="4273" width="11" style="232"/>
    <col min="4274" max="4274" width="11" style="232"/>
    <col min="4275" max="4275" width="11" style="232"/>
    <col min="4276" max="4276" width="11" style="232"/>
    <col min="4277" max="4277" width="11" style="232"/>
    <col min="4278" max="4278" width="11" style="232"/>
    <col min="4279" max="4279" width="11" style="232"/>
    <col min="4280" max="4280" width="11" style="232"/>
    <col min="4281" max="4281" width="11" style="232"/>
    <col min="4282" max="4282" width="11" style="232"/>
    <col min="4283" max="4283" width="11" style="232"/>
    <col min="4284" max="4284" width="11" style="232"/>
    <col min="4285" max="4285" width="11" style="232"/>
    <col min="4286" max="4286" width="11" style="232"/>
    <col min="4287" max="4287" width="11" style="232"/>
    <col min="4288" max="4288" width="11" style="232"/>
    <col min="4289" max="4289" width="11" style="232"/>
    <col min="4290" max="4290" width="11" style="232"/>
    <col min="4291" max="4291" width="11" style="232"/>
    <col min="4292" max="4292" width="11" style="232"/>
    <col min="4293" max="4293" width="11" style="232"/>
    <col min="4294" max="4294" width="11" style="232"/>
    <col min="4295" max="4295" width="11" style="232"/>
    <col min="4296" max="4296" width="11" style="232"/>
    <col min="4297" max="4297" width="11" style="232"/>
    <col min="4298" max="4298" width="11" style="232"/>
    <col min="4299" max="4299" width="11" style="232"/>
    <col min="4300" max="4300" width="11" style="232"/>
    <col min="4301" max="4301" width="11" style="232"/>
    <col min="4302" max="4302" width="11" style="232"/>
    <col min="4303" max="4303" width="11" style="232"/>
    <col min="4304" max="4304" width="11" style="232"/>
    <col min="4305" max="4305" width="11" style="232"/>
    <col min="4306" max="4306" width="11" style="232"/>
    <col min="4307" max="4307" width="11" style="232"/>
    <col min="4308" max="4308" width="11" style="232"/>
    <col min="4309" max="4309" width="11" style="232"/>
    <col min="4310" max="4310" width="11" style="232"/>
    <col min="4311" max="4311" width="11" style="232"/>
    <col min="4312" max="4312" width="11" style="232"/>
    <col min="4313" max="4313" width="11" style="232"/>
    <col min="4314" max="4314" width="11" style="232"/>
    <col min="4315" max="4315" width="11" style="232"/>
    <col min="4316" max="4316" width="11" style="232"/>
    <col min="4317" max="4317" width="11" style="232"/>
    <col min="4318" max="4318" width="11" style="232"/>
    <col min="4319" max="4319" width="11" style="232"/>
    <col min="4320" max="4320" width="11" style="232"/>
    <col min="4321" max="4321" width="11" style="232"/>
    <col min="4322" max="4322" width="11" style="232"/>
    <col min="4323" max="4323" width="11" style="232"/>
    <col min="4324" max="4324" width="11" style="232"/>
    <col min="4325" max="4325" width="11" style="232"/>
    <col min="4326" max="4326" width="11" style="232"/>
    <col min="4327" max="4327" width="11" style="232"/>
    <col min="4328" max="4328" width="11" style="232"/>
    <col min="4329" max="4329" width="11" style="232"/>
    <col min="4330" max="4330" width="11" style="232"/>
    <col min="4331" max="4331" width="11" style="232"/>
    <col min="4332" max="4332" width="11" style="232"/>
    <col min="4333" max="4333" width="11" style="232"/>
    <col min="4334" max="4334" width="11" style="232"/>
    <col min="4335" max="4335" width="11" style="232"/>
    <col min="4336" max="4336" width="11" style="232"/>
    <col min="4337" max="4337" width="11" style="232"/>
    <col min="4338" max="4338" width="11" style="232"/>
    <col min="4339" max="4339" width="11" style="232"/>
    <col min="4340" max="4340" width="11" style="232"/>
    <col min="4341" max="4341" width="10.140625" customWidth="true" style="232"/>
    <col min="4342" max="4342" width="10.140625" customWidth="true" style="232"/>
    <col min="4343" max="4343" width="10.140625" customWidth="true" style="232"/>
    <col min="4344" max="4344" width="10.140625" customWidth="true" style="232"/>
    <col min="4345" max="4345" width="10.140625" customWidth="true" style="232"/>
    <col min="4346" max="4346" width="10.140625" customWidth="true" style="232"/>
    <col min="4347" max="4347" width="10.140625" customWidth="true" style="232"/>
    <col min="4348" max="4348" width="10.140625" customWidth="true" style="232"/>
    <col min="4349" max="4349" width="10.140625" customWidth="true" style="232"/>
    <col min="4350" max="4350" width="11" style="232"/>
    <col min="4351" max="4351" width="11" style="232"/>
    <col min="4352" max="4352" width="11" style="232"/>
    <col min="4353" max="4353" width="11" style="232"/>
    <col min="4354" max="4354" width="11" style="232"/>
    <col min="4355" max="4355" width="11" style="232"/>
    <col min="4356" max="4356" width="11" style="232"/>
    <col min="4357" max="4357" width="11" style="232"/>
    <col min="4358" max="4358" width="11" style="232"/>
    <col min="4359" max="4359" width="11" style="232"/>
    <col min="4360" max="4360" width="11" style="232"/>
    <col min="4361" max="4361" width="11" style="232"/>
    <col min="4362" max="4362" width="11" style="232"/>
    <col min="4363" max="4363" width="11" style="232"/>
    <col min="4364" max="4364" width="11" style="232"/>
    <col min="4365" max="4365" width="11" style="232"/>
    <col min="4366" max="4366" width="11" style="232"/>
    <col min="4367" max="4367" width="11" style="232"/>
    <col min="4368" max="4368" width="11" style="232"/>
    <col min="4369" max="4369" width="11" style="232"/>
    <col min="4370" max="4370" width="11" style="232"/>
    <col min="4371" max="4371" width="11" style="232"/>
    <col min="4372" max="4372" width="11" style="232"/>
    <col min="4373" max="4373" width="11" style="232"/>
    <col min="4374" max="4374" width="11" style="232"/>
    <col min="4375" max="4375" width="11" style="232"/>
    <col min="4376" max="4376" width="11" style="232"/>
    <col min="4377" max="4377" width="11" style="232"/>
    <col min="4378" max="4378" width="11" style="232"/>
    <col min="4379" max="4379" width="11" style="232"/>
    <col min="4380" max="4380" width="11" style="232"/>
    <col min="4381" max="4381" width="11" style="232"/>
    <col min="4382" max="4382" width="11" style="232"/>
    <col min="4383" max="4383" width="11" style="232"/>
    <col min="4384" max="4384" width="11" style="232"/>
    <col min="4385" max="4385" width="11" style="232"/>
    <col min="4386" max="4386" width="11" style="232"/>
    <col min="4387" max="4387" width="11" style="232"/>
    <col min="4388" max="4388" width="11" style="232"/>
    <col min="4389" max="4389" width="11" style="232"/>
    <col min="4390" max="4390" width="11" style="232"/>
    <col min="4391" max="4391" width="11" style="232"/>
    <col min="4392" max="4392" width="11" style="232"/>
    <col min="4393" max="4393" width="11" style="232"/>
    <col min="4394" max="4394" width="11" style="232"/>
    <col min="4395" max="4395" width="11" style="232"/>
    <col min="4396" max="4396" width="11" style="232"/>
    <col min="4397" max="4397" width="11" style="232"/>
    <col min="4398" max="4398" width="11" style="232"/>
    <col min="4399" max="4399" width="11" style="232"/>
    <col min="4400" max="4400" width="11" style="232"/>
    <col min="4401" max="4401" width="11" style="232"/>
    <col min="4402" max="4402" width="11" style="232"/>
    <col min="4403" max="4403" width="11" style="232"/>
    <col min="4404" max="4404" width="11" style="232"/>
    <col min="4405" max="4405" width="11" style="232"/>
    <col min="4406" max="4406" width="11" style="232"/>
    <col min="4407" max="4407" width="11" style="232"/>
    <col min="4408" max="4408" width="11" style="232"/>
    <col min="4409" max="4409" width="11" style="232"/>
    <col min="4410" max="4410" width="11" style="232"/>
    <col min="4411" max="4411" width="11" style="232"/>
    <col min="4412" max="4412" width="11" style="232"/>
    <col min="4413" max="4413" width="11" style="232"/>
    <col min="4414" max="4414" width="11" style="232"/>
    <col min="4415" max="4415" width="11" style="232"/>
    <col min="4416" max="4416" width="11" style="232"/>
    <col min="4417" max="4417" width="11" style="232"/>
    <col min="4418" max="4418" width="11" style="232"/>
    <col min="4419" max="4419" width="11" style="232"/>
    <col min="4420" max="4420" width="11" style="232"/>
    <col min="4421" max="4421" width="11" style="232"/>
    <col min="4422" max="4422" width="11" style="232"/>
    <col min="4423" max="4423" width="11" style="232"/>
    <col min="4424" max="4424" width="11" style="232"/>
    <col min="4425" max="4425" width="11" style="232"/>
    <col min="4426" max="4426" width="11" style="232"/>
    <col min="4427" max="4427" width="11" style="232"/>
    <col min="4428" max="4428" width="11" style="232"/>
    <col min="4429" max="4429" width="11" style="232"/>
    <col min="4430" max="4430" width="11" style="232"/>
    <col min="4431" max="4431" width="11" style="232"/>
    <col min="4432" max="4432" width="11" style="232"/>
    <col min="4433" max="4433" width="11" style="232"/>
    <col min="4434" max="4434" width="11" style="232"/>
    <col min="4435" max="4435" width="11" style="232"/>
    <col min="4436" max="4436" width="11" style="232"/>
    <col min="4437" max="4437" width="11" style="232"/>
    <col min="4438" max="4438" width="11" style="232"/>
    <col min="4439" max="4439" width="11" style="232"/>
    <col min="4440" max="4440" width="11" style="232"/>
    <col min="4441" max="4441" width="11" style="232"/>
    <col min="4442" max="4442" width="11" style="232"/>
    <col min="4443" max="4443" width="11" style="232"/>
    <col min="4444" max="4444" width="11" style="232"/>
    <col min="4445" max="4445" width="11" style="232"/>
    <col min="4446" max="4446" width="11" style="232"/>
    <col min="4447" max="4447" width="11" style="232"/>
    <col min="4448" max="4448" width="11" style="232"/>
    <col min="4449" max="4449" width="11" style="232"/>
    <col min="4450" max="4450" width="11" style="232"/>
    <col min="4451" max="4451" width="11" style="232"/>
    <col min="4452" max="4452" width="11" style="232"/>
    <col min="4453" max="4453" width="11" style="232"/>
    <col min="4454" max="4454" width="11" style="232"/>
    <col min="4455" max="4455" width="11" style="232"/>
    <col min="4456" max="4456" width="11" style="232"/>
    <col min="4457" max="4457" width="11" style="232"/>
    <col min="4458" max="4458" width="11" style="232"/>
    <col min="4459" max="4459" width="11" style="232"/>
    <col min="4460" max="4460" width="11" style="232"/>
    <col min="4461" max="4461" width="11" style="232"/>
    <col min="4462" max="4462" width="11" style="232"/>
    <col min="4463" max="4463" width="11" style="232"/>
    <col min="4464" max="4464" width="11" style="232"/>
    <col min="4465" max="4465" width="11" style="232"/>
    <col min="4466" max="4466" width="11" style="232"/>
    <col min="4467" max="4467" width="11" style="232"/>
    <col min="4468" max="4468" width="11" style="232"/>
    <col min="4469" max="4469" width="11" style="232"/>
    <col min="4470" max="4470" width="11" style="232"/>
    <col min="4471" max="4471" width="11" style="232"/>
    <col min="4472" max="4472" width="11" style="232"/>
    <col min="4473" max="4473" width="11" style="232"/>
    <col min="4474" max="4474" width="11" style="232"/>
    <col min="4475" max="4475" width="11" style="232"/>
    <col min="4476" max="4476" width="11" style="232"/>
    <col min="4477" max="4477" width="11" style="232"/>
    <col min="4478" max="4478" width="11" style="232"/>
    <col min="4479" max="4479" width="11" style="232"/>
    <col min="4480" max="4480" width="11" style="232"/>
    <col min="4481" max="4481" width="11" style="232"/>
    <col min="4482" max="4482" width="11" style="232"/>
    <col min="4483" max="4483" width="11" style="232"/>
    <col min="4484" max="4484" width="11" style="232"/>
    <col min="4485" max="4485" width="11" style="232"/>
    <col min="4486" max="4486" width="11" style="232"/>
    <col min="4487" max="4487" width="11" style="232"/>
    <col min="4488" max="4488" width="11" style="232"/>
    <col min="4489" max="4489" width="11" style="232"/>
    <col min="4490" max="4490" width="11" style="232"/>
    <col min="4491" max="4491" width="11" style="232"/>
    <col min="4492" max="4492" width="11" style="232"/>
    <col min="4493" max="4493" width="11" style="232"/>
    <col min="4494" max="4494" width="11" style="232"/>
    <col min="4495" max="4495" width="11" style="232"/>
    <col min="4496" max="4496" width="11" style="232"/>
    <col min="4497" max="4497" width="11" style="232"/>
    <col min="4498" max="4498" width="11" style="232"/>
    <col min="4499" max="4499" width="11" style="232"/>
    <col min="4500" max="4500" width="11" style="232"/>
    <col min="4501" max="4501" width="11" style="232"/>
    <col min="4502" max="4502" width="11" style="232"/>
    <col min="4503" max="4503" width="11" style="232"/>
    <col min="4504" max="4504" width="11" style="232"/>
    <col min="4505" max="4505" width="11" style="232"/>
    <col min="4506" max="4506" width="11" style="232"/>
    <col min="4507" max="4507" width="11" style="232"/>
    <col min="4508" max="4508" width="11" style="232"/>
    <col min="4509" max="4509" width="11" style="232"/>
    <col min="4510" max="4510" width="11" style="232"/>
    <col min="4511" max="4511" width="11" style="232"/>
    <col min="4512" max="4512" width="11" style="232"/>
    <col min="4513" max="4513" width="11" style="232"/>
    <col min="4514" max="4514" width="11" style="232"/>
    <col min="4515" max="4515" width="11" style="232"/>
    <col min="4516" max="4516" width="11" style="232"/>
    <col min="4517" max="4517" width="11" style="232"/>
    <col min="4518" max="4518" width="11" style="232"/>
    <col min="4519" max="4519" width="11" style="232"/>
    <col min="4520" max="4520" width="11" style="232"/>
    <col min="4521" max="4521" width="11" style="232"/>
    <col min="4522" max="4522" width="11" style="232"/>
    <col min="4523" max="4523" width="11" style="232"/>
    <col min="4524" max="4524" width="11" style="232"/>
    <col min="4525" max="4525" width="11" style="232"/>
    <col min="4526" max="4526" width="11" style="232"/>
    <col min="4527" max="4527" width="11" style="232"/>
    <col min="4528" max="4528" width="11" style="232"/>
    <col min="4529" max="4529" width="11" style="232"/>
    <col min="4530" max="4530" width="11" style="232"/>
    <col min="4531" max="4531" width="11" style="232"/>
    <col min="4532" max="4532" width="11" style="232"/>
    <col min="4533" max="4533" width="11" style="232"/>
    <col min="4534" max="4534" width="11" style="232"/>
    <col min="4535" max="4535" width="11" style="232"/>
    <col min="4536" max="4536" width="11" style="232"/>
    <col min="4537" max="4537" width="11" style="232"/>
    <col min="4538" max="4538" width="11" style="232"/>
    <col min="4539" max="4539" width="11" style="232"/>
    <col min="4540" max="4540" width="11" style="232"/>
    <col min="4541" max="4541" width="11" style="232"/>
    <col min="4542" max="4542" width="11" style="232"/>
    <col min="4543" max="4543" width="11" style="232"/>
    <col min="4544" max="4544" width="11" style="232"/>
    <col min="4545" max="4545" width="11" style="232"/>
    <col min="4546" max="4546" width="11" style="232"/>
    <col min="4547" max="4547" width="11" style="232"/>
    <col min="4548" max="4548" width="11" style="232"/>
    <col min="4549" max="4549" width="11" style="232"/>
    <col min="4550" max="4550" width="11" style="232"/>
    <col min="4551" max="4551" width="11" style="232"/>
    <col min="4552" max="4552" width="11" style="232"/>
    <col min="4553" max="4553" width="11" style="232"/>
    <col min="4554" max="4554" width="11" style="232"/>
    <col min="4555" max="4555" width="11" style="232"/>
    <col min="4556" max="4556" width="11" style="232"/>
    <col min="4557" max="4557" width="11" style="232"/>
    <col min="4558" max="4558" width="11" style="232"/>
    <col min="4559" max="4559" width="11" style="232"/>
    <col min="4560" max="4560" width="11" style="232"/>
    <col min="4561" max="4561" width="11" style="232"/>
    <col min="4562" max="4562" width="11" style="232"/>
    <col min="4563" max="4563" width="11" style="232"/>
    <col min="4564" max="4564" width="11" style="232"/>
    <col min="4565" max="4565" width="11" style="232"/>
    <col min="4566" max="4566" width="11" style="232"/>
    <col min="4567" max="4567" width="11" style="232"/>
    <col min="4568" max="4568" width="11" style="232"/>
    <col min="4569" max="4569" width="11" style="232"/>
    <col min="4570" max="4570" width="11" style="232"/>
    <col min="4571" max="4571" width="11" style="232"/>
    <col min="4572" max="4572" width="11" style="232"/>
    <col min="4573" max="4573" width="11" style="232"/>
    <col min="4574" max="4574" width="11" style="232"/>
    <col min="4575" max="4575" width="11" style="232"/>
    <col min="4576" max="4576" width="11" style="232"/>
    <col min="4577" max="4577" width="11" style="232"/>
    <col min="4578" max="4578" width="11" style="232"/>
    <col min="4579" max="4579" width="11" style="232"/>
    <col min="4580" max="4580" width="11" style="232"/>
    <col min="4581" max="4581" width="11" style="232"/>
    <col min="4582" max="4582" width="11" style="232"/>
    <col min="4583" max="4583" width="11" style="232"/>
    <col min="4584" max="4584" width="11" style="232"/>
    <col min="4585" max="4585" width="11" style="232"/>
    <col min="4586" max="4586" width="11" style="232"/>
    <col min="4587" max="4587" width="11" style="232"/>
    <col min="4588" max="4588" width="11" style="232"/>
    <col min="4589" max="4589" width="11" style="232"/>
    <col min="4590" max="4590" width="11" style="232"/>
    <col min="4591" max="4591" width="11" style="232"/>
    <col min="4592" max="4592" width="11" style="232"/>
    <col min="4593" max="4593" width="11" style="232"/>
    <col min="4594" max="4594" width="11" style="232"/>
    <col min="4595" max="4595" width="11" style="232"/>
    <col min="4596" max="4596" width="11" style="232"/>
    <col min="4597" max="4597" width="10.140625" customWidth="true" style="232"/>
    <col min="4598" max="4598" width="10.140625" customWidth="true" style="232"/>
    <col min="4599" max="4599" width="10.140625" customWidth="true" style="232"/>
    <col min="4600" max="4600" width="10.140625" customWidth="true" style="232"/>
    <col min="4601" max="4601" width="10.140625" customWidth="true" style="232"/>
    <col min="4602" max="4602" width="10.140625" customWidth="true" style="232"/>
    <col min="4603" max="4603" width="10.140625" customWidth="true" style="232"/>
    <col min="4604" max="4604" width="10.140625" customWidth="true" style="232"/>
    <col min="4605" max="4605" width="10.140625" customWidth="true" style="232"/>
    <col min="4606" max="4606" width="11" style="232"/>
    <col min="4607" max="4607" width="11" style="232"/>
    <col min="4608" max="4608" width="11" style="232"/>
    <col min="4609" max="4609" width="11" style="232"/>
    <col min="4610" max="4610" width="11" style="232"/>
    <col min="4611" max="4611" width="11" style="232"/>
    <col min="4612" max="4612" width="11" style="232"/>
    <col min="4613" max="4613" width="11" style="232"/>
    <col min="4614" max="4614" width="11" style="232"/>
    <col min="4615" max="4615" width="11" style="232"/>
    <col min="4616" max="4616" width="11" style="232"/>
    <col min="4617" max="4617" width="11" style="232"/>
    <col min="4618" max="4618" width="11" style="232"/>
    <col min="4619" max="4619" width="11" style="232"/>
    <col min="4620" max="4620" width="11" style="232"/>
    <col min="4621" max="4621" width="11" style="232"/>
    <col min="4622" max="4622" width="11" style="232"/>
    <col min="4623" max="4623" width="11" style="232"/>
    <col min="4624" max="4624" width="11" style="232"/>
    <col min="4625" max="4625" width="11" style="232"/>
    <col min="4626" max="4626" width="11" style="232"/>
    <col min="4627" max="4627" width="11" style="232"/>
    <col min="4628" max="4628" width="11" style="232"/>
    <col min="4629" max="4629" width="11" style="232"/>
    <col min="4630" max="4630" width="11" style="232"/>
    <col min="4631" max="4631" width="11" style="232"/>
    <col min="4632" max="4632" width="11" style="232"/>
    <col min="4633" max="4633" width="11" style="232"/>
    <col min="4634" max="4634" width="11" style="232"/>
    <col min="4635" max="4635" width="11" style="232"/>
    <col min="4636" max="4636" width="11" style="232"/>
    <col min="4637" max="4637" width="11" style="232"/>
    <col min="4638" max="4638" width="11" style="232"/>
    <col min="4639" max="4639" width="11" style="232"/>
    <col min="4640" max="4640" width="11" style="232"/>
    <col min="4641" max="4641" width="11" style="232"/>
    <col min="4642" max="4642" width="11" style="232"/>
    <col min="4643" max="4643" width="11" style="232"/>
    <col min="4644" max="4644" width="11" style="232"/>
    <col min="4645" max="4645" width="11" style="232"/>
    <col min="4646" max="4646" width="11" style="232"/>
    <col min="4647" max="4647" width="11" style="232"/>
    <col min="4648" max="4648" width="11" style="232"/>
    <col min="4649" max="4649" width="11" style="232"/>
    <col min="4650" max="4650" width="11" style="232"/>
    <col min="4651" max="4651" width="11" style="232"/>
    <col min="4652" max="4652" width="11" style="232"/>
    <col min="4653" max="4653" width="11" style="232"/>
    <col min="4654" max="4654" width="11" style="232"/>
    <col min="4655" max="4655" width="11" style="232"/>
    <col min="4656" max="4656" width="11" style="232"/>
    <col min="4657" max="4657" width="11" style="232"/>
    <col min="4658" max="4658" width="11" style="232"/>
    <col min="4659" max="4659" width="11" style="232"/>
    <col min="4660" max="4660" width="11" style="232"/>
    <col min="4661" max="4661" width="11" style="232"/>
    <col min="4662" max="4662" width="11" style="232"/>
    <col min="4663" max="4663" width="11" style="232"/>
    <col min="4664" max="4664" width="11" style="232"/>
    <col min="4665" max="4665" width="11" style="232"/>
    <col min="4666" max="4666" width="11" style="232"/>
    <col min="4667" max="4667" width="11" style="232"/>
    <col min="4668" max="4668" width="11" style="232"/>
    <col min="4669" max="4669" width="11" style="232"/>
    <col min="4670" max="4670" width="11" style="232"/>
    <col min="4671" max="4671" width="11" style="232"/>
    <col min="4672" max="4672" width="11" style="232"/>
    <col min="4673" max="4673" width="11" style="232"/>
    <col min="4674" max="4674" width="11" style="232"/>
    <col min="4675" max="4675" width="11" style="232"/>
    <col min="4676" max="4676" width="11" style="232"/>
    <col min="4677" max="4677" width="11" style="232"/>
    <col min="4678" max="4678" width="11" style="232"/>
    <col min="4679" max="4679" width="11" style="232"/>
    <col min="4680" max="4680" width="11" style="232"/>
    <col min="4681" max="4681" width="11" style="232"/>
    <col min="4682" max="4682" width="11" style="232"/>
    <col min="4683" max="4683" width="11" style="232"/>
    <col min="4684" max="4684" width="11" style="232"/>
    <col min="4685" max="4685" width="11" style="232"/>
    <col min="4686" max="4686" width="11" style="232"/>
    <col min="4687" max="4687" width="11" style="232"/>
    <col min="4688" max="4688" width="11" style="232"/>
    <col min="4689" max="4689" width="11" style="232"/>
    <col min="4690" max="4690" width="11" style="232"/>
    <col min="4691" max="4691" width="11" style="232"/>
    <col min="4692" max="4692" width="11" style="232"/>
    <col min="4693" max="4693" width="11" style="232"/>
    <col min="4694" max="4694" width="11" style="232"/>
    <col min="4695" max="4695" width="11" style="232"/>
    <col min="4696" max="4696" width="11" style="232"/>
    <col min="4697" max="4697" width="11" style="232"/>
    <col min="4698" max="4698" width="11" style="232"/>
    <col min="4699" max="4699" width="11" style="232"/>
    <col min="4700" max="4700" width="11" style="232"/>
    <col min="4701" max="4701" width="11" style="232"/>
    <col min="4702" max="4702" width="11" style="232"/>
    <col min="4703" max="4703" width="11" style="232"/>
    <col min="4704" max="4704" width="11" style="232"/>
    <col min="4705" max="4705" width="11" style="232"/>
    <col min="4706" max="4706" width="11" style="232"/>
    <col min="4707" max="4707" width="11" style="232"/>
    <col min="4708" max="4708" width="11" style="232"/>
    <col min="4709" max="4709" width="11" style="232"/>
    <col min="4710" max="4710" width="11" style="232"/>
    <col min="4711" max="4711" width="11" style="232"/>
    <col min="4712" max="4712" width="11" style="232"/>
    <col min="4713" max="4713" width="11" style="232"/>
    <col min="4714" max="4714" width="11" style="232"/>
    <col min="4715" max="4715" width="11" style="232"/>
    <col min="4716" max="4716" width="11" style="232"/>
    <col min="4717" max="4717" width="11" style="232"/>
    <col min="4718" max="4718" width="11" style="232"/>
    <col min="4719" max="4719" width="11" style="232"/>
    <col min="4720" max="4720" width="11" style="232"/>
    <col min="4721" max="4721" width="11" style="232"/>
    <col min="4722" max="4722" width="11" style="232"/>
    <col min="4723" max="4723" width="11" style="232"/>
    <col min="4724" max="4724" width="11" style="232"/>
    <col min="4725" max="4725" width="11" style="232"/>
    <col min="4726" max="4726" width="11" style="232"/>
    <col min="4727" max="4727" width="11" style="232"/>
    <col min="4728" max="4728" width="11" style="232"/>
    <col min="4729" max="4729" width="11" style="232"/>
    <col min="4730" max="4730" width="11" style="232"/>
    <col min="4731" max="4731" width="11" style="232"/>
    <col min="4732" max="4732" width="11" style="232"/>
    <col min="4733" max="4733" width="11" style="232"/>
    <col min="4734" max="4734" width="11" style="232"/>
    <col min="4735" max="4735" width="11" style="232"/>
    <col min="4736" max="4736" width="11" style="232"/>
    <col min="4737" max="4737" width="11" style="232"/>
    <col min="4738" max="4738" width="11" style="232"/>
    <col min="4739" max="4739" width="11" style="232"/>
    <col min="4740" max="4740" width="11" style="232"/>
    <col min="4741" max="4741" width="11" style="232"/>
    <col min="4742" max="4742" width="11" style="232"/>
    <col min="4743" max="4743" width="11" style="232"/>
    <col min="4744" max="4744" width="11" style="232"/>
    <col min="4745" max="4745" width="11" style="232"/>
    <col min="4746" max="4746" width="11" style="232"/>
    <col min="4747" max="4747" width="11" style="232"/>
    <col min="4748" max="4748" width="11" style="232"/>
    <col min="4749" max="4749" width="11" style="232"/>
    <col min="4750" max="4750" width="11" style="232"/>
    <col min="4751" max="4751" width="11" style="232"/>
    <col min="4752" max="4752" width="11" style="232"/>
    <col min="4753" max="4753" width="11" style="232"/>
    <col min="4754" max="4754" width="11" style="232"/>
    <col min="4755" max="4755" width="11" style="232"/>
    <col min="4756" max="4756" width="11" style="232"/>
    <col min="4757" max="4757" width="11" style="232"/>
    <col min="4758" max="4758" width="11" style="232"/>
    <col min="4759" max="4759" width="11" style="232"/>
    <col min="4760" max="4760" width="11" style="232"/>
    <col min="4761" max="4761" width="11" style="232"/>
    <col min="4762" max="4762" width="11" style="232"/>
    <col min="4763" max="4763" width="11" style="232"/>
    <col min="4764" max="4764" width="11" style="232"/>
    <col min="4765" max="4765" width="11" style="232"/>
    <col min="4766" max="4766" width="11" style="232"/>
    <col min="4767" max="4767" width="11" style="232"/>
    <col min="4768" max="4768" width="11" style="232"/>
    <col min="4769" max="4769" width="11" style="232"/>
    <col min="4770" max="4770" width="11" style="232"/>
    <col min="4771" max="4771" width="11" style="232"/>
    <col min="4772" max="4772" width="11" style="232"/>
    <col min="4773" max="4773" width="11" style="232"/>
    <col min="4774" max="4774" width="11" style="232"/>
    <col min="4775" max="4775" width="11" style="232"/>
    <col min="4776" max="4776" width="11" style="232"/>
    <col min="4777" max="4777" width="11" style="232"/>
    <col min="4778" max="4778" width="11" style="232"/>
    <col min="4779" max="4779" width="11" style="232"/>
    <col min="4780" max="4780" width="11" style="232"/>
    <col min="4781" max="4781" width="11" style="232"/>
    <col min="4782" max="4782" width="11" style="232"/>
    <col min="4783" max="4783" width="11" style="232"/>
    <col min="4784" max="4784" width="11" style="232"/>
    <col min="4785" max="4785" width="11" style="232"/>
    <col min="4786" max="4786" width="11" style="232"/>
    <col min="4787" max="4787" width="11" style="232"/>
    <col min="4788" max="4788" width="11" style="232"/>
    <col min="4789" max="4789" width="11" style="232"/>
    <col min="4790" max="4790" width="11" style="232"/>
    <col min="4791" max="4791" width="11" style="232"/>
    <col min="4792" max="4792" width="11" style="232"/>
    <col min="4793" max="4793" width="11" style="232"/>
    <col min="4794" max="4794" width="11" style="232"/>
    <col min="4795" max="4795" width="11" style="232"/>
    <col min="4796" max="4796" width="11" style="232"/>
    <col min="4797" max="4797" width="11" style="232"/>
    <col min="4798" max="4798" width="11" style="232"/>
    <col min="4799" max="4799" width="11" style="232"/>
    <col min="4800" max="4800" width="11" style="232"/>
    <col min="4801" max="4801" width="11" style="232"/>
    <col min="4802" max="4802" width="11" style="232"/>
    <col min="4803" max="4803" width="11" style="232"/>
    <col min="4804" max="4804" width="11" style="232"/>
    <col min="4805" max="4805" width="11" style="232"/>
    <col min="4806" max="4806" width="11" style="232"/>
    <col min="4807" max="4807" width="11" style="232"/>
    <col min="4808" max="4808" width="11" style="232"/>
    <col min="4809" max="4809" width="11" style="232"/>
    <col min="4810" max="4810" width="11" style="232"/>
    <col min="4811" max="4811" width="11" style="232"/>
    <col min="4812" max="4812" width="11" style="232"/>
    <col min="4813" max="4813" width="11" style="232"/>
    <col min="4814" max="4814" width="11" style="232"/>
    <col min="4815" max="4815" width="11" style="232"/>
    <col min="4816" max="4816" width="11" style="232"/>
    <col min="4817" max="4817" width="11" style="232"/>
    <col min="4818" max="4818" width="11" style="232"/>
    <col min="4819" max="4819" width="11" style="232"/>
    <col min="4820" max="4820" width="11" style="232"/>
    <col min="4821" max="4821" width="11" style="232"/>
    <col min="4822" max="4822" width="11" style="232"/>
    <col min="4823" max="4823" width="11" style="232"/>
    <col min="4824" max="4824" width="11" style="232"/>
    <col min="4825" max="4825" width="11" style="232"/>
    <col min="4826" max="4826" width="11" style="232"/>
    <col min="4827" max="4827" width="11" style="232"/>
    <col min="4828" max="4828" width="11" style="232"/>
    <col min="4829" max="4829" width="11" style="232"/>
    <col min="4830" max="4830" width="11" style="232"/>
    <col min="4831" max="4831" width="11" style="232"/>
    <col min="4832" max="4832" width="11" style="232"/>
    <col min="4833" max="4833" width="11" style="232"/>
    <col min="4834" max="4834" width="11" style="232"/>
    <col min="4835" max="4835" width="11" style="232"/>
    <col min="4836" max="4836" width="11" style="232"/>
    <col min="4837" max="4837" width="11" style="232"/>
    <col min="4838" max="4838" width="11" style="232"/>
    <col min="4839" max="4839" width="11" style="232"/>
    <col min="4840" max="4840" width="11" style="232"/>
    <col min="4841" max="4841" width="11" style="232"/>
    <col min="4842" max="4842" width="11" style="232"/>
    <col min="4843" max="4843" width="11" style="232"/>
    <col min="4844" max="4844" width="11" style="232"/>
    <col min="4845" max="4845" width="11" style="232"/>
    <col min="4846" max="4846" width="11" style="232"/>
    <col min="4847" max="4847" width="11" style="232"/>
    <col min="4848" max="4848" width="11" style="232"/>
    <col min="4849" max="4849" width="11" style="232"/>
    <col min="4850" max="4850" width="11" style="232"/>
    <col min="4851" max="4851" width="11" style="232"/>
    <col min="4852" max="4852" width="11" style="232"/>
    <col min="4853" max="4853" width="10.140625" customWidth="true" style="232"/>
    <col min="4854" max="4854" width="10.140625" customWidth="true" style="232"/>
    <col min="4855" max="4855" width="10.140625" customWidth="true" style="232"/>
    <col min="4856" max="4856" width="10.140625" customWidth="true" style="232"/>
    <col min="4857" max="4857" width="10.140625" customWidth="true" style="232"/>
    <col min="4858" max="4858" width="10.140625" customWidth="true" style="232"/>
    <col min="4859" max="4859" width="10.140625" customWidth="true" style="232"/>
    <col min="4860" max="4860" width="10.140625" customWidth="true" style="232"/>
    <col min="4861" max="4861" width="10.140625" customWidth="true" style="232"/>
    <col min="4862" max="4862" width="11" style="232"/>
    <col min="4863" max="4863" width="11" style="232"/>
    <col min="4864" max="4864" width="11" style="232"/>
    <col min="4865" max="4865" width="11" style="232"/>
    <col min="4866" max="4866" width="11" style="232"/>
    <col min="4867" max="4867" width="11" style="232"/>
    <col min="4868" max="4868" width="11" style="232"/>
    <col min="4869" max="4869" width="11" style="232"/>
    <col min="4870" max="4870" width="11" style="232"/>
    <col min="4871" max="4871" width="11" style="232"/>
    <col min="4872" max="4872" width="11" style="232"/>
    <col min="4873" max="4873" width="11" style="232"/>
    <col min="4874" max="4874" width="11" style="232"/>
    <col min="4875" max="4875" width="11" style="232"/>
    <col min="4876" max="4876" width="11" style="232"/>
    <col min="4877" max="4877" width="11" style="232"/>
    <col min="4878" max="4878" width="11" style="232"/>
    <col min="4879" max="4879" width="11" style="232"/>
    <col min="4880" max="4880" width="11" style="232"/>
    <col min="4881" max="4881" width="11" style="232"/>
    <col min="4882" max="4882" width="11" style="232"/>
    <col min="4883" max="4883" width="11" style="232"/>
    <col min="4884" max="4884" width="11" style="232"/>
    <col min="4885" max="4885" width="11" style="232"/>
    <col min="4886" max="4886" width="11" style="232"/>
    <col min="4887" max="4887" width="11" style="232"/>
    <col min="4888" max="4888" width="11" style="232"/>
    <col min="4889" max="4889" width="11" style="232"/>
    <col min="4890" max="4890" width="11" style="232"/>
    <col min="4891" max="4891" width="11" style="232"/>
    <col min="4892" max="4892" width="11" style="232"/>
    <col min="4893" max="4893" width="11" style="232"/>
    <col min="4894" max="4894" width="11" style="232"/>
    <col min="4895" max="4895" width="11" style="232"/>
    <col min="4896" max="4896" width="11" style="232"/>
    <col min="4897" max="4897" width="11" style="232"/>
    <col min="4898" max="4898" width="11" style="232"/>
    <col min="4899" max="4899" width="11" style="232"/>
    <col min="4900" max="4900" width="11" style="232"/>
    <col min="4901" max="4901" width="11" style="232"/>
    <col min="4902" max="4902" width="11" style="232"/>
    <col min="4903" max="4903" width="11" style="232"/>
    <col min="4904" max="4904" width="11" style="232"/>
    <col min="4905" max="4905" width="11" style="232"/>
    <col min="4906" max="4906" width="11" style="232"/>
    <col min="4907" max="4907" width="11" style="232"/>
    <col min="4908" max="4908" width="11" style="232"/>
    <col min="4909" max="4909" width="11" style="232"/>
    <col min="4910" max="4910" width="11" style="232"/>
    <col min="4911" max="4911" width="11" style="232"/>
    <col min="4912" max="4912" width="11" style="232"/>
    <col min="4913" max="4913" width="11" style="232"/>
    <col min="4914" max="4914" width="11" style="232"/>
    <col min="4915" max="4915" width="11" style="232"/>
    <col min="4916" max="4916" width="11" style="232"/>
    <col min="4917" max="4917" width="11" style="232"/>
    <col min="4918" max="4918" width="11" style="232"/>
    <col min="4919" max="4919" width="11" style="232"/>
    <col min="4920" max="4920" width="11" style="232"/>
    <col min="4921" max="4921" width="11" style="232"/>
    <col min="4922" max="4922" width="11" style="232"/>
    <col min="4923" max="4923" width="11" style="232"/>
    <col min="4924" max="4924" width="11" style="232"/>
    <col min="4925" max="4925" width="11" style="232"/>
    <col min="4926" max="4926" width="11" style="232"/>
    <col min="4927" max="4927" width="11" style="232"/>
    <col min="4928" max="4928" width="11" style="232"/>
    <col min="4929" max="4929" width="11" style="232"/>
    <col min="4930" max="4930" width="11" style="232"/>
    <col min="4931" max="4931" width="11" style="232"/>
    <col min="4932" max="4932" width="11" style="232"/>
    <col min="4933" max="4933" width="11" style="232"/>
    <col min="4934" max="4934" width="11" style="232"/>
    <col min="4935" max="4935" width="11" style="232"/>
    <col min="4936" max="4936" width="11" style="232"/>
    <col min="4937" max="4937" width="11" style="232"/>
    <col min="4938" max="4938" width="11" style="232"/>
    <col min="4939" max="4939" width="11" style="232"/>
    <col min="4940" max="4940" width="11" style="232"/>
    <col min="4941" max="4941" width="11" style="232"/>
    <col min="4942" max="4942" width="11" style="232"/>
    <col min="4943" max="4943" width="11" style="232"/>
    <col min="4944" max="4944" width="11" style="232"/>
    <col min="4945" max="4945" width="11" style="232"/>
    <col min="4946" max="4946" width="11" style="232"/>
    <col min="4947" max="4947" width="11" style="232"/>
    <col min="4948" max="4948" width="11" style="232"/>
    <col min="4949" max="4949" width="11" style="232"/>
    <col min="4950" max="4950" width="11" style="232"/>
    <col min="4951" max="4951" width="11" style="232"/>
    <col min="4952" max="4952" width="11" style="232"/>
    <col min="4953" max="4953" width="11" style="232"/>
    <col min="4954" max="4954" width="11" style="232"/>
    <col min="4955" max="4955" width="11" style="232"/>
    <col min="4956" max="4956" width="11" style="232"/>
    <col min="4957" max="4957" width="11" style="232"/>
    <col min="4958" max="4958" width="11" style="232"/>
    <col min="4959" max="4959" width="11" style="232"/>
    <col min="4960" max="4960" width="11" style="232"/>
    <col min="4961" max="4961" width="11" style="232"/>
    <col min="4962" max="4962" width="11" style="232"/>
    <col min="4963" max="4963" width="11" style="232"/>
    <col min="4964" max="4964" width="11" style="232"/>
    <col min="4965" max="4965" width="11" style="232"/>
    <col min="4966" max="4966" width="11" style="232"/>
    <col min="4967" max="4967" width="11" style="232"/>
    <col min="4968" max="4968" width="11" style="232"/>
    <col min="4969" max="4969" width="11" style="232"/>
    <col min="4970" max="4970" width="11" style="232"/>
    <col min="4971" max="4971" width="11" style="232"/>
    <col min="4972" max="4972" width="11" style="232"/>
    <col min="4973" max="4973" width="11" style="232"/>
    <col min="4974" max="4974" width="11" style="232"/>
    <col min="4975" max="4975" width="11" style="232"/>
    <col min="4976" max="4976" width="11" style="232"/>
    <col min="4977" max="4977" width="11" style="232"/>
    <col min="4978" max="4978" width="11" style="232"/>
    <col min="4979" max="4979" width="11" style="232"/>
    <col min="4980" max="4980" width="11" style="232"/>
    <col min="4981" max="4981" width="11" style="232"/>
    <col min="4982" max="4982" width="11" style="232"/>
    <col min="4983" max="4983" width="11" style="232"/>
    <col min="4984" max="4984" width="11" style="232"/>
    <col min="4985" max="4985" width="11" style="232"/>
    <col min="4986" max="4986" width="11" style="232"/>
    <col min="4987" max="4987" width="11" style="232"/>
    <col min="4988" max="4988" width="11" style="232"/>
    <col min="4989" max="4989" width="11" style="232"/>
    <col min="4990" max="4990" width="11" style="232"/>
    <col min="4991" max="4991" width="11" style="232"/>
    <col min="4992" max="4992" width="11" style="232"/>
    <col min="4993" max="4993" width="11" style="232"/>
    <col min="4994" max="4994" width="11" style="232"/>
    <col min="4995" max="4995" width="11" style="232"/>
    <col min="4996" max="4996" width="11" style="232"/>
    <col min="4997" max="4997" width="11" style="232"/>
    <col min="4998" max="4998" width="11" style="232"/>
    <col min="4999" max="4999" width="11" style="232"/>
    <col min="5000" max="5000" width="11" style="232"/>
    <col min="5001" max="5001" width="11" style="232"/>
    <col min="5002" max="5002" width="11" style="232"/>
    <col min="5003" max="5003" width="11" style="232"/>
    <col min="5004" max="5004" width="11" style="232"/>
    <col min="5005" max="5005" width="11" style="232"/>
    <col min="5006" max="5006" width="11" style="232"/>
    <col min="5007" max="5007" width="11" style="232"/>
    <col min="5008" max="5008" width="11" style="232"/>
    <col min="5009" max="5009" width="11" style="232"/>
    <col min="5010" max="5010" width="11" style="232"/>
    <col min="5011" max="5011" width="11" style="232"/>
    <col min="5012" max="5012" width="11" style="232"/>
    <col min="5013" max="5013" width="11" style="232"/>
    <col min="5014" max="5014" width="11" style="232"/>
    <col min="5015" max="5015" width="11" style="232"/>
    <col min="5016" max="5016" width="11" style="232"/>
    <col min="5017" max="5017" width="11" style="232"/>
    <col min="5018" max="5018" width="11" style="232"/>
    <col min="5019" max="5019" width="11" style="232"/>
    <col min="5020" max="5020" width="11" style="232"/>
    <col min="5021" max="5021" width="11" style="232"/>
    <col min="5022" max="5022" width="11" style="232"/>
    <col min="5023" max="5023" width="11" style="232"/>
    <col min="5024" max="5024" width="11" style="232"/>
    <col min="5025" max="5025" width="11" style="232"/>
    <col min="5026" max="5026" width="11" style="232"/>
    <col min="5027" max="5027" width="11" style="232"/>
    <col min="5028" max="5028" width="11" style="232"/>
    <col min="5029" max="5029" width="11" style="232"/>
    <col min="5030" max="5030" width="11" style="232"/>
    <col min="5031" max="5031" width="11" style="232"/>
    <col min="5032" max="5032" width="11" style="232"/>
    <col min="5033" max="5033" width="11" style="232"/>
    <col min="5034" max="5034" width="11" style="232"/>
    <col min="5035" max="5035" width="11" style="232"/>
    <col min="5036" max="5036" width="11" style="232"/>
    <col min="5037" max="5037" width="11" style="232"/>
    <col min="5038" max="5038" width="11" style="232"/>
    <col min="5039" max="5039" width="11" style="232"/>
    <col min="5040" max="5040" width="11" style="232"/>
    <col min="5041" max="5041" width="11" style="232"/>
    <col min="5042" max="5042" width="11" style="232"/>
    <col min="5043" max="5043" width="11" style="232"/>
    <col min="5044" max="5044" width="11" style="232"/>
    <col min="5045" max="5045" width="11" style="232"/>
    <col min="5046" max="5046" width="11" style="232"/>
    <col min="5047" max="5047" width="11" style="232"/>
    <col min="5048" max="5048" width="11" style="232"/>
    <col min="5049" max="5049" width="11" style="232"/>
    <col min="5050" max="5050" width="11" style="232"/>
    <col min="5051" max="5051" width="11" style="232"/>
    <col min="5052" max="5052" width="11" style="232"/>
    <col min="5053" max="5053" width="11" style="232"/>
    <col min="5054" max="5054" width="11" style="232"/>
    <col min="5055" max="5055" width="11" style="232"/>
    <col min="5056" max="5056" width="11" style="232"/>
    <col min="5057" max="5057" width="11" style="232"/>
    <col min="5058" max="5058" width="11" style="232"/>
    <col min="5059" max="5059" width="11" style="232"/>
    <col min="5060" max="5060" width="11" style="232"/>
    <col min="5061" max="5061" width="11" style="232"/>
    <col min="5062" max="5062" width="11" style="232"/>
    <col min="5063" max="5063" width="11" style="232"/>
    <col min="5064" max="5064" width="11" style="232"/>
    <col min="5065" max="5065" width="11" style="232"/>
    <col min="5066" max="5066" width="11" style="232"/>
    <col min="5067" max="5067" width="11" style="232"/>
    <col min="5068" max="5068" width="11" style="232"/>
    <col min="5069" max="5069" width="11" style="232"/>
    <col min="5070" max="5070" width="11" style="232"/>
    <col min="5071" max="5071" width="11" style="232"/>
    <col min="5072" max="5072" width="11" style="232"/>
    <col min="5073" max="5073" width="11" style="232"/>
    <col min="5074" max="5074" width="11" style="232"/>
    <col min="5075" max="5075" width="11" style="232"/>
    <col min="5076" max="5076" width="11" style="232"/>
    <col min="5077" max="5077" width="11" style="232"/>
    <col min="5078" max="5078" width="11" style="232"/>
    <col min="5079" max="5079" width="11" style="232"/>
    <col min="5080" max="5080" width="11" style="232"/>
    <col min="5081" max="5081" width="11" style="232"/>
    <col min="5082" max="5082" width="11" style="232"/>
    <col min="5083" max="5083" width="11" style="232"/>
    <col min="5084" max="5084" width="11" style="232"/>
    <col min="5085" max="5085" width="11" style="232"/>
    <col min="5086" max="5086" width="11" style="232"/>
    <col min="5087" max="5087" width="11" style="232"/>
    <col min="5088" max="5088" width="11" style="232"/>
    <col min="5089" max="5089" width="11" style="232"/>
    <col min="5090" max="5090" width="11" style="232"/>
    <col min="5091" max="5091" width="11" style="232"/>
    <col min="5092" max="5092" width="11" style="232"/>
    <col min="5093" max="5093" width="11" style="232"/>
    <col min="5094" max="5094" width="11" style="232"/>
    <col min="5095" max="5095" width="11" style="232"/>
    <col min="5096" max="5096" width="11" style="232"/>
    <col min="5097" max="5097" width="11" style="232"/>
    <col min="5098" max="5098" width="11" style="232"/>
    <col min="5099" max="5099" width="11" style="232"/>
    <col min="5100" max="5100" width="11" style="232"/>
    <col min="5101" max="5101" width="11" style="232"/>
    <col min="5102" max="5102" width="11" style="232"/>
    <col min="5103" max="5103" width="11" style="232"/>
    <col min="5104" max="5104" width="11" style="232"/>
    <col min="5105" max="5105" width="11" style="232"/>
    <col min="5106" max="5106" width="11" style="232"/>
    <col min="5107" max="5107" width="11" style="232"/>
    <col min="5108" max="5108" width="11" style="232"/>
    <col min="5109" max="5109" width="10.140625" customWidth="true" style="232"/>
    <col min="5110" max="5110" width="10.140625" customWidth="true" style="232"/>
    <col min="5111" max="5111" width="10.140625" customWidth="true" style="232"/>
    <col min="5112" max="5112" width="10.140625" customWidth="true" style="232"/>
    <col min="5113" max="5113" width="10.140625" customWidth="true" style="232"/>
    <col min="5114" max="5114" width="10.140625" customWidth="true" style="232"/>
    <col min="5115" max="5115" width="10.140625" customWidth="true" style="232"/>
    <col min="5116" max="5116" width="10.140625" customWidth="true" style="232"/>
    <col min="5117" max="5117" width="10.140625" customWidth="true" style="232"/>
    <col min="5118" max="5118" width="11" style="232"/>
    <col min="5119" max="5119" width="11" style="232"/>
    <col min="5120" max="5120" width="11" style="232"/>
    <col min="5121" max="5121" width="11" style="232"/>
    <col min="5122" max="5122" width="11" style="232"/>
    <col min="5123" max="5123" width="11" style="232"/>
    <col min="5124" max="5124" width="11" style="232"/>
    <col min="5125" max="5125" width="11" style="232"/>
    <col min="5126" max="5126" width="11" style="232"/>
    <col min="5127" max="5127" width="11" style="232"/>
    <col min="5128" max="5128" width="11" style="232"/>
    <col min="5129" max="5129" width="11" style="232"/>
    <col min="5130" max="5130" width="11" style="232"/>
    <col min="5131" max="5131" width="11" style="232"/>
    <col min="5132" max="5132" width="11" style="232"/>
    <col min="5133" max="5133" width="11" style="232"/>
    <col min="5134" max="5134" width="11" style="232"/>
    <col min="5135" max="5135" width="11" style="232"/>
    <col min="5136" max="5136" width="11" style="232"/>
    <col min="5137" max="5137" width="11" style="232"/>
    <col min="5138" max="5138" width="11" style="232"/>
    <col min="5139" max="5139" width="11" style="232"/>
    <col min="5140" max="5140" width="11" style="232"/>
    <col min="5141" max="5141" width="11" style="232"/>
    <col min="5142" max="5142" width="11" style="232"/>
    <col min="5143" max="5143" width="11" style="232"/>
    <col min="5144" max="5144" width="11" style="232"/>
    <col min="5145" max="5145" width="11" style="232"/>
    <col min="5146" max="5146" width="11" style="232"/>
    <col min="5147" max="5147" width="11" style="232"/>
    <col min="5148" max="5148" width="11" style="232"/>
    <col min="5149" max="5149" width="11" style="232"/>
    <col min="5150" max="5150" width="11" style="232"/>
    <col min="5151" max="5151" width="11" style="232"/>
    <col min="5152" max="5152" width="11" style="232"/>
    <col min="5153" max="5153" width="11" style="232"/>
    <col min="5154" max="5154" width="11" style="232"/>
    <col min="5155" max="5155" width="11" style="232"/>
    <col min="5156" max="5156" width="11" style="232"/>
    <col min="5157" max="5157" width="11" style="232"/>
    <col min="5158" max="5158" width="11" style="232"/>
    <col min="5159" max="5159" width="11" style="232"/>
    <col min="5160" max="5160" width="11" style="232"/>
    <col min="5161" max="5161" width="11" style="232"/>
    <col min="5162" max="5162" width="11" style="232"/>
    <col min="5163" max="5163" width="11" style="232"/>
    <col min="5164" max="5164" width="11" style="232"/>
    <col min="5165" max="5165" width="11" style="232"/>
    <col min="5166" max="5166" width="11" style="232"/>
    <col min="5167" max="5167" width="11" style="232"/>
    <col min="5168" max="5168" width="11" style="232"/>
    <col min="5169" max="5169" width="11" style="232"/>
    <col min="5170" max="5170" width="11" style="232"/>
    <col min="5171" max="5171" width="11" style="232"/>
    <col min="5172" max="5172" width="11" style="232"/>
    <col min="5173" max="5173" width="11" style="232"/>
    <col min="5174" max="5174" width="11" style="232"/>
    <col min="5175" max="5175" width="11" style="232"/>
    <col min="5176" max="5176" width="11" style="232"/>
    <col min="5177" max="5177" width="11" style="232"/>
    <col min="5178" max="5178" width="11" style="232"/>
    <col min="5179" max="5179" width="11" style="232"/>
    <col min="5180" max="5180" width="11" style="232"/>
    <col min="5181" max="5181" width="11" style="232"/>
    <col min="5182" max="5182" width="11" style="232"/>
    <col min="5183" max="5183" width="11" style="232"/>
    <col min="5184" max="5184" width="11" style="232"/>
    <col min="5185" max="5185" width="11" style="232"/>
    <col min="5186" max="5186" width="11" style="232"/>
    <col min="5187" max="5187" width="11" style="232"/>
    <col min="5188" max="5188" width="11" style="232"/>
    <col min="5189" max="5189" width="11" style="232"/>
    <col min="5190" max="5190" width="11" style="232"/>
    <col min="5191" max="5191" width="11" style="232"/>
    <col min="5192" max="5192" width="11" style="232"/>
    <col min="5193" max="5193" width="11" style="232"/>
    <col min="5194" max="5194" width="11" style="232"/>
    <col min="5195" max="5195" width="11" style="232"/>
    <col min="5196" max="5196" width="11" style="232"/>
    <col min="5197" max="5197" width="11" style="232"/>
    <col min="5198" max="5198" width="11" style="232"/>
    <col min="5199" max="5199" width="11" style="232"/>
    <col min="5200" max="5200" width="11" style="232"/>
    <col min="5201" max="5201" width="11" style="232"/>
    <col min="5202" max="5202" width="11" style="232"/>
    <col min="5203" max="5203" width="11" style="232"/>
    <col min="5204" max="5204" width="11" style="232"/>
    <col min="5205" max="5205" width="11" style="232"/>
    <col min="5206" max="5206" width="11" style="232"/>
    <col min="5207" max="5207" width="11" style="232"/>
    <col min="5208" max="5208" width="11" style="232"/>
    <col min="5209" max="5209" width="11" style="232"/>
    <col min="5210" max="5210" width="11" style="232"/>
    <col min="5211" max="5211" width="11" style="232"/>
    <col min="5212" max="5212" width="11" style="232"/>
    <col min="5213" max="5213" width="11" style="232"/>
    <col min="5214" max="5214" width="11" style="232"/>
    <col min="5215" max="5215" width="11" style="232"/>
    <col min="5216" max="5216" width="11" style="232"/>
    <col min="5217" max="5217" width="11" style="232"/>
    <col min="5218" max="5218" width="11" style="232"/>
    <col min="5219" max="5219" width="11" style="232"/>
    <col min="5220" max="5220" width="11" style="232"/>
    <col min="5221" max="5221" width="11" style="232"/>
    <col min="5222" max="5222" width="11" style="232"/>
    <col min="5223" max="5223" width="11" style="232"/>
    <col min="5224" max="5224" width="11" style="232"/>
    <col min="5225" max="5225" width="11" style="232"/>
    <col min="5226" max="5226" width="11" style="232"/>
    <col min="5227" max="5227" width="11" style="232"/>
    <col min="5228" max="5228" width="11" style="232"/>
    <col min="5229" max="5229" width="11" style="232"/>
    <col min="5230" max="5230" width="11" style="232"/>
    <col min="5231" max="5231" width="11" style="232"/>
    <col min="5232" max="5232" width="11" style="232"/>
    <col min="5233" max="5233" width="11" style="232"/>
    <col min="5234" max="5234" width="11" style="232"/>
    <col min="5235" max="5235" width="11" style="232"/>
    <col min="5236" max="5236" width="11" style="232"/>
    <col min="5237" max="5237" width="11" style="232"/>
    <col min="5238" max="5238" width="11" style="232"/>
    <col min="5239" max="5239" width="11" style="232"/>
    <col min="5240" max="5240" width="11" style="232"/>
    <col min="5241" max="5241" width="11" style="232"/>
    <col min="5242" max="5242" width="11" style="232"/>
    <col min="5243" max="5243" width="11" style="232"/>
    <col min="5244" max="5244" width="11" style="232"/>
    <col min="5245" max="5245" width="11" style="232"/>
    <col min="5246" max="5246" width="11" style="232"/>
    <col min="5247" max="5247" width="11" style="232"/>
    <col min="5248" max="5248" width="11" style="232"/>
    <col min="5249" max="5249" width="11" style="232"/>
    <col min="5250" max="5250" width="11" style="232"/>
    <col min="5251" max="5251" width="11" style="232"/>
    <col min="5252" max="5252" width="11" style="232"/>
    <col min="5253" max="5253" width="11" style="232"/>
    <col min="5254" max="5254" width="11" style="232"/>
    <col min="5255" max="5255" width="11" style="232"/>
    <col min="5256" max="5256" width="11" style="232"/>
    <col min="5257" max="5257" width="11" style="232"/>
    <col min="5258" max="5258" width="11" style="232"/>
    <col min="5259" max="5259" width="11" style="232"/>
    <col min="5260" max="5260" width="11" style="232"/>
    <col min="5261" max="5261" width="11" style="232"/>
    <col min="5262" max="5262" width="11" style="232"/>
    <col min="5263" max="5263" width="11" style="232"/>
    <col min="5264" max="5264" width="11" style="232"/>
    <col min="5265" max="5265" width="11" style="232"/>
    <col min="5266" max="5266" width="11" style="232"/>
    <col min="5267" max="5267" width="11" style="232"/>
    <col min="5268" max="5268" width="11" style="232"/>
    <col min="5269" max="5269" width="11" style="232"/>
    <col min="5270" max="5270" width="11" style="232"/>
    <col min="5271" max="5271" width="11" style="232"/>
    <col min="5272" max="5272" width="11" style="232"/>
    <col min="5273" max="5273" width="11" style="232"/>
    <col min="5274" max="5274" width="11" style="232"/>
    <col min="5275" max="5275" width="11" style="232"/>
    <col min="5276" max="5276" width="11" style="232"/>
    <col min="5277" max="5277" width="11" style="232"/>
    <col min="5278" max="5278" width="11" style="232"/>
    <col min="5279" max="5279" width="11" style="232"/>
    <col min="5280" max="5280" width="11" style="232"/>
    <col min="5281" max="5281" width="11" style="232"/>
    <col min="5282" max="5282" width="11" style="232"/>
    <col min="5283" max="5283" width="11" style="232"/>
    <col min="5284" max="5284" width="11" style="232"/>
    <col min="5285" max="5285" width="11" style="232"/>
    <col min="5286" max="5286" width="11" style="232"/>
    <col min="5287" max="5287" width="11" style="232"/>
    <col min="5288" max="5288" width="11" style="232"/>
    <col min="5289" max="5289" width="11" style="232"/>
    <col min="5290" max="5290" width="11" style="232"/>
    <col min="5291" max="5291" width="11" style="232"/>
    <col min="5292" max="5292" width="11" style="232"/>
    <col min="5293" max="5293" width="11" style="232"/>
    <col min="5294" max="5294" width="11" style="232"/>
    <col min="5295" max="5295" width="11" style="232"/>
    <col min="5296" max="5296" width="11" style="232"/>
    <col min="5297" max="5297" width="11" style="232"/>
    <col min="5298" max="5298" width="11" style="232"/>
    <col min="5299" max="5299" width="11" style="232"/>
    <col min="5300" max="5300" width="11" style="232"/>
    <col min="5301" max="5301" width="11" style="232"/>
    <col min="5302" max="5302" width="11" style="232"/>
    <col min="5303" max="5303" width="11" style="232"/>
    <col min="5304" max="5304" width="11" style="232"/>
    <col min="5305" max="5305" width="11" style="232"/>
    <col min="5306" max="5306" width="11" style="232"/>
    <col min="5307" max="5307" width="11" style="232"/>
    <col min="5308" max="5308" width="11" style="232"/>
    <col min="5309" max="5309" width="11" style="232"/>
    <col min="5310" max="5310" width="11" style="232"/>
    <col min="5311" max="5311" width="11" style="232"/>
    <col min="5312" max="5312" width="11" style="232"/>
    <col min="5313" max="5313" width="11" style="232"/>
    <col min="5314" max="5314" width="11" style="232"/>
    <col min="5315" max="5315" width="11" style="232"/>
    <col min="5316" max="5316" width="11" style="232"/>
    <col min="5317" max="5317" width="11" style="232"/>
    <col min="5318" max="5318" width="11" style="232"/>
    <col min="5319" max="5319" width="11" style="232"/>
    <col min="5320" max="5320" width="11" style="232"/>
    <col min="5321" max="5321" width="11" style="232"/>
    <col min="5322" max="5322" width="11" style="232"/>
    <col min="5323" max="5323" width="11" style="232"/>
    <col min="5324" max="5324" width="11" style="232"/>
    <col min="5325" max="5325" width="11" style="232"/>
    <col min="5326" max="5326" width="11" style="232"/>
    <col min="5327" max="5327" width="11" style="232"/>
    <col min="5328" max="5328" width="11" style="232"/>
    <col min="5329" max="5329" width="11" style="232"/>
    <col min="5330" max="5330" width="11" style="232"/>
    <col min="5331" max="5331" width="11" style="232"/>
    <col min="5332" max="5332" width="11" style="232"/>
    <col min="5333" max="5333" width="11" style="232"/>
    <col min="5334" max="5334" width="11" style="232"/>
    <col min="5335" max="5335" width="11" style="232"/>
    <col min="5336" max="5336" width="11" style="232"/>
    <col min="5337" max="5337" width="11" style="232"/>
    <col min="5338" max="5338" width="11" style="232"/>
    <col min="5339" max="5339" width="11" style="232"/>
    <col min="5340" max="5340" width="11" style="232"/>
    <col min="5341" max="5341" width="11" style="232"/>
    <col min="5342" max="5342" width="11" style="232"/>
    <col min="5343" max="5343" width="11" style="232"/>
    <col min="5344" max="5344" width="11" style="232"/>
    <col min="5345" max="5345" width="11" style="232"/>
    <col min="5346" max="5346" width="11" style="232"/>
    <col min="5347" max="5347" width="11" style="232"/>
    <col min="5348" max="5348" width="11" style="232"/>
    <col min="5349" max="5349" width="11" style="232"/>
    <col min="5350" max="5350" width="11" style="232"/>
    <col min="5351" max="5351" width="11" style="232"/>
    <col min="5352" max="5352" width="11" style="232"/>
    <col min="5353" max="5353" width="11" style="232"/>
    <col min="5354" max="5354" width="11" style="232"/>
    <col min="5355" max="5355" width="11" style="232"/>
    <col min="5356" max="5356" width="11" style="232"/>
    <col min="5357" max="5357" width="11" style="232"/>
    <col min="5358" max="5358" width="11" style="232"/>
    <col min="5359" max="5359" width="11" style="232"/>
    <col min="5360" max="5360" width="11" style="232"/>
    <col min="5361" max="5361" width="11" style="232"/>
    <col min="5362" max="5362" width="11" style="232"/>
    <col min="5363" max="5363" width="11" style="232"/>
    <col min="5364" max="5364" width="11" style="232"/>
    <col min="5365" max="5365" width="10.140625" customWidth="true" style="232"/>
    <col min="5366" max="5366" width="10.140625" customWidth="true" style="232"/>
    <col min="5367" max="5367" width="10.140625" customWidth="true" style="232"/>
    <col min="5368" max="5368" width="10.140625" customWidth="true" style="232"/>
    <col min="5369" max="5369" width="10.140625" customWidth="true" style="232"/>
    <col min="5370" max="5370" width="10.140625" customWidth="true" style="232"/>
    <col min="5371" max="5371" width="10.140625" customWidth="true" style="232"/>
    <col min="5372" max="5372" width="10.140625" customWidth="true" style="232"/>
    <col min="5373" max="5373" width="10.140625" customWidth="true" style="232"/>
    <col min="5374" max="5374" width="11" style="232"/>
    <col min="5375" max="5375" width="11" style="232"/>
    <col min="5376" max="5376" width="11" style="232"/>
    <col min="5377" max="5377" width="11" style="232"/>
    <col min="5378" max="5378" width="11" style="232"/>
    <col min="5379" max="5379" width="11" style="232"/>
    <col min="5380" max="5380" width="11" style="232"/>
    <col min="5381" max="5381" width="11" style="232"/>
    <col min="5382" max="5382" width="11" style="232"/>
    <col min="5383" max="5383" width="11" style="232"/>
    <col min="5384" max="5384" width="11" style="232"/>
    <col min="5385" max="5385" width="11" style="232"/>
    <col min="5386" max="5386" width="11" style="232"/>
    <col min="5387" max="5387" width="11" style="232"/>
    <col min="5388" max="5388" width="11" style="232"/>
    <col min="5389" max="5389" width="11" style="232"/>
    <col min="5390" max="5390" width="11" style="232"/>
    <col min="5391" max="5391" width="11" style="232"/>
    <col min="5392" max="5392" width="11" style="232"/>
    <col min="5393" max="5393" width="11" style="232"/>
    <col min="5394" max="5394" width="11" style="232"/>
    <col min="5395" max="5395" width="11" style="232"/>
    <col min="5396" max="5396" width="11" style="232"/>
    <col min="5397" max="5397" width="11" style="232"/>
    <col min="5398" max="5398" width="11" style="232"/>
    <col min="5399" max="5399" width="11" style="232"/>
    <col min="5400" max="5400" width="11" style="232"/>
    <col min="5401" max="5401" width="11" style="232"/>
    <col min="5402" max="5402" width="11" style="232"/>
    <col min="5403" max="5403" width="11" style="232"/>
    <col min="5404" max="5404" width="11" style="232"/>
    <col min="5405" max="5405" width="11" style="232"/>
    <col min="5406" max="5406" width="11" style="232"/>
    <col min="5407" max="5407" width="11" style="232"/>
    <col min="5408" max="5408" width="11" style="232"/>
    <col min="5409" max="5409" width="11" style="232"/>
    <col min="5410" max="5410" width="11" style="232"/>
    <col min="5411" max="5411" width="11" style="232"/>
    <col min="5412" max="5412" width="11" style="232"/>
    <col min="5413" max="5413" width="11" style="232"/>
    <col min="5414" max="5414" width="11" style="232"/>
    <col min="5415" max="5415" width="11" style="232"/>
    <col min="5416" max="5416" width="11" style="232"/>
    <col min="5417" max="5417" width="11" style="232"/>
    <col min="5418" max="5418" width="11" style="232"/>
    <col min="5419" max="5419" width="11" style="232"/>
    <col min="5420" max="5420" width="11" style="232"/>
    <col min="5421" max="5421" width="11" style="232"/>
    <col min="5422" max="5422" width="11" style="232"/>
    <col min="5423" max="5423" width="11" style="232"/>
    <col min="5424" max="5424" width="11" style="232"/>
    <col min="5425" max="5425" width="11" style="232"/>
    <col min="5426" max="5426" width="11" style="232"/>
    <col min="5427" max="5427" width="11" style="232"/>
    <col min="5428" max="5428" width="11" style="232"/>
    <col min="5429" max="5429" width="11" style="232"/>
    <col min="5430" max="5430" width="11" style="232"/>
    <col min="5431" max="5431" width="11" style="232"/>
    <col min="5432" max="5432" width="11" style="232"/>
    <col min="5433" max="5433" width="11" style="232"/>
    <col min="5434" max="5434" width="11" style="232"/>
    <col min="5435" max="5435" width="11" style="232"/>
    <col min="5436" max="5436" width="11" style="232"/>
    <col min="5437" max="5437" width="11" style="232"/>
    <col min="5438" max="5438" width="11" style="232"/>
    <col min="5439" max="5439" width="11" style="232"/>
    <col min="5440" max="5440" width="11" style="232"/>
    <col min="5441" max="5441" width="11" style="232"/>
    <col min="5442" max="5442" width="11" style="232"/>
    <col min="5443" max="5443" width="11" style="232"/>
    <col min="5444" max="5444" width="11" style="232"/>
    <col min="5445" max="5445" width="11" style="232"/>
    <col min="5446" max="5446" width="11" style="232"/>
    <col min="5447" max="5447" width="11" style="232"/>
    <col min="5448" max="5448" width="11" style="232"/>
    <col min="5449" max="5449" width="11" style="232"/>
    <col min="5450" max="5450" width="11" style="232"/>
    <col min="5451" max="5451" width="11" style="232"/>
    <col min="5452" max="5452" width="11" style="232"/>
    <col min="5453" max="5453" width="11" style="232"/>
    <col min="5454" max="5454" width="11" style="232"/>
    <col min="5455" max="5455" width="11" style="232"/>
    <col min="5456" max="5456" width="11" style="232"/>
    <col min="5457" max="5457" width="11" style="232"/>
    <col min="5458" max="5458" width="11" style="232"/>
    <col min="5459" max="5459" width="11" style="232"/>
    <col min="5460" max="5460" width="11" style="232"/>
    <col min="5461" max="5461" width="11" style="232"/>
    <col min="5462" max="5462" width="11" style="232"/>
    <col min="5463" max="5463" width="11" style="232"/>
    <col min="5464" max="5464" width="11" style="232"/>
    <col min="5465" max="5465" width="11" style="232"/>
    <col min="5466" max="5466" width="11" style="232"/>
    <col min="5467" max="5467" width="11" style="232"/>
    <col min="5468" max="5468" width="11" style="232"/>
    <col min="5469" max="5469" width="11" style="232"/>
    <col min="5470" max="5470" width="11" style="232"/>
    <col min="5471" max="5471" width="11" style="232"/>
    <col min="5472" max="5472" width="11" style="232"/>
    <col min="5473" max="5473" width="11" style="232"/>
    <col min="5474" max="5474" width="11" style="232"/>
    <col min="5475" max="5475" width="11" style="232"/>
    <col min="5476" max="5476" width="11" style="232"/>
    <col min="5477" max="5477" width="11" style="232"/>
    <col min="5478" max="5478" width="11" style="232"/>
    <col min="5479" max="5479" width="11" style="232"/>
    <col min="5480" max="5480" width="11" style="232"/>
    <col min="5481" max="5481" width="11" style="232"/>
    <col min="5482" max="5482" width="11" style="232"/>
    <col min="5483" max="5483" width="11" style="232"/>
    <col min="5484" max="5484" width="11" style="232"/>
    <col min="5485" max="5485" width="11" style="232"/>
    <col min="5486" max="5486" width="11" style="232"/>
    <col min="5487" max="5487" width="11" style="232"/>
    <col min="5488" max="5488" width="11" style="232"/>
    <col min="5489" max="5489" width="11" style="232"/>
    <col min="5490" max="5490" width="11" style="232"/>
    <col min="5491" max="5491" width="11" style="232"/>
    <col min="5492" max="5492" width="11" style="232"/>
    <col min="5493" max="5493" width="11" style="232"/>
    <col min="5494" max="5494" width="11" style="232"/>
    <col min="5495" max="5495" width="11" style="232"/>
    <col min="5496" max="5496" width="11" style="232"/>
    <col min="5497" max="5497" width="11" style="232"/>
    <col min="5498" max="5498" width="11" style="232"/>
    <col min="5499" max="5499" width="11" style="232"/>
    <col min="5500" max="5500" width="11" style="232"/>
    <col min="5501" max="5501" width="11" style="232"/>
    <col min="5502" max="5502" width="11" style="232"/>
    <col min="5503" max="5503" width="11" style="232"/>
    <col min="5504" max="5504" width="11" style="232"/>
    <col min="5505" max="5505" width="11" style="232"/>
    <col min="5506" max="5506" width="11" style="232"/>
    <col min="5507" max="5507" width="11" style="232"/>
    <col min="5508" max="5508" width="11" style="232"/>
    <col min="5509" max="5509" width="11" style="232"/>
    <col min="5510" max="5510" width="11" style="232"/>
    <col min="5511" max="5511" width="11" style="232"/>
    <col min="5512" max="5512" width="11" style="232"/>
    <col min="5513" max="5513" width="11" style="232"/>
    <col min="5514" max="5514" width="11" style="232"/>
    <col min="5515" max="5515" width="11" style="232"/>
    <col min="5516" max="5516" width="11" style="232"/>
    <col min="5517" max="5517" width="11" style="232"/>
    <col min="5518" max="5518" width="11" style="232"/>
    <col min="5519" max="5519" width="11" style="232"/>
    <col min="5520" max="5520" width="11" style="232"/>
    <col min="5521" max="5521" width="11" style="232"/>
    <col min="5522" max="5522" width="11" style="232"/>
    <col min="5523" max="5523" width="11" style="232"/>
    <col min="5524" max="5524" width="11" style="232"/>
    <col min="5525" max="5525" width="11" style="232"/>
    <col min="5526" max="5526" width="11" style="232"/>
    <col min="5527" max="5527" width="11" style="232"/>
    <col min="5528" max="5528" width="11" style="232"/>
    <col min="5529" max="5529" width="11" style="232"/>
    <col min="5530" max="5530" width="11" style="232"/>
    <col min="5531" max="5531" width="11" style="232"/>
    <col min="5532" max="5532" width="11" style="232"/>
    <col min="5533" max="5533" width="11" style="232"/>
    <col min="5534" max="5534" width="11" style="232"/>
    <col min="5535" max="5535" width="11" style="232"/>
    <col min="5536" max="5536" width="11" style="232"/>
    <col min="5537" max="5537" width="11" style="232"/>
    <col min="5538" max="5538" width="11" style="232"/>
    <col min="5539" max="5539" width="11" style="232"/>
    <col min="5540" max="5540" width="11" style="232"/>
    <col min="5541" max="5541" width="11" style="232"/>
    <col min="5542" max="5542" width="11" style="232"/>
    <col min="5543" max="5543" width="11" style="232"/>
    <col min="5544" max="5544" width="11" style="232"/>
    <col min="5545" max="5545" width="11" style="232"/>
    <col min="5546" max="5546" width="11" style="232"/>
    <col min="5547" max="5547" width="11" style="232"/>
    <col min="5548" max="5548" width="11" style="232"/>
    <col min="5549" max="5549" width="11" style="232"/>
    <col min="5550" max="5550" width="11" style="232"/>
    <col min="5551" max="5551" width="11" style="232"/>
    <col min="5552" max="5552" width="11" style="232"/>
    <col min="5553" max="5553" width="11" style="232"/>
    <col min="5554" max="5554" width="11" style="232"/>
    <col min="5555" max="5555" width="11" style="232"/>
    <col min="5556" max="5556" width="11" style="232"/>
    <col min="5557" max="5557" width="11" style="232"/>
    <col min="5558" max="5558" width="11" style="232"/>
    <col min="5559" max="5559" width="11" style="232"/>
    <col min="5560" max="5560" width="11" style="232"/>
    <col min="5561" max="5561" width="11" style="232"/>
    <col min="5562" max="5562" width="11" style="232"/>
    <col min="5563" max="5563" width="11" style="232"/>
    <col min="5564" max="5564" width="11" style="232"/>
    <col min="5565" max="5565" width="11" style="232"/>
    <col min="5566" max="5566" width="11" style="232"/>
    <col min="5567" max="5567" width="11" style="232"/>
    <col min="5568" max="5568" width="11" style="232"/>
    <col min="5569" max="5569" width="11" style="232"/>
    <col min="5570" max="5570" width="11" style="232"/>
    <col min="5571" max="5571" width="11" style="232"/>
    <col min="5572" max="5572" width="11" style="232"/>
    <col min="5573" max="5573" width="11" style="232"/>
    <col min="5574" max="5574" width="11" style="232"/>
    <col min="5575" max="5575" width="11" style="232"/>
    <col min="5576" max="5576" width="11" style="232"/>
    <col min="5577" max="5577" width="11" style="232"/>
    <col min="5578" max="5578" width="11" style="232"/>
    <col min="5579" max="5579" width="11" style="232"/>
    <col min="5580" max="5580" width="11" style="232"/>
    <col min="5581" max="5581" width="11" style="232"/>
    <col min="5582" max="5582" width="11" style="232"/>
    <col min="5583" max="5583" width="11" style="232"/>
    <col min="5584" max="5584" width="11" style="232"/>
    <col min="5585" max="5585" width="11" style="232"/>
    <col min="5586" max="5586" width="11" style="232"/>
    <col min="5587" max="5587" width="11" style="232"/>
    <col min="5588" max="5588" width="11" style="232"/>
    <col min="5589" max="5589" width="11" style="232"/>
    <col min="5590" max="5590" width="11" style="232"/>
    <col min="5591" max="5591" width="11" style="232"/>
    <col min="5592" max="5592" width="11" style="232"/>
    <col min="5593" max="5593" width="11" style="232"/>
    <col min="5594" max="5594" width="11" style="232"/>
    <col min="5595" max="5595" width="11" style="232"/>
    <col min="5596" max="5596" width="11" style="232"/>
    <col min="5597" max="5597" width="11" style="232"/>
    <col min="5598" max="5598" width="11" style="232"/>
    <col min="5599" max="5599" width="11" style="232"/>
    <col min="5600" max="5600" width="11" style="232"/>
    <col min="5601" max="5601" width="11" style="232"/>
    <col min="5602" max="5602" width="11" style="232"/>
    <col min="5603" max="5603" width="11" style="232"/>
    <col min="5604" max="5604" width="11" style="232"/>
    <col min="5605" max="5605" width="11" style="232"/>
    <col min="5606" max="5606" width="11" style="232"/>
    <col min="5607" max="5607" width="11" style="232"/>
    <col min="5608" max="5608" width="11" style="232"/>
    <col min="5609" max="5609" width="11" style="232"/>
    <col min="5610" max="5610" width="11" style="232"/>
    <col min="5611" max="5611" width="11" style="232"/>
    <col min="5612" max="5612" width="11" style="232"/>
    <col min="5613" max="5613" width="11" style="232"/>
    <col min="5614" max="5614" width="11" style="232"/>
    <col min="5615" max="5615" width="11" style="232"/>
    <col min="5616" max="5616" width="11" style="232"/>
    <col min="5617" max="5617" width="11" style="232"/>
    <col min="5618" max="5618" width="11" style="232"/>
    <col min="5619" max="5619" width="11" style="232"/>
    <col min="5620" max="5620" width="11" style="232"/>
    <col min="5621" max="5621" width="10.140625" customWidth="true" style="232"/>
    <col min="5622" max="5622" width="10.140625" customWidth="true" style="232"/>
    <col min="5623" max="5623" width="10.140625" customWidth="true" style="232"/>
    <col min="5624" max="5624" width="10.140625" customWidth="true" style="232"/>
    <col min="5625" max="5625" width="10.140625" customWidth="true" style="232"/>
    <col min="5626" max="5626" width="10.140625" customWidth="true" style="232"/>
    <col min="5627" max="5627" width="10.140625" customWidth="true" style="232"/>
    <col min="5628" max="5628" width="10.140625" customWidth="true" style="232"/>
    <col min="5629" max="5629" width="10.140625" customWidth="true" style="232"/>
    <col min="5630" max="5630" width="11" style="232"/>
    <col min="5631" max="5631" width="11" style="232"/>
    <col min="5632" max="5632" width="11" style="232"/>
    <col min="5633" max="5633" width="11" style="232"/>
    <col min="5634" max="5634" width="11" style="232"/>
    <col min="5635" max="5635" width="11" style="232"/>
    <col min="5636" max="5636" width="11" style="232"/>
    <col min="5637" max="5637" width="11" style="232"/>
    <col min="5638" max="5638" width="11" style="232"/>
    <col min="5639" max="5639" width="11" style="232"/>
    <col min="5640" max="5640" width="11" style="232"/>
    <col min="5641" max="5641" width="11" style="232"/>
    <col min="5642" max="5642" width="11" style="232"/>
    <col min="5643" max="5643" width="11" style="232"/>
    <col min="5644" max="5644" width="11" style="232"/>
    <col min="5645" max="5645" width="11" style="232"/>
    <col min="5646" max="5646" width="11" style="232"/>
    <col min="5647" max="5647" width="11" style="232"/>
    <col min="5648" max="5648" width="11" style="232"/>
    <col min="5649" max="5649" width="11" style="232"/>
    <col min="5650" max="5650" width="11" style="232"/>
    <col min="5651" max="5651" width="11" style="232"/>
    <col min="5652" max="5652" width="11" style="232"/>
    <col min="5653" max="5653" width="11" style="232"/>
    <col min="5654" max="5654" width="11" style="232"/>
    <col min="5655" max="5655" width="11" style="232"/>
    <col min="5656" max="5656" width="11" style="232"/>
    <col min="5657" max="5657" width="11" style="232"/>
    <col min="5658" max="5658" width="11" style="232"/>
    <col min="5659" max="5659" width="11" style="232"/>
    <col min="5660" max="5660" width="11" style="232"/>
    <col min="5661" max="5661" width="11" style="232"/>
    <col min="5662" max="5662" width="11" style="232"/>
    <col min="5663" max="5663" width="11" style="232"/>
    <col min="5664" max="5664" width="11" style="232"/>
    <col min="5665" max="5665" width="11" style="232"/>
    <col min="5666" max="5666" width="11" style="232"/>
    <col min="5667" max="5667" width="11" style="232"/>
    <col min="5668" max="5668" width="11" style="232"/>
    <col min="5669" max="5669" width="11" style="232"/>
    <col min="5670" max="5670" width="11" style="232"/>
    <col min="5671" max="5671" width="11" style="232"/>
    <col min="5672" max="5672" width="11" style="232"/>
    <col min="5673" max="5673" width="11" style="232"/>
    <col min="5674" max="5674" width="11" style="232"/>
    <col min="5675" max="5675" width="11" style="232"/>
    <col min="5676" max="5676" width="11" style="232"/>
    <col min="5677" max="5677" width="11" style="232"/>
    <col min="5678" max="5678" width="11" style="232"/>
    <col min="5679" max="5679" width="11" style="232"/>
    <col min="5680" max="5680" width="11" style="232"/>
    <col min="5681" max="5681" width="11" style="232"/>
    <col min="5682" max="5682" width="11" style="232"/>
    <col min="5683" max="5683" width="11" style="232"/>
    <col min="5684" max="5684" width="11" style="232"/>
    <col min="5685" max="5685" width="11" style="232"/>
    <col min="5686" max="5686" width="11" style="232"/>
    <col min="5687" max="5687" width="11" style="232"/>
    <col min="5688" max="5688" width="11" style="232"/>
    <col min="5689" max="5689" width="11" style="232"/>
    <col min="5690" max="5690" width="11" style="232"/>
    <col min="5691" max="5691" width="11" style="232"/>
    <col min="5692" max="5692" width="11" style="232"/>
    <col min="5693" max="5693" width="11" style="232"/>
    <col min="5694" max="5694" width="11" style="232"/>
    <col min="5695" max="5695" width="11" style="232"/>
    <col min="5696" max="5696" width="11" style="232"/>
    <col min="5697" max="5697" width="11" style="232"/>
    <col min="5698" max="5698" width="11" style="232"/>
    <col min="5699" max="5699" width="11" style="232"/>
    <col min="5700" max="5700" width="11" style="232"/>
    <col min="5701" max="5701" width="11" style="232"/>
    <col min="5702" max="5702" width="11" style="232"/>
    <col min="5703" max="5703" width="11" style="232"/>
    <col min="5704" max="5704" width="11" style="232"/>
    <col min="5705" max="5705" width="11" style="232"/>
    <col min="5706" max="5706" width="11" style="232"/>
    <col min="5707" max="5707" width="11" style="232"/>
    <col min="5708" max="5708" width="11" style="232"/>
    <col min="5709" max="5709" width="11" style="232"/>
    <col min="5710" max="5710" width="11" style="232"/>
    <col min="5711" max="5711" width="11" style="232"/>
    <col min="5712" max="5712" width="11" style="232"/>
    <col min="5713" max="5713" width="11" style="232"/>
    <col min="5714" max="5714" width="11" style="232"/>
    <col min="5715" max="5715" width="11" style="232"/>
    <col min="5716" max="5716" width="11" style="232"/>
    <col min="5717" max="5717" width="11" style="232"/>
    <col min="5718" max="5718" width="11" style="232"/>
    <col min="5719" max="5719" width="11" style="232"/>
    <col min="5720" max="5720" width="11" style="232"/>
    <col min="5721" max="5721" width="11" style="232"/>
    <col min="5722" max="5722" width="11" style="232"/>
    <col min="5723" max="5723" width="11" style="232"/>
    <col min="5724" max="5724" width="11" style="232"/>
    <col min="5725" max="5725" width="11" style="232"/>
    <col min="5726" max="5726" width="11" style="232"/>
    <col min="5727" max="5727" width="11" style="232"/>
    <col min="5728" max="5728" width="11" style="232"/>
    <col min="5729" max="5729" width="11" style="232"/>
    <col min="5730" max="5730" width="11" style="232"/>
    <col min="5731" max="5731" width="11" style="232"/>
    <col min="5732" max="5732" width="11" style="232"/>
    <col min="5733" max="5733" width="11" style="232"/>
    <col min="5734" max="5734" width="11" style="232"/>
    <col min="5735" max="5735" width="11" style="232"/>
    <col min="5736" max="5736" width="11" style="232"/>
    <col min="5737" max="5737" width="11" style="232"/>
    <col min="5738" max="5738" width="11" style="232"/>
    <col min="5739" max="5739" width="11" style="232"/>
    <col min="5740" max="5740" width="11" style="232"/>
    <col min="5741" max="5741" width="11" style="232"/>
    <col min="5742" max="5742" width="11" style="232"/>
    <col min="5743" max="5743" width="11" style="232"/>
    <col min="5744" max="5744" width="11" style="232"/>
    <col min="5745" max="5745" width="11" style="232"/>
    <col min="5746" max="5746" width="11" style="232"/>
    <col min="5747" max="5747" width="11" style="232"/>
    <col min="5748" max="5748" width="11" style="232"/>
    <col min="5749" max="5749" width="11" style="232"/>
    <col min="5750" max="5750" width="11" style="232"/>
    <col min="5751" max="5751" width="11" style="232"/>
    <col min="5752" max="5752" width="11" style="232"/>
    <col min="5753" max="5753" width="11" style="232"/>
    <col min="5754" max="5754" width="11" style="232"/>
    <col min="5755" max="5755" width="11" style="232"/>
    <col min="5756" max="5756" width="11" style="232"/>
    <col min="5757" max="5757" width="11" style="232"/>
    <col min="5758" max="5758" width="11" style="232"/>
    <col min="5759" max="5759" width="11" style="232"/>
    <col min="5760" max="5760" width="11" style="232"/>
    <col min="5761" max="5761" width="11" style="232"/>
    <col min="5762" max="5762" width="11" style="232"/>
    <col min="5763" max="5763" width="11" style="232"/>
    <col min="5764" max="5764" width="11" style="232"/>
    <col min="5765" max="5765" width="11" style="232"/>
    <col min="5766" max="5766" width="11" style="232"/>
    <col min="5767" max="5767" width="11" style="232"/>
    <col min="5768" max="5768" width="11" style="232"/>
    <col min="5769" max="5769" width="11" style="232"/>
    <col min="5770" max="5770" width="11" style="232"/>
    <col min="5771" max="5771" width="11" style="232"/>
    <col min="5772" max="5772" width="11" style="232"/>
    <col min="5773" max="5773" width="11" style="232"/>
    <col min="5774" max="5774" width="11" style="232"/>
    <col min="5775" max="5775" width="11" style="232"/>
    <col min="5776" max="5776" width="11" style="232"/>
    <col min="5777" max="5777" width="11" style="232"/>
    <col min="5778" max="5778" width="11" style="232"/>
    <col min="5779" max="5779" width="11" style="232"/>
    <col min="5780" max="5780" width="11" style="232"/>
    <col min="5781" max="5781" width="11" style="232"/>
    <col min="5782" max="5782" width="11" style="232"/>
    <col min="5783" max="5783" width="11" style="232"/>
    <col min="5784" max="5784" width="11" style="232"/>
    <col min="5785" max="5785" width="11" style="232"/>
    <col min="5786" max="5786" width="11" style="232"/>
    <col min="5787" max="5787" width="11" style="232"/>
    <col min="5788" max="5788" width="11" style="232"/>
    <col min="5789" max="5789" width="11" style="232"/>
    <col min="5790" max="5790" width="11" style="232"/>
    <col min="5791" max="5791" width="11" style="232"/>
    <col min="5792" max="5792" width="11" style="232"/>
    <col min="5793" max="5793" width="11" style="232"/>
    <col min="5794" max="5794" width="11" style="232"/>
    <col min="5795" max="5795" width="11" style="232"/>
    <col min="5796" max="5796" width="11" style="232"/>
    <col min="5797" max="5797" width="11" style="232"/>
    <col min="5798" max="5798" width="11" style="232"/>
    <col min="5799" max="5799" width="11" style="232"/>
    <col min="5800" max="5800" width="11" style="232"/>
    <col min="5801" max="5801" width="11" style="232"/>
    <col min="5802" max="5802" width="11" style="232"/>
    <col min="5803" max="5803" width="11" style="232"/>
    <col min="5804" max="5804" width="11" style="232"/>
    <col min="5805" max="5805" width="11" style="232"/>
    <col min="5806" max="5806" width="11" style="232"/>
    <col min="5807" max="5807" width="11" style="232"/>
    <col min="5808" max="5808" width="11" style="232"/>
    <col min="5809" max="5809" width="11" style="232"/>
    <col min="5810" max="5810" width="11" style="232"/>
    <col min="5811" max="5811" width="11" style="232"/>
    <col min="5812" max="5812" width="11" style="232"/>
    <col min="5813" max="5813" width="11" style="232"/>
    <col min="5814" max="5814" width="11" style="232"/>
    <col min="5815" max="5815" width="11" style="232"/>
    <col min="5816" max="5816" width="11" style="232"/>
    <col min="5817" max="5817" width="11" style="232"/>
    <col min="5818" max="5818" width="11" style="232"/>
    <col min="5819" max="5819" width="11" style="232"/>
    <col min="5820" max="5820" width="11" style="232"/>
    <col min="5821" max="5821" width="11" style="232"/>
    <col min="5822" max="5822" width="11" style="232"/>
    <col min="5823" max="5823" width="11" style="232"/>
    <col min="5824" max="5824" width="11" style="232"/>
    <col min="5825" max="5825" width="11" style="232"/>
    <col min="5826" max="5826" width="11" style="232"/>
    <col min="5827" max="5827" width="11" style="232"/>
    <col min="5828" max="5828" width="11" style="232"/>
    <col min="5829" max="5829" width="11" style="232"/>
    <col min="5830" max="5830" width="11" style="232"/>
    <col min="5831" max="5831" width="11" style="232"/>
    <col min="5832" max="5832" width="11" style="232"/>
    <col min="5833" max="5833" width="11" style="232"/>
    <col min="5834" max="5834" width="11" style="232"/>
    <col min="5835" max="5835" width="11" style="232"/>
    <col min="5836" max="5836" width="11" style="232"/>
    <col min="5837" max="5837" width="11" style="232"/>
    <col min="5838" max="5838" width="11" style="232"/>
    <col min="5839" max="5839" width="11" style="232"/>
    <col min="5840" max="5840" width="11" style="232"/>
    <col min="5841" max="5841" width="11" style="232"/>
    <col min="5842" max="5842" width="11" style="232"/>
    <col min="5843" max="5843" width="11" style="232"/>
    <col min="5844" max="5844" width="11" style="232"/>
    <col min="5845" max="5845" width="11" style="232"/>
    <col min="5846" max="5846" width="11" style="232"/>
    <col min="5847" max="5847" width="11" style="232"/>
    <col min="5848" max="5848" width="11" style="232"/>
    <col min="5849" max="5849" width="11" style="232"/>
    <col min="5850" max="5850" width="11" style="232"/>
    <col min="5851" max="5851" width="11" style="232"/>
    <col min="5852" max="5852" width="11" style="232"/>
    <col min="5853" max="5853" width="11" style="232"/>
    <col min="5854" max="5854" width="11" style="232"/>
    <col min="5855" max="5855" width="11" style="232"/>
    <col min="5856" max="5856" width="11" style="232"/>
    <col min="5857" max="5857" width="11" style="232"/>
    <col min="5858" max="5858" width="11" style="232"/>
    <col min="5859" max="5859" width="11" style="232"/>
    <col min="5860" max="5860" width="11" style="232"/>
    <col min="5861" max="5861" width="11" style="232"/>
    <col min="5862" max="5862" width="11" style="232"/>
    <col min="5863" max="5863" width="11" style="232"/>
    <col min="5864" max="5864" width="11" style="232"/>
    <col min="5865" max="5865" width="11" style="232"/>
    <col min="5866" max="5866" width="11" style="232"/>
    <col min="5867" max="5867" width="11" style="232"/>
    <col min="5868" max="5868" width="11" style="232"/>
    <col min="5869" max="5869" width="11" style="232"/>
    <col min="5870" max="5870" width="11" style="232"/>
    <col min="5871" max="5871" width="11" style="232"/>
    <col min="5872" max="5872" width="11" style="232"/>
    <col min="5873" max="5873" width="11" style="232"/>
    <col min="5874" max="5874" width="11" style="232"/>
    <col min="5875" max="5875" width="11" style="232"/>
    <col min="5876" max="5876" width="11" style="232"/>
    <col min="5877" max="5877" width="10.140625" customWidth="true" style="232"/>
    <col min="5878" max="5878" width="10.140625" customWidth="true" style="232"/>
    <col min="5879" max="5879" width="10.140625" customWidth="true" style="232"/>
    <col min="5880" max="5880" width="10.140625" customWidth="true" style="232"/>
    <col min="5881" max="5881" width="10.140625" customWidth="true" style="232"/>
    <col min="5882" max="5882" width="10.140625" customWidth="true" style="232"/>
    <col min="5883" max="5883" width="10.140625" customWidth="true" style="232"/>
    <col min="5884" max="5884" width="10.140625" customWidth="true" style="232"/>
    <col min="5885" max="5885" width="10.140625" customWidth="true" style="232"/>
    <col min="5886" max="5886" width="11" style="232"/>
    <col min="5887" max="5887" width="11" style="232"/>
    <col min="5888" max="5888" width="11" style="232"/>
    <col min="5889" max="5889" width="11" style="232"/>
    <col min="5890" max="5890" width="11" style="232"/>
    <col min="5891" max="5891" width="11" style="232"/>
    <col min="5892" max="5892" width="11" style="232"/>
    <col min="5893" max="5893" width="11" style="232"/>
    <col min="5894" max="5894" width="11" style="232"/>
    <col min="5895" max="5895" width="11" style="232"/>
    <col min="5896" max="5896" width="11" style="232"/>
    <col min="5897" max="5897" width="11" style="232"/>
    <col min="5898" max="5898" width="11" style="232"/>
    <col min="5899" max="5899" width="11" style="232"/>
    <col min="5900" max="5900" width="11" style="232"/>
    <col min="5901" max="5901" width="11" style="232"/>
    <col min="5902" max="5902" width="11" style="232"/>
    <col min="5903" max="5903" width="11" style="232"/>
    <col min="5904" max="5904" width="11" style="232"/>
    <col min="5905" max="5905" width="11" style="232"/>
    <col min="5906" max="5906" width="11" style="232"/>
    <col min="5907" max="5907" width="11" style="232"/>
    <col min="5908" max="5908" width="11" style="232"/>
    <col min="5909" max="5909" width="11" style="232"/>
    <col min="5910" max="5910" width="11" style="232"/>
    <col min="5911" max="5911" width="11" style="232"/>
    <col min="5912" max="5912" width="11" style="232"/>
    <col min="5913" max="5913" width="11" style="232"/>
    <col min="5914" max="5914" width="11" style="232"/>
    <col min="5915" max="5915" width="11" style="232"/>
    <col min="5916" max="5916" width="11" style="232"/>
    <col min="5917" max="5917" width="11" style="232"/>
    <col min="5918" max="5918" width="11" style="232"/>
    <col min="5919" max="5919" width="11" style="232"/>
    <col min="5920" max="5920" width="11" style="232"/>
    <col min="5921" max="5921" width="11" style="232"/>
    <col min="5922" max="5922" width="11" style="232"/>
    <col min="5923" max="5923" width="11" style="232"/>
    <col min="5924" max="5924" width="11" style="232"/>
    <col min="5925" max="5925" width="11" style="232"/>
    <col min="5926" max="5926" width="11" style="232"/>
    <col min="5927" max="5927" width="11" style="232"/>
    <col min="5928" max="5928" width="11" style="232"/>
    <col min="5929" max="5929" width="11" style="232"/>
    <col min="5930" max="5930" width="11" style="232"/>
    <col min="5931" max="5931" width="11" style="232"/>
    <col min="5932" max="5932" width="11" style="232"/>
    <col min="5933" max="5933" width="11" style="232"/>
    <col min="5934" max="5934" width="11" style="232"/>
    <col min="5935" max="5935" width="11" style="232"/>
    <col min="5936" max="5936" width="11" style="232"/>
    <col min="5937" max="5937" width="11" style="232"/>
    <col min="5938" max="5938" width="11" style="232"/>
    <col min="5939" max="5939" width="11" style="232"/>
    <col min="5940" max="5940" width="11" style="232"/>
    <col min="5941" max="5941" width="11" style="232"/>
    <col min="5942" max="5942" width="11" style="232"/>
    <col min="5943" max="5943" width="11" style="232"/>
    <col min="5944" max="5944" width="11" style="232"/>
    <col min="5945" max="5945" width="11" style="232"/>
    <col min="5946" max="5946" width="11" style="232"/>
    <col min="5947" max="5947" width="11" style="232"/>
    <col min="5948" max="5948" width="11" style="232"/>
    <col min="5949" max="5949" width="11" style="232"/>
    <col min="5950" max="5950" width="11" style="232"/>
    <col min="5951" max="5951" width="11" style="232"/>
    <col min="5952" max="5952" width="11" style="232"/>
    <col min="5953" max="5953" width="11" style="232"/>
    <col min="5954" max="5954" width="11" style="232"/>
    <col min="5955" max="5955" width="11" style="232"/>
    <col min="5956" max="5956" width="11" style="232"/>
    <col min="5957" max="5957" width="11" style="232"/>
    <col min="5958" max="5958" width="11" style="232"/>
    <col min="5959" max="5959" width="11" style="232"/>
    <col min="5960" max="5960" width="11" style="232"/>
    <col min="5961" max="5961" width="11" style="232"/>
    <col min="5962" max="5962" width="11" style="232"/>
    <col min="5963" max="5963" width="11" style="232"/>
    <col min="5964" max="5964" width="11" style="232"/>
    <col min="5965" max="5965" width="11" style="232"/>
    <col min="5966" max="5966" width="11" style="232"/>
    <col min="5967" max="5967" width="11" style="232"/>
    <col min="5968" max="5968" width="11" style="232"/>
    <col min="5969" max="5969" width="11" style="232"/>
    <col min="5970" max="5970" width="11" style="232"/>
    <col min="5971" max="5971" width="11" style="232"/>
    <col min="5972" max="5972" width="11" style="232"/>
    <col min="5973" max="5973" width="11" style="232"/>
    <col min="5974" max="5974" width="11" style="232"/>
    <col min="5975" max="5975" width="11" style="232"/>
    <col min="5976" max="5976" width="11" style="232"/>
    <col min="5977" max="5977" width="11" style="232"/>
    <col min="5978" max="5978" width="11" style="232"/>
    <col min="5979" max="5979" width="11" style="232"/>
    <col min="5980" max="5980" width="11" style="232"/>
    <col min="5981" max="5981" width="11" style="232"/>
    <col min="5982" max="5982" width="11" style="232"/>
    <col min="5983" max="5983" width="11" style="232"/>
    <col min="5984" max="5984" width="11" style="232"/>
    <col min="5985" max="5985" width="11" style="232"/>
    <col min="5986" max="5986" width="11" style="232"/>
    <col min="5987" max="5987" width="11" style="232"/>
    <col min="5988" max="5988" width="11" style="232"/>
    <col min="5989" max="5989" width="11" style="232"/>
    <col min="5990" max="5990" width="11" style="232"/>
    <col min="5991" max="5991" width="11" style="232"/>
    <col min="5992" max="5992" width="11" style="232"/>
    <col min="5993" max="5993" width="11" style="232"/>
    <col min="5994" max="5994" width="11" style="232"/>
    <col min="5995" max="5995" width="11" style="232"/>
    <col min="5996" max="5996" width="11" style="232"/>
    <col min="5997" max="5997" width="11" style="232"/>
    <col min="5998" max="5998" width="11" style="232"/>
    <col min="5999" max="5999" width="11" style="232"/>
    <col min="6000" max="6000" width="11" style="232"/>
    <col min="6001" max="6001" width="11" style="232"/>
    <col min="6002" max="6002" width="11" style="232"/>
    <col min="6003" max="6003" width="11" style="232"/>
    <col min="6004" max="6004" width="11" style="232"/>
    <col min="6005" max="6005" width="11" style="232"/>
    <col min="6006" max="6006" width="11" style="232"/>
    <col min="6007" max="6007" width="11" style="232"/>
    <col min="6008" max="6008" width="11" style="232"/>
    <col min="6009" max="6009" width="11" style="232"/>
    <col min="6010" max="6010" width="11" style="232"/>
    <col min="6011" max="6011" width="11" style="232"/>
    <col min="6012" max="6012" width="11" style="232"/>
    <col min="6013" max="6013" width="11" style="232"/>
    <col min="6014" max="6014" width="11" style="232"/>
    <col min="6015" max="6015" width="11" style="232"/>
    <col min="6016" max="6016" width="11" style="232"/>
    <col min="6017" max="6017" width="11" style="232"/>
    <col min="6018" max="6018" width="11" style="232"/>
    <col min="6019" max="6019" width="11" style="232"/>
    <col min="6020" max="6020" width="11" style="232"/>
    <col min="6021" max="6021" width="11" style="232"/>
    <col min="6022" max="6022" width="11" style="232"/>
    <col min="6023" max="6023" width="11" style="232"/>
    <col min="6024" max="6024" width="11" style="232"/>
    <col min="6025" max="6025" width="11" style="232"/>
    <col min="6026" max="6026" width="11" style="232"/>
    <col min="6027" max="6027" width="11" style="232"/>
    <col min="6028" max="6028" width="11" style="232"/>
    <col min="6029" max="6029" width="11" style="232"/>
    <col min="6030" max="6030" width="11" style="232"/>
    <col min="6031" max="6031" width="11" style="232"/>
    <col min="6032" max="6032" width="11" style="232"/>
    <col min="6033" max="6033" width="11" style="232"/>
    <col min="6034" max="6034" width="11" style="232"/>
    <col min="6035" max="6035" width="11" style="232"/>
    <col min="6036" max="6036" width="11" style="232"/>
    <col min="6037" max="6037" width="11" style="232"/>
    <col min="6038" max="6038" width="11" style="232"/>
    <col min="6039" max="6039" width="11" style="232"/>
    <col min="6040" max="6040" width="11" style="232"/>
    <col min="6041" max="6041" width="11" style="232"/>
    <col min="6042" max="6042" width="11" style="232"/>
    <col min="6043" max="6043" width="11" style="232"/>
    <col min="6044" max="6044" width="11" style="232"/>
    <col min="6045" max="6045" width="11" style="232"/>
    <col min="6046" max="6046" width="11" style="232"/>
    <col min="6047" max="6047" width="11" style="232"/>
    <col min="6048" max="6048" width="11" style="232"/>
    <col min="6049" max="6049" width="11" style="232"/>
    <col min="6050" max="6050" width="11" style="232"/>
    <col min="6051" max="6051" width="11" style="232"/>
    <col min="6052" max="6052" width="11" style="232"/>
    <col min="6053" max="6053" width="11" style="232"/>
    <col min="6054" max="6054" width="11" style="232"/>
    <col min="6055" max="6055" width="11" style="232"/>
    <col min="6056" max="6056" width="11" style="232"/>
    <col min="6057" max="6057" width="11" style="232"/>
    <col min="6058" max="6058" width="11" style="232"/>
    <col min="6059" max="6059" width="11" style="232"/>
    <col min="6060" max="6060" width="11" style="232"/>
    <col min="6061" max="6061" width="11" style="232"/>
    <col min="6062" max="6062" width="11" style="232"/>
    <col min="6063" max="6063" width="11" style="232"/>
    <col min="6064" max="6064" width="11" style="232"/>
    <col min="6065" max="6065" width="11" style="232"/>
    <col min="6066" max="6066" width="11" style="232"/>
    <col min="6067" max="6067" width="11" style="232"/>
    <col min="6068" max="6068" width="11" style="232"/>
    <col min="6069" max="6069" width="11" style="232"/>
    <col min="6070" max="6070" width="11" style="232"/>
    <col min="6071" max="6071" width="11" style="232"/>
    <col min="6072" max="6072" width="11" style="232"/>
    <col min="6073" max="6073" width="11" style="232"/>
    <col min="6074" max="6074" width="11" style="232"/>
    <col min="6075" max="6075" width="11" style="232"/>
    <col min="6076" max="6076" width="11" style="232"/>
    <col min="6077" max="6077" width="11" style="232"/>
    <col min="6078" max="6078" width="11" style="232"/>
    <col min="6079" max="6079" width="11" style="232"/>
    <col min="6080" max="6080" width="11" style="232"/>
    <col min="6081" max="6081" width="11" style="232"/>
    <col min="6082" max="6082" width="11" style="232"/>
    <col min="6083" max="6083" width="11" style="232"/>
    <col min="6084" max="6084" width="11" style="232"/>
    <col min="6085" max="6085" width="11" style="232"/>
    <col min="6086" max="6086" width="11" style="232"/>
    <col min="6087" max="6087" width="11" style="232"/>
    <col min="6088" max="6088" width="11" style="232"/>
    <col min="6089" max="6089" width="11" style="232"/>
    <col min="6090" max="6090" width="11" style="232"/>
    <col min="6091" max="6091" width="11" style="232"/>
    <col min="6092" max="6092" width="11" style="232"/>
    <col min="6093" max="6093" width="11" style="232"/>
    <col min="6094" max="6094" width="11" style="232"/>
    <col min="6095" max="6095" width="11" style="232"/>
    <col min="6096" max="6096" width="11" style="232"/>
    <col min="6097" max="6097" width="11" style="232"/>
    <col min="6098" max="6098" width="11" style="232"/>
    <col min="6099" max="6099" width="11" style="232"/>
    <col min="6100" max="6100" width="11" style="232"/>
    <col min="6101" max="6101" width="11" style="232"/>
    <col min="6102" max="6102" width="11" style="232"/>
    <col min="6103" max="6103" width="11" style="232"/>
    <col min="6104" max="6104" width="11" style="232"/>
    <col min="6105" max="6105" width="11" style="232"/>
    <col min="6106" max="6106" width="11" style="232"/>
    <col min="6107" max="6107" width="11" style="232"/>
    <col min="6108" max="6108" width="11" style="232"/>
    <col min="6109" max="6109" width="11" style="232"/>
    <col min="6110" max="6110" width="11" style="232"/>
    <col min="6111" max="6111" width="11" style="232"/>
    <col min="6112" max="6112" width="11" style="232"/>
    <col min="6113" max="6113" width="11" style="232"/>
    <col min="6114" max="6114" width="11" style="232"/>
    <col min="6115" max="6115" width="11" style="232"/>
    <col min="6116" max="6116" width="11" style="232"/>
    <col min="6117" max="6117" width="11" style="232"/>
    <col min="6118" max="6118" width="11" style="232"/>
    <col min="6119" max="6119" width="11" style="232"/>
    <col min="6120" max="6120" width="11" style="232"/>
    <col min="6121" max="6121" width="11" style="232"/>
    <col min="6122" max="6122" width="11" style="232"/>
    <col min="6123" max="6123" width="11" style="232"/>
    <col min="6124" max="6124" width="11" style="232"/>
    <col min="6125" max="6125" width="11" style="232"/>
    <col min="6126" max="6126" width="11" style="232"/>
    <col min="6127" max="6127" width="11" style="232"/>
    <col min="6128" max="6128" width="11" style="232"/>
    <col min="6129" max="6129" width="11" style="232"/>
    <col min="6130" max="6130" width="11" style="232"/>
    <col min="6131" max="6131" width="11" style="232"/>
    <col min="6132" max="6132" width="11" style="232"/>
    <col min="6133" max="6133" width="10.140625" customWidth="true" style="232"/>
    <col min="6134" max="6134" width="10.140625" customWidth="true" style="232"/>
    <col min="6135" max="6135" width="10.140625" customWidth="true" style="232"/>
    <col min="6136" max="6136" width="10.140625" customWidth="true" style="232"/>
    <col min="6137" max="6137" width="10.140625" customWidth="true" style="232"/>
    <col min="6138" max="6138" width="10.140625" customWidth="true" style="232"/>
    <col min="6139" max="6139" width="10.140625" customWidth="true" style="232"/>
    <col min="6140" max="6140" width="10.140625" customWidth="true" style="232"/>
    <col min="6141" max="6141" width="10.140625" customWidth="true" style="232"/>
    <col min="6142" max="6142" width="11" style="232"/>
    <col min="6143" max="6143" width="11" style="232"/>
    <col min="6144" max="6144" width="11" style="232"/>
    <col min="6145" max="6145" width="11" style="232"/>
    <col min="6146" max="6146" width="11" style="232"/>
    <col min="6147" max="6147" width="11" style="232"/>
    <col min="6148" max="6148" width="11" style="232"/>
    <col min="6149" max="6149" width="11" style="232"/>
    <col min="6150" max="6150" width="11" style="232"/>
    <col min="6151" max="6151" width="11" style="232"/>
    <col min="6152" max="6152" width="11" style="232"/>
    <col min="6153" max="6153" width="11" style="232"/>
    <col min="6154" max="6154" width="11" style="232"/>
    <col min="6155" max="6155" width="11" style="232"/>
    <col min="6156" max="6156" width="11" style="232"/>
    <col min="6157" max="6157" width="11" style="232"/>
    <col min="6158" max="6158" width="11" style="232"/>
    <col min="6159" max="6159" width="11" style="232"/>
    <col min="6160" max="6160" width="11" style="232"/>
    <col min="6161" max="6161" width="11" style="232"/>
    <col min="6162" max="6162" width="11" style="232"/>
    <col min="6163" max="6163" width="11" style="232"/>
    <col min="6164" max="6164" width="11" style="232"/>
    <col min="6165" max="6165" width="11" style="232"/>
    <col min="6166" max="6166" width="11" style="232"/>
    <col min="6167" max="6167" width="11" style="232"/>
    <col min="6168" max="6168" width="11" style="232"/>
    <col min="6169" max="6169" width="11" style="232"/>
    <col min="6170" max="6170" width="11" style="232"/>
    <col min="6171" max="6171" width="11" style="232"/>
    <col min="6172" max="6172" width="11" style="232"/>
    <col min="6173" max="6173" width="11" style="232"/>
    <col min="6174" max="6174" width="11" style="232"/>
    <col min="6175" max="6175" width="11" style="232"/>
    <col min="6176" max="6176" width="11" style="232"/>
    <col min="6177" max="6177" width="11" style="232"/>
    <col min="6178" max="6178" width="11" style="232"/>
    <col min="6179" max="6179" width="11" style="232"/>
    <col min="6180" max="6180" width="11" style="232"/>
    <col min="6181" max="6181" width="11" style="232"/>
    <col min="6182" max="6182" width="11" style="232"/>
    <col min="6183" max="6183" width="11" style="232"/>
    <col min="6184" max="6184" width="11" style="232"/>
    <col min="6185" max="6185" width="11" style="232"/>
    <col min="6186" max="6186" width="11" style="232"/>
    <col min="6187" max="6187" width="11" style="232"/>
    <col min="6188" max="6188" width="11" style="232"/>
    <col min="6189" max="6189" width="11" style="232"/>
    <col min="6190" max="6190" width="11" style="232"/>
    <col min="6191" max="6191" width="11" style="232"/>
    <col min="6192" max="6192" width="11" style="232"/>
    <col min="6193" max="6193" width="11" style="232"/>
    <col min="6194" max="6194" width="11" style="232"/>
    <col min="6195" max="6195" width="11" style="232"/>
    <col min="6196" max="6196" width="11" style="232"/>
    <col min="6197" max="6197" width="11" style="232"/>
    <col min="6198" max="6198" width="11" style="232"/>
    <col min="6199" max="6199" width="11" style="232"/>
    <col min="6200" max="6200" width="11" style="232"/>
    <col min="6201" max="6201" width="11" style="232"/>
    <col min="6202" max="6202" width="11" style="232"/>
    <col min="6203" max="6203" width="11" style="232"/>
    <col min="6204" max="6204" width="11" style="232"/>
    <col min="6205" max="6205" width="11" style="232"/>
    <col min="6206" max="6206" width="11" style="232"/>
    <col min="6207" max="6207" width="11" style="232"/>
    <col min="6208" max="6208" width="11" style="232"/>
    <col min="6209" max="6209" width="11" style="232"/>
    <col min="6210" max="6210" width="11" style="232"/>
    <col min="6211" max="6211" width="11" style="232"/>
    <col min="6212" max="6212" width="11" style="232"/>
    <col min="6213" max="6213" width="11" style="232"/>
    <col min="6214" max="6214" width="11" style="232"/>
    <col min="6215" max="6215" width="11" style="232"/>
    <col min="6216" max="6216" width="11" style="232"/>
    <col min="6217" max="6217" width="11" style="232"/>
    <col min="6218" max="6218" width="11" style="232"/>
    <col min="6219" max="6219" width="11" style="232"/>
    <col min="6220" max="6220" width="11" style="232"/>
    <col min="6221" max="6221" width="11" style="232"/>
    <col min="6222" max="6222" width="11" style="232"/>
    <col min="6223" max="6223" width="11" style="232"/>
    <col min="6224" max="6224" width="11" style="232"/>
    <col min="6225" max="6225" width="11" style="232"/>
    <col min="6226" max="6226" width="11" style="232"/>
    <col min="6227" max="6227" width="11" style="232"/>
    <col min="6228" max="6228" width="11" style="232"/>
    <col min="6229" max="6229" width="11" style="232"/>
    <col min="6230" max="6230" width="11" style="232"/>
    <col min="6231" max="6231" width="11" style="232"/>
    <col min="6232" max="6232" width="11" style="232"/>
    <col min="6233" max="6233" width="11" style="232"/>
    <col min="6234" max="6234" width="11" style="232"/>
    <col min="6235" max="6235" width="11" style="232"/>
    <col min="6236" max="6236" width="11" style="232"/>
    <col min="6237" max="6237" width="11" style="232"/>
    <col min="6238" max="6238" width="11" style="232"/>
    <col min="6239" max="6239" width="11" style="232"/>
    <col min="6240" max="6240" width="11" style="232"/>
    <col min="6241" max="6241" width="11" style="232"/>
    <col min="6242" max="6242" width="11" style="232"/>
    <col min="6243" max="6243" width="11" style="232"/>
    <col min="6244" max="6244" width="11" style="232"/>
    <col min="6245" max="6245" width="11" style="232"/>
    <col min="6246" max="6246" width="11" style="232"/>
    <col min="6247" max="6247" width="11" style="232"/>
    <col min="6248" max="6248" width="11" style="232"/>
    <col min="6249" max="6249" width="11" style="232"/>
    <col min="6250" max="6250" width="11" style="232"/>
    <col min="6251" max="6251" width="11" style="232"/>
    <col min="6252" max="6252" width="11" style="232"/>
    <col min="6253" max="6253" width="11" style="232"/>
    <col min="6254" max="6254" width="11" style="232"/>
    <col min="6255" max="6255" width="11" style="232"/>
    <col min="6256" max="6256" width="11" style="232"/>
    <col min="6257" max="6257" width="11" style="232"/>
    <col min="6258" max="6258" width="11" style="232"/>
    <col min="6259" max="6259" width="11" style="232"/>
    <col min="6260" max="6260" width="11" style="232"/>
    <col min="6261" max="6261" width="11" style="232"/>
    <col min="6262" max="6262" width="11" style="232"/>
    <col min="6263" max="6263" width="11" style="232"/>
    <col min="6264" max="6264" width="11" style="232"/>
    <col min="6265" max="6265" width="11" style="232"/>
    <col min="6266" max="6266" width="11" style="232"/>
    <col min="6267" max="6267" width="11" style="232"/>
    <col min="6268" max="6268" width="11" style="232"/>
    <col min="6269" max="6269" width="11" style="232"/>
    <col min="6270" max="6270" width="11" style="232"/>
    <col min="6271" max="6271" width="11" style="232"/>
    <col min="6272" max="6272" width="11" style="232"/>
    <col min="6273" max="6273" width="11" style="232"/>
    <col min="6274" max="6274" width="11" style="232"/>
    <col min="6275" max="6275" width="11" style="232"/>
    <col min="6276" max="6276" width="11" style="232"/>
    <col min="6277" max="6277" width="11" style="232"/>
    <col min="6278" max="6278" width="11" style="232"/>
    <col min="6279" max="6279" width="11" style="232"/>
    <col min="6280" max="6280" width="11" style="232"/>
    <col min="6281" max="6281" width="11" style="232"/>
    <col min="6282" max="6282" width="11" style="232"/>
    <col min="6283" max="6283" width="11" style="232"/>
    <col min="6284" max="6284" width="11" style="232"/>
    <col min="6285" max="6285" width="11" style="232"/>
    <col min="6286" max="6286" width="11" style="232"/>
    <col min="6287" max="6287" width="11" style="232"/>
    <col min="6288" max="6288" width="11" style="232"/>
    <col min="6289" max="6289" width="11" style="232"/>
    <col min="6290" max="6290" width="11" style="232"/>
    <col min="6291" max="6291" width="11" style="232"/>
    <col min="6292" max="6292" width="11" style="232"/>
    <col min="6293" max="6293" width="11" style="232"/>
    <col min="6294" max="6294" width="11" style="232"/>
    <col min="6295" max="6295" width="11" style="232"/>
    <col min="6296" max="6296" width="11" style="232"/>
    <col min="6297" max="6297" width="11" style="232"/>
    <col min="6298" max="6298" width="11" style="232"/>
    <col min="6299" max="6299" width="11" style="232"/>
    <col min="6300" max="6300" width="11" style="232"/>
    <col min="6301" max="6301" width="11" style="232"/>
    <col min="6302" max="6302" width="11" style="232"/>
    <col min="6303" max="6303" width="11" style="232"/>
    <col min="6304" max="6304" width="11" style="232"/>
    <col min="6305" max="6305" width="11" style="232"/>
    <col min="6306" max="6306" width="11" style="232"/>
    <col min="6307" max="6307" width="11" style="232"/>
    <col min="6308" max="6308" width="11" style="232"/>
    <col min="6309" max="6309" width="11" style="232"/>
    <col min="6310" max="6310" width="11" style="232"/>
    <col min="6311" max="6311" width="11" style="232"/>
    <col min="6312" max="6312" width="11" style="232"/>
    <col min="6313" max="6313" width="11" style="232"/>
    <col min="6314" max="6314" width="11" style="232"/>
    <col min="6315" max="6315" width="11" style="232"/>
    <col min="6316" max="6316" width="11" style="232"/>
    <col min="6317" max="6317" width="11" style="232"/>
    <col min="6318" max="6318" width="11" style="232"/>
    <col min="6319" max="6319" width="11" style="232"/>
    <col min="6320" max="6320" width="11" style="232"/>
    <col min="6321" max="6321" width="11" style="232"/>
    <col min="6322" max="6322" width="11" style="232"/>
    <col min="6323" max="6323" width="11" style="232"/>
    <col min="6324" max="6324" width="11" style="232"/>
    <col min="6325" max="6325" width="11" style="232"/>
    <col min="6326" max="6326" width="11" style="232"/>
    <col min="6327" max="6327" width="11" style="232"/>
    <col min="6328" max="6328" width="11" style="232"/>
    <col min="6329" max="6329" width="11" style="232"/>
    <col min="6330" max="6330" width="11" style="232"/>
    <col min="6331" max="6331" width="11" style="232"/>
    <col min="6332" max="6332" width="11" style="232"/>
    <col min="6333" max="6333" width="11" style="232"/>
    <col min="6334" max="6334" width="11" style="232"/>
    <col min="6335" max="6335" width="11" style="232"/>
    <col min="6336" max="6336" width="11" style="232"/>
    <col min="6337" max="6337" width="11" style="232"/>
    <col min="6338" max="6338" width="11" style="232"/>
    <col min="6339" max="6339" width="11" style="232"/>
    <col min="6340" max="6340" width="11" style="232"/>
    <col min="6341" max="6341" width="11" style="232"/>
    <col min="6342" max="6342" width="11" style="232"/>
    <col min="6343" max="6343" width="11" style="232"/>
    <col min="6344" max="6344" width="11" style="232"/>
    <col min="6345" max="6345" width="11" style="232"/>
    <col min="6346" max="6346" width="11" style="232"/>
    <col min="6347" max="6347" width="11" style="232"/>
    <col min="6348" max="6348" width="11" style="232"/>
    <col min="6349" max="6349" width="11" style="232"/>
    <col min="6350" max="6350" width="11" style="232"/>
    <col min="6351" max="6351" width="11" style="232"/>
    <col min="6352" max="6352" width="11" style="232"/>
    <col min="6353" max="6353" width="11" style="232"/>
    <col min="6354" max="6354" width="11" style="232"/>
    <col min="6355" max="6355" width="11" style="232"/>
    <col min="6356" max="6356" width="11" style="232"/>
    <col min="6357" max="6357" width="11" style="232"/>
    <col min="6358" max="6358" width="11" style="232"/>
    <col min="6359" max="6359" width="11" style="232"/>
    <col min="6360" max="6360" width="11" style="232"/>
    <col min="6361" max="6361" width="11" style="232"/>
    <col min="6362" max="6362" width="11" style="232"/>
    <col min="6363" max="6363" width="11" style="232"/>
    <col min="6364" max="6364" width="11" style="232"/>
    <col min="6365" max="6365" width="11" style="232"/>
    <col min="6366" max="6366" width="11" style="232"/>
    <col min="6367" max="6367" width="11" style="232"/>
    <col min="6368" max="6368" width="11" style="232"/>
    <col min="6369" max="6369" width="11" style="232"/>
    <col min="6370" max="6370" width="11" style="232"/>
    <col min="6371" max="6371" width="11" style="232"/>
    <col min="6372" max="6372" width="11" style="232"/>
    <col min="6373" max="6373" width="11" style="232"/>
    <col min="6374" max="6374" width="11" style="232"/>
    <col min="6375" max="6375" width="11" style="232"/>
    <col min="6376" max="6376" width="11" style="232"/>
    <col min="6377" max="6377" width="11" style="232"/>
    <col min="6378" max="6378" width="11" style="232"/>
    <col min="6379" max="6379" width="11" style="232"/>
    <col min="6380" max="6380" width="11" style="232"/>
    <col min="6381" max="6381" width="11" style="232"/>
    <col min="6382" max="6382" width="11" style="232"/>
    <col min="6383" max="6383" width="11" style="232"/>
    <col min="6384" max="6384" width="11" style="232"/>
    <col min="6385" max="6385" width="11" style="232"/>
    <col min="6386" max="6386" width="11" style="232"/>
    <col min="6387" max="6387" width="11" style="232"/>
    <col min="6388" max="6388" width="11" style="232"/>
    <col min="6389" max="6389" width="10.140625" customWidth="true" style="232"/>
    <col min="6390" max="6390" width="10.140625" customWidth="true" style="232"/>
    <col min="6391" max="6391" width="10.140625" customWidth="true" style="232"/>
    <col min="6392" max="6392" width="10.140625" customWidth="true" style="232"/>
    <col min="6393" max="6393" width="10.140625" customWidth="true" style="232"/>
    <col min="6394" max="6394" width="10.140625" customWidth="true" style="232"/>
    <col min="6395" max="6395" width="10.140625" customWidth="true" style="232"/>
    <col min="6396" max="6396" width="10.140625" customWidth="true" style="232"/>
    <col min="6397" max="6397" width="10.140625" customWidth="true" style="232"/>
    <col min="6398" max="6398" width="11" style="232"/>
    <col min="6399" max="6399" width="11" style="232"/>
    <col min="6400" max="6400" width="11" style="232"/>
    <col min="6401" max="6401" width="11" style="232"/>
    <col min="6402" max="6402" width="11" style="232"/>
    <col min="6403" max="6403" width="11" style="232"/>
    <col min="6404" max="6404" width="11" style="232"/>
    <col min="6405" max="6405" width="11" style="232"/>
    <col min="6406" max="6406" width="11" style="232"/>
    <col min="6407" max="6407" width="11" style="232"/>
    <col min="6408" max="6408" width="11" style="232"/>
    <col min="6409" max="6409" width="11" style="232"/>
    <col min="6410" max="6410" width="11" style="232"/>
    <col min="6411" max="6411" width="11" style="232"/>
    <col min="6412" max="6412" width="11" style="232"/>
    <col min="6413" max="6413" width="11" style="232"/>
    <col min="6414" max="6414" width="11" style="232"/>
    <col min="6415" max="6415" width="11" style="232"/>
    <col min="6416" max="6416" width="11" style="232"/>
    <col min="6417" max="6417" width="11" style="232"/>
    <col min="6418" max="6418" width="11" style="232"/>
    <col min="6419" max="6419" width="11" style="232"/>
    <col min="6420" max="6420" width="11" style="232"/>
    <col min="6421" max="6421" width="11" style="232"/>
    <col min="6422" max="6422" width="11" style="232"/>
    <col min="6423" max="6423" width="11" style="232"/>
    <col min="6424" max="6424" width="11" style="232"/>
    <col min="6425" max="6425" width="11" style="232"/>
    <col min="6426" max="6426" width="11" style="232"/>
    <col min="6427" max="6427" width="11" style="232"/>
    <col min="6428" max="6428" width="11" style="232"/>
    <col min="6429" max="6429" width="11" style="232"/>
    <col min="6430" max="6430" width="11" style="232"/>
    <col min="6431" max="6431" width="11" style="232"/>
    <col min="6432" max="6432" width="11" style="232"/>
    <col min="6433" max="6433" width="11" style="232"/>
    <col min="6434" max="6434" width="11" style="232"/>
    <col min="6435" max="6435" width="11" style="232"/>
    <col min="6436" max="6436" width="11" style="232"/>
    <col min="6437" max="6437" width="11" style="232"/>
    <col min="6438" max="6438" width="11" style="232"/>
    <col min="6439" max="6439" width="11" style="232"/>
    <col min="6440" max="6440" width="11" style="232"/>
    <col min="6441" max="6441" width="11" style="232"/>
    <col min="6442" max="6442" width="11" style="232"/>
    <col min="6443" max="6443" width="11" style="232"/>
    <col min="6444" max="6444" width="11" style="232"/>
    <col min="6445" max="6445" width="11" style="232"/>
    <col min="6446" max="6446" width="11" style="232"/>
    <col min="6447" max="6447" width="11" style="232"/>
    <col min="6448" max="6448" width="11" style="232"/>
    <col min="6449" max="6449" width="11" style="232"/>
    <col min="6450" max="6450" width="11" style="232"/>
    <col min="6451" max="6451" width="11" style="232"/>
    <col min="6452" max="6452" width="11" style="232"/>
    <col min="6453" max="6453" width="11" style="232"/>
    <col min="6454" max="6454" width="11" style="232"/>
    <col min="6455" max="6455" width="11" style="232"/>
    <col min="6456" max="6456" width="11" style="232"/>
    <col min="6457" max="6457" width="11" style="232"/>
    <col min="6458" max="6458" width="11" style="232"/>
    <col min="6459" max="6459" width="11" style="232"/>
    <col min="6460" max="6460" width="11" style="232"/>
    <col min="6461" max="6461" width="11" style="232"/>
    <col min="6462" max="6462" width="11" style="232"/>
    <col min="6463" max="6463" width="11" style="232"/>
    <col min="6464" max="6464" width="11" style="232"/>
    <col min="6465" max="6465" width="11" style="232"/>
    <col min="6466" max="6466" width="11" style="232"/>
    <col min="6467" max="6467" width="11" style="232"/>
    <col min="6468" max="6468" width="11" style="232"/>
    <col min="6469" max="6469" width="11" style="232"/>
    <col min="6470" max="6470" width="11" style="232"/>
    <col min="6471" max="6471" width="11" style="232"/>
    <col min="6472" max="6472" width="11" style="232"/>
    <col min="6473" max="6473" width="11" style="232"/>
    <col min="6474" max="6474" width="11" style="232"/>
    <col min="6475" max="6475" width="11" style="232"/>
    <col min="6476" max="6476" width="11" style="232"/>
    <col min="6477" max="6477" width="11" style="232"/>
    <col min="6478" max="6478" width="11" style="232"/>
    <col min="6479" max="6479" width="11" style="232"/>
    <col min="6480" max="6480" width="11" style="232"/>
    <col min="6481" max="6481" width="11" style="232"/>
    <col min="6482" max="6482" width="11" style="232"/>
    <col min="6483" max="6483" width="11" style="232"/>
    <col min="6484" max="6484" width="11" style="232"/>
    <col min="6485" max="6485" width="11" style="232"/>
    <col min="6486" max="6486" width="11" style="232"/>
    <col min="6487" max="6487" width="11" style="232"/>
    <col min="6488" max="6488" width="11" style="232"/>
    <col min="6489" max="6489" width="11" style="232"/>
    <col min="6490" max="6490" width="11" style="232"/>
    <col min="6491" max="6491" width="11" style="232"/>
    <col min="6492" max="6492" width="11" style="232"/>
    <col min="6493" max="6493" width="11" style="232"/>
    <col min="6494" max="6494" width="11" style="232"/>
    <col min="6495" max="6495" width="11" style="232"/>
    <col min="6496" max="6496" width="11" style="232"/>
    <col min="6497" max="6497" width="11" style="232"/>
    <col min="6498" max="6498" width="11" style="232"/>
    <col min="6499" max="6499" width="11" style="232"/>
    <col min="6500" max="6500" width="11" style="232"/>
    <col min="6501" max="6501" width="11" style="232"/>
    <col min="6502" max="6502" width="11" style="232"/>
    <col min="6503" max="6503" width="11" style="232"/>
    <col min="6504" max="6504" width="11" style="232"/>
    <col min="6505" max="6505" width="11" style="232"/>
    <col min="6506" max="6506" width="11" style="232"/>
    <col min="6507" max="6507" width="11" style="232"/>
    <col min="6508" max="6508" width="11" style="232"/>
    <col min="6509" max="6509" width="11" style="232"/>
    <col min="6510" max="6510" width="11" style="232"/>
    <col min="6511" max="6511" width="11" style="232"/>
    <col min="6512" max="6512" width="11" style="232"/>
    <col min="6513" max="6513" width="11" style="232"/>
    <col min="6514" max="6514" width="11" style="232"/>
    <col min="6515" max="6515" width="11" style="232"/>
    <col min="6516" max="6516" width="11" style="232"/>
    <col min="6517" max="6517" width="11" style="232"/>
    <col min="6518" max="6518" width="11" style="232"/>
    <col min="6519" max="6519" width="11" style="232"/>
    <col min="6520" max="6520" width="11" style="232"/>
    <col min="6521" max="6521" width="11" style="232"/>
    <col min="6522" max="6522" width="11" style="232"/>
    <col min="6523" max="6523" width="11" style="232"/>
    <col min="6524" max="6524" width="11" style="232"/>
    <col min="6525" max="6525" width="11" style="232"/>
    <col min="6526" max="6526" width="11" style="232"/>
    <col min="6527" max="6527" width="11" style="232"/>
    <col min="6528" max="6528" width="11" style="232"/>
    <col min="6529" max="6529" width="11" style="232"/>
    <col min="6530" max="6530" width="11" style="232"/>
    <col min="6531" max="6531" width="11" style="232"/>
    <col min="6532" max="6532" width="11" style="232"/>
    <col min="6533" max="6533" width="11" style="232"/>
    <col min="6534" max="6534" width="11" style="232"/>
    <col min="6535" max="6535" width="11" style="232"/>
    <col min="6536" max="6536" width="11" style="232"/>
    <col min="6537" max="6537" width="11" style="232"/>
    <col min="6538" max="6538" width="11" style="232"/>
    <col min="6539" max="6539" width="11" style="232"/>
    <col min="6540" max="6540" width="11" style="232"/>
    <col min="6541" max="6541" width="11" style="232"/>
    <col min="6542" max="6542" width="11" style="232"/>
    <col min="6543" max="6543" width="11" style="232"/>
    <col min="6544" max="6544" width="11" style="232"/>
    <col min="6545" max="6545" width="11" style="232"/>
    <col min="6546" max="6546" width="11" style="232"/>
    <col min="6547" max="6547" width="11" style="232"/>
    <col min="6548" max="6548" width="11" style="232"/>
    <col min="6549" max="6549" width="11" style="232"/>
    <col min="6550" max="6550" width="11" style="232"/>
    <col min="6551" max="6551" width="11" style="232"/>
    <col min="6552" max="6552" width="11" style="232"/>
    <col min="6553" max="6553" width="11" style="232"/>
    <col min="6554" max="6554" width="11" style="232"/>
    <col min="6555" max="6555" width="11" style="232"/>
    <col min="6556" max="6556" width="11" style="232"/>
    <col min="6557" max="6557" width="11" style="232"/>
    <col min="6558" max="6558" width="11" style="232"/>
    <col min="6559" max="6559" width="11" style="232"/>
    <col min="6560" max="6560" width="11" style="232"/>
    <col min="6561" max="6561" width="11" style="232"/>
    <col min="6562" max="6562" width="11" style="232"/>
    <col min="6563" max="6563" width="11" style="232"/>
    <col min="6564" max="6564" width="11" style="232"/>
    <col min="6565" max="6565" width="11" style="232"/>
    <col min="6566" max="6566" width="11" style="232"/>
    <col min="6567" max="6567" width="11" style="232"/>
    <col min="6568" max="6568" width="11" style="232"/>
    <col min="6569" max="6569" width="11" style="232"/>
    <col min="6570" max="6570" width="11" style="232"/>
    <col min="6571" max="6571" width="11" style="232"/>
    <col min="6572" max="6572" width="11" style="232"/>
    <col min="6573" max="6573" width="11" style="232"/>
    <col min="6574" max="6574" width="11" style="232"/>
    <col min="6575" max="6575" width="11" style="232"/>
    <col min="6576" max="6576" width="11" style="232"/>
    <col min="6577" max="6577" width="11" style="232"/>
    <col min="6578" max="6578" width="11" style="232"/>
    <col min="6579" max="6579" width="11" style="232"/>
    <col min="6580" max="6580" width="11" style="232"/>
    <col min="6581" max="6581" width="11" style="232"/>
    <col min="6582" max="6582" width="11" style="232"/>
    <col min="6583" max="6583" width="11" style="232"/>
    <col min="6584" max="6584" width="11" style="232"/>
    <col min="6585" max="6585" width="11" style="232"/>
    <col min="6586" max="6586" width="11" style="232"/>
    <col min="6587" max="6587" width="11" style="232"/>
    <col min="6588" max="6588" width="11" style="232"/>
    <col min="6589" max="6589" width="11" style="232"/>
    <col min="6590" max="6590" width="11" style="232"/>
    <col min="6591" max="6591" width="11" style="232"/>
    <col min="6592" max="6592" width="11" style="232"/>
    <col min="6593" max="6593" width="11" style="232"/>
    <col min="6594" max="6594" width="11" style="232"/>
    <col min="6595" max="6595" width="11" style="232"/>
    <col min="6596" max="6596" width="11" style="232"/>
    <col min="6597" max="6597" width="11" style="232"/>
    <col min="6598" max="6598" width="11" style="232"/>
    <col min="6599" max="6599" width="11" style="232"/>
    <col min="6600" max="6600" width="11" style="232"/>
    <col min="6601" max="6601" width="11" style="232"/>
    <col min="6602" max="6602" width="11" style="232"/>
    <col min="6603" max="6603" width="11" style="232"/>
    <col min="6604" max="6604" width="11" style="232"/>
    <col min="6605" max="6605" width="11" style="232"/>
    <col min="6606" max="6606" width="11" style="232"/>
    <col min="6607" max="6607" width="11" style="232"/>
    <col min="6608" max="6608" width="11" style="232"/>
    <col min="6609" max="6609" width="11" style="232"/>
    <col min="6610" max="6610" width="11" style="232"/>
    <col min="6611" max="6611" width="11" style="232"/>
    <col min="6612" max="6612" width="11" style="232"/>
    <col min="6613" max="6613" width="11" style="232"/>
    <col min="6614" max="6614" width="11" style="232"/>
    <col min="6615" max="6615" width="11" style="232"/>
    <col min="6616" max="6616" width="11" style="232"/>
    <col min="6617" max="6617" width="11" style="232"/>
    <col min="6618" max="6618" width="11" style="232"/>
    <col min="6619" max="6619" width="11" style="232"/>
    <col min="6620" max="6620" width="11" style="232"/>
    <col min="6621" max="6621" width="11" style="232"/>
    <col min="6622" max="6622" width="11" style="232"/>
    <col min="6623" max="6623" width="11" style="232"/>
    <col min="6624" max="6624" width="11" style="232"/>
    <col min="6625" max="6625" width="11" style="232"/>
    <col min="6626" max="6626" width="11" style="232"/>
    <col min="6627" max="6627" width="11" style="232"/>
    <col min="6628" max="6628" width="11" style="232"/>
    <col min="6629" max="6629" width="11" style="232"/>
    <col min="6630" max="6630" width="11" style="232"/>
    <col min="6631" max="6631" width="11" style="232"/>
    <col min="6632" max="6632" width="11" style="232"/>
    <col min="6633" max="6633" width="11" style="232"/>
    <col min="6634" max="6634" width="11" style="232"/>
    <col min="6635" max="6635" width="11" style="232"/>
    <col min="6636" max="6636" width="11" style="232"/>
    <col min="6637" max="6637" width="11" style="232"/>
    <col min="6638" max="6638" width="11" style="232"/>
    <col min="6639" max="6639" width="11" style="232"/>
    <col min="6640" max="6640" width="11" style="232"/>
    <col min="6641" max="6641" width="11" style="232"/>
    <col min="6642" max="6642" width="11" style="232"/>
    <col min="6643" max="6643" width="11" style="232"/>
    <col min="6644" max="6644" width="11" style="232"/>
    <col min="6645" max="6645" width="10.140625" customWidth="true" style="232"/>
    <col min="6646" max="6646" width="10.140625" customWidth="true" style="232"/>
    <col min="6647" max="6647" width="10.140625" customWidth="true" style="232"/>
    <col min="6648" max="6648" width="10.140625" customWidth="true" style="232"/>
    <col min="6649" max="6649" width="10.140625" customWidth="true" style="232"/>
    <col min="6650" max="6650" width="10.140625" customWidth="true" style="232"/>
    <col min="6651" max="6651" width="10.140625" customWidth="true" style="232"/>
    <col min="6652" max="6652" width="10.140625" customWidth="true" style="232"/>
    <col min="6653" max="6653" width="10.140625" customWidth="true" style="232"/>
    <col min="6654" max="6654" width="11" style="232"/>
    <col min="6655" max="6655" width="11" style="232"/>
    <col min="6656" max="6656" width="11" style="232"/>
    <col min="6657" max="6657" width="11" style="232"/>
    <col min="6658" max="6658" width="11" style="232"/>
    <col min="6659" max="6659" width="11" style="232"/>
    <col min="6660" max="6660" width="11" style="232"/>
    <col min="6661" max="6661" width="11" style="232"/>
    <col min="6662" max="6662" width="11" style="232"/>
    <col min="6663" max="6663" width="11" style="232"/>
    <col min="6664" max="6664" width="11" style="232"/>
    <col min="6665" max="6665" width="11" style="232"/>
    <col min="6666" max="6666" width="11" style="232"/>
    <col min="6667" max="6667" width="11" style="232"/>
    <col min="6668" max="6668" width="11" style="232"/>
    <col min="6669" max="6669" width="11" style="232"/>
    <col min="6670" max="6670" width="11" style="232"/>
    <col min="6671" max="6671" width="11" style="232"/>
    <col min="6672" max="6672" width="11" style="232"/>
    <col min="6673" max="6673" width="11" style="232"/>
    <col min="6674" max="6674" width="11" style="232"/>
    <col min="6675" max="6675" width="11" style="232"/>
    <col min="6676" max="6676" width="11" style="232"/>
    <col min="6677" max="6677" width="11" style="232"/>
    <col min="6678" max="6678" width="11" style="232"/>
    <col min="6679" max="6679" width="11" style="232"/>
    <col min="6680" max="6680" width="11" style="232"/>
    <col min="6681" max="6681" width="11" style="232"/>
    <col min="6682" max="6682" width="11" style="232"/>
    <col min="6683" max="6683" width="11" style="232"/>
    <col min="6684" max="6684" width="11" style="232"/>
    <col min="6685" max="6685" width="11" style="232"/>
    <col min="6686" max="6686" width="11" style="232"/>
    <col min="6687" max="6687" width="11" style="232"/>
    <col min="6688" max="6688" width="11" style="232"/>
    <col min="6689" max="6689" width="11" style="232"/>
    <col min="6690" max="6690" width="11" style="232"/>
    <col min="6691" max="6691" width="11" style="232"/>
    <col min="6692" max="6692" width="11" style="232"/>
    <col min="6693" max="6693" width="11" style="232"/>
    <col min="6694" max="6694" width="11" style="232"/>
    <col min="6695" max="6695" width="11" style="232"/>
    <col min="6696" max="6696" width="11" style="232"/>
    <col min="6697" max="6697" width="11" style="232"/>
    <col min="6698" max="6698" width="11" style="232"/>
    <col min="6699" max="6699" width="11" style="232"/>
    <col min="6700" max="6700" width="11" style="232"/>
    <col min="6701" max="6701" width="11" style="232"/>
    <col min="6702" max="6702" width="11" style="232"/>
    <col min="6703" max="6703" width="11" style="232"/>
    <col min="6704" max="6704" width="11" style="232"/>
    <col min="6705" max="6705" width="11" style="232"/>
    <col min="6706" max="6706" width="11" style="232"/>
    <col min="6707" max="6707" width="11" style="232"/>
    <col min="6708" max="6708" width="11" style="232"/>
    <col min="6709" max="6709" width="11" style="232"/>
    <col min="6710" max="6710" width="11" style="232"/>
    <col min="6711" max="6711" width="11" style="232"/>
    <col min="6712" max="6712" width="11" style="232"/>
    <col min="6713" max="6713" width="11" style="232"/>
    <col min="6714" max="6714" width="11" style="232"/>
    <col min="6715" max="6715" width="11" style="232"/>
    <col min="6716" max="6716" width="11" style="232"/>
    <col min="6717" max="6717" width="11" style="232"/>
    <col min="6718" max="6718" width="11" style="232"/>
    <col min="6719" max="6719" width="11" style="232"/>
    <col min="6720" max="6720" width="11" style="232"/>
    <col min="6721" max="6721" width="11" style="232"/>
    <col min="6722" max="6722" width="11" style="232"/>
    <col min="6723" max="6723" width="11" style="232"/>
    <col min="6724" max="6724" width="11" style="232"/>
    <col min="6725" max="6725" width="11" style="232"/>
    <col min="6726" max="6726" width="11" style="232"/>
    <col min="6727" max="6727" width="11" style="232"/>
    <col min="6728" max="6728" width="11" style="232"/>
    <col min="6729" max="6729" width="11" style="232"/>
    <col min="6730" max="6730" width="11" style="232"/>
    <col min="6731" max="6731" width="11" style="232"/>
    <col min="6732" max="6732" width="11" style="232"/>
    <col min="6733" max="6733" width="11" style="232"/>
    <col min="6734" max="6734" width="11" style="232"/>
    <col min="6735" max="6735" width="11" style="232"/>
    <col min="6736" max="6736" width="11" style="232"/>
    <col min="6737" max="6737" width="11" style="232"/>
    <col min="6738" max="6738" width="11" style="232"/>
    <col min="6739" max="6739" width="11" style="232"/>
    <col min="6740" max="6740" width="11" style="232"/>
    <col min="6741" max="6741" width="11" style="232"/>
    <col min="6742" max="6742" width="11" style="232"/>
    <col min="6743" max="6743" width="11" style="232"/>
    <col min="6744" max="6744" width="11" style="232"/>
    <col min="6745" max="6745" width="11" style="232"/>
    <col min="6746" max="6746" width="11" style="232"/>
    <col min="6747" max="6747" width="11" style="232"/>
    <col min="6748" max="6748" width="11" style="232"/>
    <col min="6749" max="6749" width="11" style="232"/>
    <col min="6750" max="6750" width="11" style="232"/>
    <col min="6751" max="6751" width="11" style="232"/>
    <col min="6752" max="6752" width="11" style="232"/>
    <col min="6753" max="6753" width="11" style="232"/>
    <col min="6754" max="6754" width="11" style="232"/>
    <col min="6755" max="6755" width="11" style="232"/>
    <col min="6756" max="6756" width="11" style="232"/>
    <col min="6757" max="6757" width="11" style="232"/>
    <col min="6758" max="6758" width="11" style="232"/>
    <col min="6759" max="6759" width="11" style="232"/>
    <col min="6760" max="6760" width="11" style="232"/>
    <col min="6761" max="6761" width="11" style="232"/>
    <col min="6762" max="6762" width="11" style="232"/>
    <col min="6763" max="6763" width="11" style="232"/>
    <col min="6764" max="6764" width="11" style="232"/>
    <col min="6765" max="6765" width="11" style="232"/>
    <col min="6766" max="6766" width="11" style="232"/>
    <col min="6767" max="6767" width="11" style="232"/>
    <col min="6768" max="6768" width="11" style="232"/>
    <col min="6769" max="6769" width="11" style="232"/>
    <col min="6770" max="6770" width="11" style="232"/>
    <col min="6771" max="6771" width="11" style="232"/>
    <col min="6772" max="6772" width="11" style="232"/>
    <col min="6773" max="6773" width="11" style="232"/>
    <col min="6774" max="6774" width="11" style="232"/>
    <col min="6775" max="6775" width="11" style="232"/>
    <col min="6776" max="6776" width="11" style="232"/>
    <col min="6777" max="6777" width="11" style="232"/>
    <col min="6778" max="6778" width="11" style="232"/>
    <col min="6779" max="6779" width="11" style="232"/>
    <col min="6780" max="6780" width="11" style="232"/>
    <col min="6781" max="6781" width="11" style="232"/>
    <col min="6782" max="6782" width="11" style="232"/>
    <col min="6783" max="6783" width="11" style="232"/>
    <col min="6784" max="6784" width="11" style="232"/>
    <col min="6785" max="6785" width="11" style="232"/>
    <col min="6786" max="6786" width="11" style="232"/>
    <col min="6787" max="6787" width="11" style="232"/>
    <col min="6788" max="6788" width="11" style="232"/>
    <col min="6789" max="6789" width="11" style="232"/>
    <col min="6790" max="6790" width="11" style="232"/>
    <col min="6791" max="6791" width="11" style="232"/>
    <col min="6792" max="6792" width="11" style="232"/>
    <col min="6793" max="6793" width="11" style="232"/>
    <col min="6794" max="6794" width="11" style="232"/>
    <col min="6795" max="6795" width="11" style="232"/>
    <col min="6796" max="6796" width="11" style="232"/>
    <col min="6797" max="6797" width="11" style="232"/>
    <col min="6798" max="6798" width="11" style="232"/>
    <col min="6799" max="6799" width="11" style="232"/>
    <col min="6800" max="6800" width="11" style="232"/>
    <col min="6801" max="6801" width="11" style="232"/>
    <col min="6802" max="6802" width="11" style="232"/>
    <col min="6803" max="6803" width="11" style="232"/>
    <col min="6804" max="6804" width="11" style="232"/>
    <col min="6805" max="6805" width="11" style="232"/>
    <col min="6806" max="6806" width="11" style="232"/>
    <col min="6807" max="6807" width="11" style="232"/>
    <col min="6808" max="6808" width="11" style="232"/>
    <col min="6809" max="6809" width="11" style="232"/>
    <col min="6810" max="6810" width="11" style="232"/>
    <col min="6811" max="6811" width="11" style="232"/>
    <col min="6812" max="6812" width="11" style="232"/>
    <col min="6813" max="6813" width="11" style="232"/>
    <col min="6814" max="6814" width="11" style="232"/>
    <col min="6815" max="6815" width="11" style="232"/>
    <col min="6816" max="6816" width="11" style="232"/>
    <col min="6817" max="6817" width="11" style="232"/>
    <col min="6818" max="6818" width="11" style="232"/>
    <col min="6819" max="6819" width="11" style="232"/>
    <col min="6820" max="6820" width="11" style="232"/>
    <col min="6821" max="6821" width="11" style="232"/>
    <col min="6822" max="6822" width="11" style="232"/>
    <col min="6823" max="6823" width="11" style="232"/>
    <col min="6824" max="6824" width="11" style="232"/>
    <col min="6825" max="6825" width="11" style="232"/>
    <col min="6826" max="6826" width="11" style="232"/>
    <col min="6827" max="6827" width="11" style="232"/>
    <col min="6828" max="6828" width="11" style="232"/>
    <col min="6829" max="6829" width="11" style="232"/>
    <col min="6830" max="6830" width="11" style="232"/>
    <col min="6831" max="6831" width="11" style="232"/>
    <col min="6832" max="6832" width="11" style="232"/>
    <col min="6833" max="6833" width="11" style="232"/>
    <col min="6834" max="6834" width="11" style="232"/>
    <col min="6835" max="6835" width="11" style="232"/>
    <col min="6836" max="6836" width="11" style="232"/>
    <col min="6837" max="6837" width="11" style="232"/>
    <col min="6838" max="6838" width="11" style="232"/>
    <col min="6839" max="6839" width="11" style="232"/>
    <col min="6840" max="6840" width="11" style="232"/>
    <col min="6841" max="6841" width="11" style="232"/>
    <col min="6842" max="6842" width="11" style="232"/>
    <col min="6843" max="6843" width="11" style="232"/>
    <col min="6844" max="6844" width="11" style="232"/>
    <col min="6845" max="6845" width="11" style="232"/>
    <col min="6846" max="6846" width="11" style="232"/>
    <col min="6847" max="6847" width="11" style="232"/>
    <col min="6848" max="6848" width="11" style="232"/>
    <col min="6849" max="6849" width="11" style="232"/>
    <col min="6850" max="6850" width="11" style="232"/>
    <col min="6851" max="6851" width="11" style="232"/>
    <col min="6852" max="6852" width="11" style="232"/>
    <col min="6853" max="6853" width="11" style="232"/>
    <col min="6854" max="6854" width="11" style="232"/>
    <col min="6855" max="6855" width="11" style="232"/>
    <col min="6856" max="6856" width="11" style="232"/>
    <col min="6857" max="6857" width="11" style="232"/>
    <col min="6858" max="6858" width="11" style="232"/>
    <col min="6859" max="6859" width="11" style="232"/>
    <col min="6860" max="6860" width="11" style="232"/>
    <col min="6861" max="6861" width="11" style="232"/>
    <col min="6862" max="6862" width="11" style="232"/>
    <col min="6863" max="6863" width="11" style="232"/>
    <col min="6864" max="6864" width="11" style="232"/>
    <col min="6865" max="6865" width="11" style="232"/>
    <col min="6866" max="6866" width="11" style="232"/>
    <col min="6867" max="6867" width="11" style="232"/>
    <col min="6868" max="6868" width="11" style="232"/>
    <col min="6869" max="6869" width="11" style="232"/>
    <col min="6870" max="6870" width="11" style="232"/>
    <col min="6871" max="6871" width="11" style="232"/>
    <col min="6872" max="6872" width="11" style="232"/>
    <col min="6873" max="6873" width="11" style="232"/>
    <col min="6874" max="6874" width="11" style="232"/>
    <col min="6875" max="6875" width="11" style="232"/>
    <col min="6876" max="6876" width="11" style="232"/>
    <col min="6877" max="6877" width="11" style="232"/>
    <col min="6878" max="6878" width="11" style="232"/>
    <col min="6879" max="6879" width="11" style="232"/>
    <col min="6880" max="6880" width="11" style="232"/>
    <col min="6881" max="6881" width="11" style="232"/>
    <col min="6882" max="6882" width="11" style="232"/>
    <col min="6883" max="6883" width="11" style="232"/>
    <col min="6884" max="6884" width="11" style="232"/>
    <col min="6885" max="6885" width="11" style="232"/>
    <col min="6886" max="6886" width="11" style="232"/>
    <col min="6887" max="6887" width="11" style="232"/>
    <col min="6888" max="6888" width="11" style="232"/>
    <col min="6889" max="6889" width="11" style="232"/>
    <col min="6890" max="6890" width="11" style="232"/>
    <col min="6891" max="6891" width="11" style="232"/>
    <col min="6892" max="6892" width="11" style="232"/>
    <col min="6893" max="6893" width="11" style="232"/>
    <col min="6894" max="6894" width="11" style="232"/>
    <col min="6895" max="6895" width="11" style="232"/>
    <col min="6896" max="6896" width="11" style="232"/>
    <col min="6897" max="6897" width="11" style="232"/>
    <col min="6898" max="6898" width="11" style="232"/>
    <col min="6899" max="6899" width="11" style="232"/>
    <col min="6900" max="6900" width="11" style="232"/>
    <col min="6901" max="6901" width="10.140625" customWidth="true" style="232"/>
    <col min="6902" max="6902" width="10.140625" customWidth="true" style="232"/>
    <col min="6903" max="6903" width="10.140625" customWidth="true" style="232"/>
    <col min="6904" max="6904" width="10.140625" customWidth="true" style="232"/>
    <col min="6905" max="6905" width="10.140625" customWidth="true" style="232"/>
    <col min="6906" max="6906" width="10.140625" customWidth="true" style="232"/>
    <col min="6907" max="6907" width="10.140625" customWidth="true" style="232"/>
    <col min="6908" max="6908" width="10.140625" customWidth="true" style="232"/>
    <col min="6909" max="6909" width="10.140625" customWidth="true" style="232"/>
    <col min="6910" max="6910" width="11" style="232"/>
    <col min="6911" max="6911" width="11" style="232"/>
    <col min="6912" max="6912" width="11" style="232"/>
    <col min="6913" max="6913" width="11" style="232"/>
    <col min="6914" max="6914" width="11" style="232"/>
    <col min="6915" max="6915" width="11" style="232"/>
    <col min="6916" max="6916" width="11" style="232"/>
    <col min="6917" max="6917" width="11" style="232"/>
    <col min="6918" max="6918" width="11" style="232"/>
    <col min="6919" max="6919" width="11" style="232"/>
    <col min="6920" max="6920" width="11" style="232"/>
    <col min="6921" max="6921" width="11" style="232"/>
    <col min="6922" max="6922" width="11" style="232"/>
    <col min="6923" max="6923" width="11" style="232"/>
    <col min="6924" max="6924" width="11" style="232"/>
    <col min="6925" max="6925" width="11" style="232"/>
    <col min="6926" max="6926" width="11" style="232"/>
    <col min="6927" max="6927" width="11" style="232"/>
    <col min="6928" max="6928" width="11" style="232"/>
    <col min="6929" max="6929" width="11" style="232"/>
    <col min="6930" max="6930" width="11" style="232"/>
    <col min="6931" max="6931" width="11" style="232"/>
    <col min="6932" max="6932" width="11" style="232"/>
    <col min="6933" max="6933" width="11" style="232"/>
    <col min="6934" max="6934" width="11" style="232"/>
    <col min="6935" max="6935" width="11" style="232"/>
    <col min="6936" max="6936" width="11" style="232"/>
    <col min="6937" max="6937" width="11" style="232"/>
    <col min="6938" max="6938" width="11" style="232"/>
    <col min="6939" max="6939" width="11" style="232"/>
    <col min="6940" max="6940" width="11" style="232"/>
    <col min="6941" max="6941" width="11" style="232"/>
    <col min="6942" max="6942" width="11" style="232"/>
    <col min="6943" max="6943" width="11" style="232"/>
    <col min="6944" max="6944" width="11" style="232"/>
    <col min="6945" max="6945" width="11" style="232"/>
    <col min="6946" max="6946" width="11" style="232"/>
    <col min="6947" max="6947" width="11" style="232"/>
    <col min="6948" max="6948" width="11" style="232"/>
    <col min="6949" max="6949" width="11" style="232"/>
    <col min="6950" max="6950" width="11" style="232"/>
    <col min="6951" max="6951" width="11" style="232"/>
    <col min="6952" max="6952" width="11" style="232"/>
    <col min="6953" max="6953" width="11" style="232"/>
    <col min="6954" max="6954" width="11" style="232"/>
    <col min="6955" max="6955" width="11" style="232"/>
    <col min="6956" max="6956" width="11" style="232"/>
    <col min="6957" max="6957" width="11" style="232"/>
    <col min="6958" max="6958" width="11" style="232"/>
    <col min="6959" max="6959" width="11" style="232"/>
    <col min="6960" max="6960" width="11" style="232"/>
    <col min="6961" max="6961" width="11" style="232"/>
    <col min="6962" max="6962" width="11" style="232"/>
    <col min="6963" max="6963" width="11" style="232"/>
    <col min="6964" max="6964" width="11" style="232"/>
    <col min="6965" max="6965" width="11" style="232"/>
    <col min="6966" max="6966" width="11" style="232"/>
    <col min="6967" max="6967" width="11" style="232"/>
    <col min="6968" max="6968" width="11" style="232"/>
    <col min="6969" max="6969" width="11" style="232"/>
    <col min="6970" max="6970" width="11" style="232"/>
    <col min="6971" max="6971" width="11" style="232"/>
    <col min="6972" max="6972" width="11" style="232"/>
    <col min="6973" max="6973" width="11" style="232"/>
    <col min="6974" max="6974" width="11" style="232"/>
    <col min="6975" max="6975" width="11" style="232"/>
    <col min="6976" max="6976" width="11" style="232"/>
    <col min="6977" max="6977" width="11" style="232"/>
    <col min="6978" max="6978" width="11" style="232"/>
    <col min="6979" max="6979" width="11" style="232"/>
    <col min="6980" max="6980" width="11" style="232"/>
    <col min="6981" max="6981" width="11" style="232"/>
    <col min="6982" max="6982" width="11" style="232"/>
    <col min="6983" max="6983" width="11" style="232"/>
    <col min="6984" max="6984" width="11" style="232"/>
    <col min="6985" max="6985" width="11" style="232"/>
    <col min="6986" max="6986" width="11" style="232"/>
    <col min="6987" max="6987" width="11" style="232"/>
    <col min="6988" max="6988" width="11" style="232"/>
    <col min="6989" max="6989" width="11" style="232"/>
    <col min="6990" max="6990" width="11" style="232"/>
    <col min="6991" max="6991" width="11" style="232"/>
    <col min="6992" max="6992" width="11" style="232"/>
    <col min="6993" max="6993" width="11" style="232"/>
    <col min="6994" max="6994" width="11" style="232"/>
    <col min="6995" max="6995" width="11" style="232"/>
    <col min="6996" max="6996" width="11" style="232"/>
    <col min="6997" max="6997" width="11" style="232"/>
    <col min="6998" max="6998" width="11" style="232"/>
    <col min="6999" max="6999" width="11" style="232"/>
    <col min="7000" max="7000" width="11" style="232"/>
    <col min="7001" max="7001" width="11" style="232"/>
    <col min="7002" max="7002" width="11" style="232"/>
    <col min="7003" max="7003" width="11" style="232"/>
    <col min="7004" max="7004" width="11" style="232"/>
    <col min="7005" max="7005" width="11" style="232"/>
    <col min="7006" max="7006" width="11" style="232"/>
    <col min="7007" max="7007" width="11" style="232"/>
    <col min="7008" max="7008" width="11" style="232"/>
    <col min="7009" max="7009" width="11" style="232"/>
    <col min="7010" max="7010" width="11" style="232"/>
    <col min="7011" max="7011" width="11" style="232"/>
    <col min="7012" max="7012" width="11" style="232"/>
    <col min="7013" max="7013" width="11" style="232"/>
    <col min="7014" max="7014" width="11" style="232"/>
    <col min="7015" max="7015" width="11" style="232"/>
    <col min="7016" max="7016" width="11" style="232"/>
    <col min="7017" max="7017" width="11" style="232"/>
    <col min="7018" max="7018" width="11" style="232"/>
    <col min="7019" max="7019" width="11" style="232"/>
    <col min="7020" max="7020" width="11" style="232"/>
    <col min="7021" max="7021" width="11" style="232"/>
    <col min="7022" max="7022" width="11" style="232"/>
    <col min="7023" max="7023" width="11" style="232"/>
    <col min="7024" max="7024" width="11" style="232"/>
    <col min="7025" max="7025" width="11" style="232"/>
    <col min="7026" max="7026" width="11" style="232"/>
    <col min="7027" max="7027" width="11" style="232"/>
    <col min="7028" max="7028" width="11" style="232"/>
    <col min="7029" max="7029" width="11" style="232"/>
    <col min="7030" max="7030" width="11" style="232"/>
    <col min="7031" max="7031" width="11" style="232"/>
    <col min="7032" max="7032" width="11" style="232"/>
    <col min="7033" max="7033" width="11" style="232"/>
    <col min="7034" max="7034" width="11" style="232"/>
    <col min="7035" max="7035" width="11" style="232"/>
    <col min="7036" max="7036" width="11" style="232"/>
    <col min="7037" max="7037" width="11" style="232"/>
    <col min="7038" max="7038" width="11" style="232"/>
    <col min="7039" max="7039" width="11" style="232"/>
    <col min="7040" max="7040" width="11" style="232"/>
    <col min="7041" max="7041" width="11" style="232"/>
    <col min="7042" max="7042" width="11" style="232"/>
    <col min="7043" max="7043" width="11" style="232"/>
    <col min="7044" max="7044" width="11" style="232"/>
    <col min="7045" max="7045" width="11" style="232"/>
    <col min="7046" max="7046" width="11" style="232"/>
    <col min="7047" max="7047" width="11" style="232"/>
    <col min="7048" max="7048" width="11" style="232"/>
    <col min="7049" max="7049" width="11" style="232"/>
    <col min="7050" max="7050" width="11" style="232"/>
    <col min="7051" max="7051" width="11" style="232"/>
    <col min="7052" max="7052" width="11" style="232"/>
    <col min="7053" max="7053" width="11" style="232"/>
    <col min="7054" max="7054" width="11" style="232"/>
    <col min="7055" max="7055" width="11" style="232"/>
    <col min="7056" max="7056" width="11" style="232"/>
    <col min="7057" max="7057" width="11" style="232"/>
    <col min="7058" max="7058" width="11" style="232"/>
    <col min="7059" max="7059" width="11" style="232"/>
    <col min="7060" max="7060" width="11" style="232"/>
    <col min="7061" max="7061" width="11" style="232"/>
    <col min="7062" max="7062" width="11" style="232"/>
    <col min="7063" max="7063" width="11" style="232"/>
    <col min="7064" max="7064" width="11" style="232"/>
    <col min="7065" max="7065" width="11" style="232"/>
    <col min="7066" max="7066" width="11" style="232"/>
    <col min="7067" max="7067" width="11" style="232"/>
    <col min="7068" max="7068" width="11" style="232"/>
    <col min="7069" max="7069" width="11" style="232"/>
    <col min="7070" max="7070" width="11" style="232"/>
    <col min="7071" max="7071" width="11" style="232"/>
    <col min="7072" max="7072" width="11" style="232"/>
    <col min="7073" max="7073" width="11" style="232"/>
    <col min="7074" max="7074" width="11" style="232"/>
    <col min="7075" max="7075" width="11" style="232"/>
    <col min="7076" max="7076" width="11" style="232"/>
    <col min="7077" max="7077" width="11" style="232"/>
    <col min="7078" max="7078" width="11" style="232"/>
    <col min="7079" max="7079" width="11" style="232"/>
    <col min="7080" max="7080" width="11" style="232"/>
    <col min="7081" max="7081" width="11" style="232"/>
    <col min="7082" max="7082" width="11" style="232"/>
    <col min="7083" max="7083" width="11" style="232"/>
    <col min="7084" max="7084" width="11" style="232"/>
    <col min="7085" max="7085" width="11" style="232"/>
    <col min="7086" max="7086" width="11" style="232"/>
    <col min="7087" max="7087" width="11" style="232"/>
    <col min="7088" max="7088" width="11" style="232"/>
    <col min="7089" max="7089" width="11" style="232"/>
    <col min="7090" max="7090" width="11" style="232"/>
    <col min="7091" max="7091" width="11" style="232"/>
    <col min="7092" max="7092" width="11" style="232"/>
    <col min="7093" max="7093" width="11" style="232"/>
    <col min="7094" max="7094" width="11" style="232"/>
    <col min="7095" max="7095" width="11" style="232"/>
    <col min="7096" max="7096" width="11" style="232"/>
    <col min="7097" max="7097" width="11" style="232"/>
    <col min="7098" max="7098" width="11" style="232"/>
    <col min="7099" max="7099" width="11" style="232"/>
    <col min="7100" max="7100" width="11" style="232"/>
    <col min="7101" max="7101" width="11" style="232"/>
    <col min="7102" max="7102" width="11" style="232"/>
    <col min="7103" max="7103" width="11" style="232"/>
    <col min="7104" max="7104" width="11" style="232"/>
    <col min="7105" max="7105" width="11" style="232"/>
    <col min="7106" max="7106" width="11" style="232"/>
    <col min="7107" max="7107" width="11" style="232"/>
    <col min="7108" max="7108" width="11" style="232"/>
    <col min="7109" max="7109" width="11" style="232"/>
    <col min="7110" max="7110" width="11" style="232"/>
    <col min="7111" max="7111" width="11" style="232"/>
    <col min="7112" max="7112" width="11" style="232"/>
    <col min="7113" max="7113" width="11" style="232"/>
    <col min="7114" max="7114" width="11" style="232"/>
    <col min="7115" max="7115" width="11" style="232"/>
    <col min="7116" max="7116" width="11" style="232"/>
    <col min="7117" max="7117" width="11" style="232"/>
    <col min="7118" max="7118" width="11" style="232"/>
    <col min="7119" max="7119" width="11" style="232"/>
    <col min="7120" max="7120" width="11" style="232"/>
    <col min="7121" max="7121" width="11" style="232"/>
    <col min="7122" max="7122" width="11" style="232"/>
    <col min="7123" max="7123" width="11" style="232"/>
    <col min="7124" max="7124" width="11" style="232"/>
    <col min="7125" max="7125" width="11" style="232"/>
    <col min="7126" max="7126" width="11" style="232"/>
    <col min="7127" max="7127" width="11" style="232"/>
    <col min="7128" max="7128" width="11" style="232"/>
    <col min="7129" max="7129" width="11" style="232"/>
    <col min="7130" max="7130" width="11" style="232"/>
    <col min="7131" max="7131" width="11" style="232"/>
    <col min="7132" max="7132" width="11" style="232"/>
    <col min="7133" max="7133" width="11" style="232"/>
    <col min="7134" max="7134" width="11" style="232"/>
    <col min="7135" max="7135" width="11" style="232"/>
    <col min="7136" max="7136" width="11" style="232"/>
    <col min="7137" max="7137" width="11" style="232"/>
    <col min="7138" max="7138" width="11" style="232"/>
    <col min="7139" max="7139" width="11" style="232"/>
    <col min="7140" max="7140" width="11" style="232"/>
    <col min="7141" max="7141" width="11" style="232"/>
    <col min="7142" max="7142" width="11" style="232"/>
    <col min="7143" max="7143" width="11" style="232"/>
    <col min="7144" max="7144" width="11" style="232"/>
    <col min="7145" max="7145" width="11" style="232"/>
    <col min="7146" max="7146" width="11" style="232"/>
    <col min="7147" max="7147" width="11" style="232"/>
    <col min="7148" max="7148" width="11" style="232"/>
    <col min="7149" max="7149" width="11" style="232"/>
    <col min="7150" max="7150" width="11" style="232"/>
    <col min="7151" max="7151" width="11" style="232"/>
    <col min="7152" max="7152" width="11" style="232"/>
    <col min="7153" max="7153" width="11" style="232"/>
    <col min="7154" max="7154" width="11" style="232"/>
    <col min="7155" max="7155" width="11" style="232"/>
    <col min="7156" max="7156" width="11" style="232"/>
    <col min="7157" max="7157" width="10.140625" customWidth="true" style="232"/>
    <col min="7158" max="7158" width="10.140625" customWidth="true" style="232"/>
    <col min="7159" max="7159" width="10.140625" customWidth="true" style="232"/>
    <col min="7160" max="7160" width="10.140625" customWidth="true" style="232"/>
    <col min="7161" max="7161" width="10.140625" customWidth="true" style="232"/>
    <col min="7162" max="7162" width="10.140625" customWidth="true" style="232"/>
    <col min="7163" max="7163" width="10.140625" customWidth="true" style="232"/>
    <col min="7164" max="7164" width="10.140625" customWidth="true" style="232"/>
    <col min="7165" max="7165" width="10.140625" customWidth="true" style="232"/>
    <col min="7166" max="7166" width="11" style="232"/>
    <col min="7167" max="7167" width="11" style="232"/>
    <col min="7168" max="7168" width="11" style="232"/>
    <col min="7169" max="7169" width="11" style="232"/>
    <col min="7170" max="7170" width="11" style="232"/>
    <col min="7171" max="7171" width="11" style="232"/>
    <col min="7172" max="7172" width="11" style="232"/>
    <col min="7173" max="7173" width="11" style="232"/>
    <col min="7174" max="7174" width="11" style="232"/>
    <col min="7175" max="7175" width="11" style="232"/>
    <col min="7176" max="7176" width="11" style="232"/>
    <col min="7177" max="7177" width="11" style="232"/>
    <col min="7178" max="7178" width="11" style="232"/>
    <col min="7179" max="7179" width="11" style="232"/>
    <col min="7180" max="7180" width="11" style="232"/>
    <col min="7181" max="7181" width="11" style="232"/>
    <col min="7182" max="7182" width="11" style="232"/>
    <col min="7183" max="7183" width="11" style="232"/>
    <col min="7184" max="7184" width="11" style="232"/>
    <col min="7185" max="7185" width="11" style="232"/>
    <col min="7186" max="7186" width="11" style="232"/>
    <col min="7187" max="7187" width="11" style="232"/>
    <col min="7188" max="7188" width="11" style="232"/>
    <col min="7189" max="7189" width="11" style="232"/>
    <col min="7190" max="7190" width="11" style="232"/>
    <col min="7191" max="7191" width="11" style="232"/>
    <col min="7192" max="7192" width="11" style="232"/>
    <col min="7193" max="7193" width="11" style="232"/>
    <col min="7194" max="7194" width="11" style="232"/>
    <col min="7195" max="7195" width="11" style="232"/>
    <col min="7196" max="7196" width="11" style="232"/>
    <col min="7197" max="7197" width="11" style="232"/>
    <col min="7198" max="7198" width="11" style="232"/>
    <col min="7199" max="7199" width="11" style="232"/>
    <col min="7200" max="7200" width="11" style="232"/>
    <col min="7201" max="7201" width="11" style="232"/>
    <col min="7202" max="7202" width="11" style="232"/>
    <col min="7203" max="7203" width="11" style="232"/>
    <col min="7204" max="7204" width="11" style="232"/>
    <col min="7205" max="7205" width="11" style="232"/>
    <col min="7206" max="7206" width="11" style="232"/>
    <col min="7207" max="7207" width="11" style="232"/>
    <col min="7208" max="7208" width="11" style="232"/>
    <col min="7209" max="7209" width="11" style="232"/>
    <col min="7210" max="7210" width="11" style="232"/>
    <col min="7211" max="7211" width="11" style="232"/>
    <col min="7212" max="7212" width="11" style="232"/>
    <col min="7213" max="7213" width="11" style="232"/>
    <col min="7214" max="7214" width="11" style="232"/>
    <col min="7215" max="7215" width="11" style="232"/>
    <col min="7216" max="7216" width="11" style="232"/>
    <col min="7217" max="7217" width="11" style="232"/>
    <col min="7218" max="7218" width="11" style="232"/>
    <col min="7219" max="7219" width="11" style="232"/>
    <col min="7220" max="7220" width="11" style="232"/>
    <col min="7221" max="7221" width="11" style="232"/>
    <col min="7222" max="7222" width="11" style="232"/>
    <col min="7223" max="7223" width="11" style="232"/>
    <col min="7224" max="7224" width="11" style="232"/>
    <col min="7225" max="7225" width="11" style="232"/>
    <col min="7226" max="7226" width="11" style="232"/>
    <col min="7227" max="7227" width="11" style="232"/>
    <col min="7228" max="7228" width="11" style="232"/>
    <col min="7229" max="7229" width="11" style="232"/>
    <col min="7230" max="7230" width="11" style="232"/>
    <col min="7231" max="7231" width="11" style="232"/>
    <col min="7232" max="7232" width="11" style="232"/>
    <col min="7233" max="7233" width="11" style="232"/>
    <col min="7234" max="7234" width="11" style="232"/>
    <col min="7235" max="7235" width="11" style="232"/>
    <col min="7236" max="7236" width="11" style="232"/>
    <col min="7237" max="7237" width="11" style="232"/>
    <col min="7238" max="7238" width="11" style="232"/>
    <col min="7239" max="7239" width="11" style="232"/>
    <col min="7240" max="7240" width="11" style="232"/>
    <col min="7241" max="7241" width="11" style="232"/>
    <col min="7242" max="7242" width="11" style="232"/>
    <col min="7243" max="7243" width="11" style="232"/>
    <col min="7244" max="7244" width="11" style="232"/>
    <col min="7245" max="7245" width="11" style="232"/>
    <col min="7246" max="7246" width="11" style="232"/>
    <col min="7247" max="7247" width="11" style="232"/>
    <col min="7248" max="7248" width="11" style="232"/>
    <col min="7249" max="7249" width="11" style="232"/>
    <col min="7250" max="7250" width="11" style="232"/>
    <col min="7251" max="7251" width="11" style="232"/>
    <col min="7252" max="7252" width="11" style="232"/>
    <col min="7253" max="7253" width="11" style="232"/>
    <col min="7254" max="7254" width="11" style="232"/>
    <col min="7255" max="7255" width="11" style="232"/>
    <col min="7256" max="7256" width="11" style="232"/>
    <col min="7257" max="7257" width="11" style="232"/>
    <col min="7258" max="7258" width="11" style="232"/>
    <col min="7259" max="7259" width="11" style="232"/>
    <col min="7260" max="7260" width="11" style="232"/>
    <col min="7261" max="7261" width="11" style="232"/>
    <col min="7262" max="7262" width="11" style="232"/>
    <col min="7263" max="7263" width="11" style="232"/>
    <col min="7264" max="7264" width="11" style="232"/>
    <col min="7265" max="7265" width="11" style="232"/>
    <col min="7266" max="7266" width="11" style="232"/>
    <col min="7267" max="7267" width="11" style="232"/>
    <col min="7268" max="7268" width="11" style="232"/>
    <col min="7269" max="7269" width="11" style="232"/>
    <col min="7270" max="7270" width="11" style="232"/>
    <col min="7271" max="7271" width="11" style="232"/>
    <col min="7272" max="7272" width="11" style="232"/>
    <col min="7273" max="7273" width="11" style="232"/>
    <col min="7274" max="7274" width="11" style="232"/>
    <col min="7275" max="7275" width="11" style="232"/>
    <col min="7276" max="7276" width="11" style="232"/>
    <col min="7277" max="7277" width="11" style="232"/>
    <col min="7278" max="7278" width="11" style="232"/>
    <col min="7279" max="7279" width="11" style="232"/>
    <col min="7280" max="7280" width="11" style="232"/>
    <col min="7281" max="7281" width="11" style="232"/>
    <col min="7282" max="7282" width="11" style="232"/>
    <col min="7283" max="7283" width="11" style="232"/>
    <col min="7284" max="7284" width="11" style="232"/>
    <col min="7285" max="7285" width="11" style="232"/>
    <col min="7286" max="7286" width="11" style="232"/>
    <col min="7287" max="7287" width="11" style="232"/>
    <col min="7288" max="7288" width="11" style="232"/>
    <col min="7289" max="7289" width="11" style="232"/>
    <col min="7290" max="7290" width="11" style="232"/>
    <col min="7291" max="7291" width="11" style="232"/>
    <col min="7292" max="7292" width="11" style="232"/>
    <col min="7293" max="7293" width="11" style="232"/>
    <col min="7294" max="7294" width="11" style="232"/>
    <col min="7295" max="7295" width="11" style="232"/>
    <col min="7296" max="7296" width="11" style="232"/>
    <col min="7297" max="7297" width="11" style="232"/>
    <col min="7298" max="7298" width="11" style="232"/>
    <col min="7299" max="7299" width="11" style="232"/>
    <col min="7300" max="7300" width="11" style="232"/>
    <col min="7301" max="7301" width="11" style="232"/>
    <col min="7302" max="7302" width="11" style="232"/>
    <col min="7303" max="7303" width="11" style="232"/>
    <col min="7304" max="7304" width="11" style="232"/>
    <col min="7305" max="7305" width="11" style="232"/>
    <col min="7306" max="7306" width="11" style="232"/>
    <col min="7307" max="7307" width="11" style="232"/>
    <col min="7308" max="7308" width="11" style="232"/>
    <col min="7309" max="7309" width="11" style="232"/>
    <col min="7310" max="7310" width="11" style="232"/>
    <col min="7311" max="7311" width="11" style="232"/>
    <col min="7312" max="7312" width="11" style="232"/>
    <col min="7313" max="7313" width="11" style="232"/>
    <col min="7314" max="7314" width="11" style="232"/>
    <col min="7315" max="7315" width="11" style="232"/>
    <col min="7316" max="7316" width="11" style="232"/>
    <col min="7317" max="7317" width="11" style="232"/>
    <col min="7318" max="7318" width="11" style="232"/>
    <col min="7319" max="7319" width="11" style="232"/>
    <col min="7320" max="7320" width="11" style="232"/>
    <col min="7321" max="7321" width="11" style="232"/>
    <col min="7322" max="7322" width="11" style="232"/>
    <col min="7323" max="7323" width="11" style="232"/>
    <col min="7324" max="7324" width="11" style="232"/>
    <col min="7325" max="7325" width="11" style="232"/>
    <col min="7326" max="7326" width="11" style="232"/>
    <col min="7327" max="7327" width="11" style="232"/>
    <col min="7328" max="7328" width="11" style="232"/>
    <col min="7329" max="7329" width="11" style="232"/>
    <col min="7330" max="7330" width="11" style="232"/>
    <col min="7331" max="7331" width="11" style="232"/>
    <col min="7332" max="7332" width="11" style="232"/>
    <col min="7333" max="7333" width="11" style="232"/>
    <col min="7334" max="7334" width="11" style="232"/>
    <col min="7335" max="7335" width="11" style="232"/>
    <col min="7336" max="7336" width="11" style="232"/>
    <col min="7337" max="7337" width="11" style="232"/>
    <col min="7338" max="7338" width="11" style="232"/>
    <col min="7339" max="7339" width="11" style="232"/>
    <col min="7340" max="7340" width="11" style="232"/>
    <col min="7341" max="7341" width="11" style="232"/>
    <col min="7342" max="7342" width="11" style="232"/>
    <col min="7343" max="7343" width="11" style="232"/>
    <col min="7344" max="7344" width="11" style="232"/>
    <col min="7345" max="7345" width="11" style="232"/>
    <col min="7346" max="7346" width="11" style="232"/>
    <col min="7347" max="7347" width="11" style="232"/>
    <col min="7348" max="7348" width="11" style="232"/>
    <col min="7349" max="7349" width="11" style="232"/>
    <col min="7350" max="7350" width="11" style="232"/>
    <col min="7351" max="7351" width="11" style="232"/>
    <col min="7352" max="7352" width="11" style="232"/>
    <col min="7353" max="7353" width="11" style="232"/>
    <col min="7354" max="7354" width="11" style="232"/>
    <col min="7355" max="7355" width="11" style="232"/>
    <col min="7356" max="7356" width="11" style="232"/>
    <col min="7357" max="7357" width="11" style="232"/>
    <col min="7358" max="7358" width="11" style="232"/>
    <col min="7359" max="7359" width="11" style="232"/>
    <col min="7360" max="7360" width="11" style="232"/>
    <col min="7361" max="7361" width="11" style="232"/>
    <col min="7362" max="7362" width="11" style="232"/>
    <col min="7363" max="7363" width="11" style="232"/>
    <col min="7364" max="7364" width="11" style="232"/>
    <col min="7365" max="7365" width="11" style="232"/>
    <col min="7366" max="7366" width="11" style="232"/>
    <col min="7367" max="7367" width="11" style="232"/>
    <col min="7368" max="7368" width="11" style="232"/>
    <col min="7369" max="7369" width="11" style="232"/>
    <col min="7370" max="7370" width="11" style="232"/>
    <col min="7371" max="7371" width="11" style="232"/>
    <col min="7372" max="7372" width="11" style="232"/>
    <col min="7373" max="7373" width="11" style="232"/>
    <col min="7374" max="7374" width="11" style="232"/>
    <col min="7375" max="7375" width="11" style="232"/>
    <col min="7376" max="7376" width="11" style="232"/>
    <col min="7377" max="7377" width="11" style="232"/>
    <col min="7378" max="7378" width="11" style="232"/>
    <col min="7379" max="7379" width="11" style="232"/>
    <col min="7380" max="7380" width="11" style="232"/>
    <col min="7381" max="7381" width="11" style="232"/>
    <col min="7382" max="7382" width="11" style="232"/>
    <col min="7383" max="7383" width="11" style="232"/>
    <col min="7384" max="7384" width="11" style="232"/>
    <col min="7385" max="7385" width="11" style="232"/>
    <col min="7386" max="7386" width="11" style="232"/>
    <col min="7387" max="7387" width="11" style="232"/>
    <col min="7388" max="7388" width="11" style="232"/>
    <col min="7389" max="7389" width="11" style="232"/>
    <col min="7390" max="7390" width="11" style="232"/>
    <col min="7391" max="7391" width="11" style="232"/>
    <col min="7392" max="7392" width="11" style="232"/>
    <col min="7393" max="7393" width="11" style="232"/>
    <col min="7394" max="7394" width="11" style="232"/>
    <col min="7395" max="7395" width="11" style="232"/>
    <col min="7396" max="7396" width="11" style="232"/>
    <col min="7397" max="7397" width="11" style="232"/>
    <col min="7398" max="7398" width="11" style="232"/>
    <col min="7399" max="7399" width="11" style="232"/>
    <col min="7400" max="7400" width="11" style="232"/>
    <col min="7401" max="7401" width="11" style="232"/>
    <col min="7402" max="7402" width="11" style="232"/>
    <col min="7403" max="7403" width="11" style="232"/>
    <col min="7404" max="7404" width="11" style="232"/>
    <col min="7405" max="7405" width="11" style="232"/>
    <col min="7406" max="7406" width="11" style="232"/>
    <col min="7407" max="7407" width="11" style="232"/>
    <col min="7408" max="7408" width="11" style="232"/>
    <col min="7409" max="7409" width="11" style="232"/>
    <col min="7410" max="7410" width="11" style="232"/>
    <col min="7411" max="7411" width="11" style="232"/>
    <col min="7412" max="7412" width="11" style="232"/>
    <col min="7413" max="7413" width="10.140625" customWidth="true" style="232"/>
    <col min="7414" max="7414" width="10.140625" customWidth="true" style="232"/>
    <col min="7415" max="7415" width="10.140625" customWidth="true" style="232"/>
    <col min="7416" max="7416" width="10.140625" customWidth="true" style="232"/>
    <col min="7417" max="7417" width="10.140625" customWidth="true" style="232"/>
    <col min="7418" max="7418" width="10.140625" customWidth="true" style="232"/>
    <col min="7419" max="7419" width="10.140625" customWidth="true" style="232"/>
    <col min="7420" max="7420" width="10.140625" customWidth="true" style="232"/>
    <col min="7421" max="7421" width="10.140625" customWidth="true" style="232"/>
    <col min="7422" max="7422" width="11" style="232"/>
    <col min="7423" max="7423" width="11" style="232"/>
    <col min="7424" max="7424" width="11" style="232"/>
    <col min="7425" max="7425" width="11" style="232"/>
    <col min="7426" max="7426" width="11" style="232"/>
    <col min="7427" max="7427" width="11" style="232"/>
    <col min="7428" max="7428" width="11" style="232"/>
    <col min="7429" max="7429" width="11" style="232"/>
    <col min="7430" max="7430" width="11" style="232"/>
    <col min="7431" max="7431" width="11" style="232"/>
    <col min="7432" max="7432" width="11" style="232"/>
    <col min="7433" max="7433" width="11" style="232"/>
    <col min="7434" max="7434" width="11" style="232"/>
    <col min="7435" max="7435" width="11" style="232"/>
    <col min="7436" max="7436" width="11" style="232"/>
    <col min="7437" max="7437" width="11" style="232"/>
    <col min="7438" max="7438" width="11" style="232"/>
    <col min="7439" max="7439" width="11" style="232"/>
    <col min="7440" max="7440" width="11" style="232"/>
    <col min="7441" max="7441" width="11" style="232"/>
    <col min="7442" max="7442" width="11" style="232"/>
    <col min="7443" max="7443" width="11" style="232"/>
    <col min="7444" max="7444" width="11" style="232"/>
    <col min="7445" max="7445" width="11" style="232"/>
    <col min="7446" max="7446" width="11" style="232"/>
    <col min="7447" max="7447" width="11" style="232"/>
    <col min="7448" max="7448" width="11" style="232"/>
    <col min="7449" max="7449" width="11" style="232"/>
    <col min="7450" max="7450" width="11" style="232"/>
    <col min="7451" max="7451" width="11" style="232"/>
    <col min="7452" max="7452" width="11" style="232"/>
    <col min="7453" max="7453" width="11" style="232"/>
    <col min="7454" max="7454" width="11" style="232"/>
    <col min="7455" max="7455" width="11" style="232"/>
    <col min="7456" max="7456" width="11" style="232"/>
    <col min="7457" max="7457" width="11" style="232"/>
    <col min="7458" max="7458" width="11" style="232"/>
    <col min="7459" max="7459" width="11" style="232"/>
    <col min="7460" max="7460" width="11" style="232"/>
    <col min="7461" max="7461" width="11" style="232"/>
    <col min="7462" max="7462" width="11" style="232"/>
    <col min="7463" max="7463" width="11" style="232"/>
    <col min="7464" max="7464" width="11" style="232"/>
    <col min="7465" max="7465" width="11" style="232"/>
    <col min="7466" max="7466" width="11" style="232"/>
    <col min="7467" max="7467" width="11" style="232"/>
    <col min="7468" max="7468" width="11" style="232"/>
    <col min="7469" max="7469" width="11" style="232"/>
    <col min="7470" max="7470" width="11" style="232"/>
    <col min="7471" max="7471" width="11" style="232"/>
    <col min="7472" max="7472" width="11" style="232"/>
    <col min="7473" max="7473" width="11" style="232"/>
    <col min="7474" max="7474" width="11" style="232"/>
    <col min="7475" max="7475" width="11" style="232"/>
    <col min="7476" max="7476" width="11" style="232"/>
    <col min="7477" max="7477" width="11" style="232"/>
    <col min="7478" max="7478" width="11" style="232"/>
    <col min="7479" max="7479" width="11" style="232"/>
    <col min="7480" max="7480" width="11" style="232"/>
    <col min="7481" max="7481" width="11" style="232"/>
    <col min="7482" max="7482" width="11" style="232"/>
    <col min="7483" max="7483" width="11" style="232"/>
    <col min="7484" max="7484" width="11" style="232"/>
    <col min="7485" max="7485" width="11" style="232"/>
    <col min="7486" max="7486" width="11" style="232"/>
    <col min="7487" max="7487" width="11" style="232"/>
    <col min="7488" max="7488" width="11" style="232"/>
    <col min="7489" max="7489" width="11" style="232"/>
    <col min="7490" max="7490" width="11" style="232"/>
    <col min="7491" max="7491" width="11" style="232"/>
    <col min="7492" max="7492" width="11" style="232"/>
    <col min="7493" max="7493" width="11" style="232"/>
    <col min="7494" max="7494" width="11" style="232"/>
    <col min="7495" max="7495" width="11" style="232"/>
    <col min="7496" max="7496" width="11" style="232"/>
    <col min="7497" max="7497" width="11" style="232"/>
    <col min="7498" max="7498" width="11" style="232"/>
    <col min="7499" max="7499" width="11" style="232"/>
    <col min="7500" max="7500" width="11" style="232"/>
    <col min="7501" max="7501" width="11" style="232"/>
    <col min="7502" max="7502" width="11" style="232"/>
    <col min="7503" max="7503" width="11" style="232"/>
    <col min="7504" max="7504" width="11" style="232"/>
    <col min="7505" max="7505" width="11" style="232"/>
    <col min="7506" max="7506" width="11" style="232"/>
    <col min="7507" max="7507" width="11" style="232"/>
    <col min="7508" max="7508" width="11" style="232"/>
    <col min="7509" max="7509" width="11" style="232"/>
    <col min="7510" max="7510" width="11" style="232"/>
    <col min="7511" max="7511" width="11" style="232"/>
    <col min="7512" max="7512" width="11" style="232"/>
    <col min="7513" max="7513" width="11" style="232"/>
    <col min="7514" max="7514" width="11" style="232"/>
    <col min="7515" max="7515" width="11" style="232"/>
    <col min="7516" max="7516" width="11" style="232"/>
    <col min="7517" max="7517" width="11" style="232"/>
    <col min="7518" max="7518" width="11" style="232"/>
    <col min="7519" max="7519" width="11" style="232"/>
    <col min="7520" max="7520" width="11" style="232"/>
    <col min="7521" max="7521" width="11" style="232"/>
    <col min="7522" max="7522" width="11" style="232"/>
    <col min="7523" max="7523" width="11" style="232"/>
    <col min="7524" max="7524" width="11" style="232"/>
    <col min="7525" max="7525" width="11" style="232"/>
    <col min="7526" max="7526" width="11" style="232"/>
    <col min="7527" max="7527" width="11" style="232"/>
    <col min="7528" max="7528" width="11" style="232"/>
    <col min="7529" max="7529" width="11" style="232"/>
    <col min="7530" max="7530" width="11" style="232"/>
    <col min="7531" max="7531" width="11" style="232"/>
    <col min="7532" max="7532" width="11" style="232"/>
    <col min="7533" max="7533" width="11" style="232"/>
    <col min="7534" max="7534" width="11" style="232"/>
    <col min="7535" max="7535" width="11" style="232"/>
    <col min="7536" max="7536" width="11" style="232"/>
    <col min="7537" max="7537" width="11" style="232"/>
    <col min="7538" max="7538" width="11" style="232"/>
    <col min="7539" max="7539" width="11" style="232"/>
    <col min="7540" max="7540" width="11" style="232"/>
    <col min="7541" max="7541" width="11" style="232"/>
    <col min="7542" max="7542" width="11" style="232"/>
    <col min="7543" max="7543" width="11" style="232"/>
    <col min="7544" max="7544" width="11" style="232"/>
    <col min="7545" max="7545" width="11" style="232"/>
    <col min="7546" max="7546" width="11" style="232"/>
    <col min="7547" max="7547" width="11" style="232"/>
    <col min="7548" max="7548" width="11" style="232"/>
    <col min="7549" max="7549" width="11" style="232"/>
    <col min="7550" max="7550" width="11" style="232"/>
    <col min="7551" max="7551" width="11" style="232"/>
    <col min="7552" max="7552" width="11" style="232"/>
    <col min="7553" max="7553" width="11" style="232"/>
    <col min="7554" max="7554" width="11" style="232"/>
    <col min="7555" max="7555" width="11" style="232"/>
    <col min="7556" max="7556" width="11" style="232"/>
    <col min="7557" max="7557" width="11" style="232"/>
    <col min="7558" max="7558" width="11" style="232"/>
    <col min="7559" max="7559" width="11" style="232"/>
    <col min="7560" max="7560" width="11" style="232"/>
    <col min="7561" max="7561" width="11" style="232"/>
    <col min="7562" max="7562" width="11" style="232"/>
    <col min="7563" max="7563" width="11" style="232"/>
    <col min="7564" max="7564" width="11" style="232"/>
    <col min="7565" max="7565" width="11" style="232"/>
    <col min="7566" max="7566" width="11" style="232"/>
    <col min="7567" max="7567" width="11" style="232"/>
    <col min="7568" max="7568" width="11" style="232"/>
    <col min="7569" max="7569" width="11" style="232"/>
    <col min="7570" max="7570" width="11" style="232"/>
    <col min="7571" max="7571" width="11" style="232"/>
    <col min="7572" max="7572" width="11" style="232"/>
    <col min="7573" max="7573" width="11" style="232"/>
    <col min="7574" max="7574" width="11" style="232"/>
    <col min="7575" max="7575" width="11" style="232"/>
    <col min="7576" max="7576" width="11" style="232"/>
    <col min="7577" max="7577" width="11" style="232"/>
    <col min="7578" max="7578" width="11" style="232"/>
    <col min="7579" max="7579" width="11" style="232"/>
    <col min="7580" max="7580" width="11" style="232"/>
    <col min="7581" max="7581" width="11" style="232"/>
    <col min="7582" max="7582" width="11" style="232"/>
    <col min="7583" max="7583" width="11" style="232"/>
    <col min="7584" max="7584" width="11" style="232"/>
    <col min="7585" max="7585" width="11" style="232"/>
    <col min="7586" max="7586" width="11" style="232"/>
    <col min="7587" max="7587" width="11" style="232"/>
    <col min="7588" max="7588" width="11" style="232"/>
    <col min="7589" max="7589" width="11" style="232"/>
    <col min="7590" max="7590" width="11" style="232"/>
    <col min="7591" max="7591" width="11" style="232"/>
    <col min="7592" max="7592" width="11" style="232"/>
    <col min="7593" max="7593" width="11" style="232"/>
    <col min="7594" max="7594" width="11" style="232"/>
    <col min="7595" max="7595" width="11" style="232"/>
    <col min="7596" max="7596" width="11" style="232"/>
    <col min="7597" max="7597" width="11" style="232"/>
    <col min="7598" max="7598" width="11" style="232"/>
    <col min="7599" max="7599" width="11" style="232"/>
    <col min="7600" max="7600" width="11" style="232"/>
    <col min="7601" max="7601" width="11" style="232"/>
    <col min="7602" max="7602" width="11" style="232"/>
    <col min="7603" max="7603" width="11" style="232"/>
    <col min="7604" max="7604" width="11" style="232"/>
    <col min="7605" max="7605" width="11" style="232"/>
    <col min="7606" max="7606" width="11" style="232"/>
    <col min="7607" max="7607" width="11" style="232"/>
    <col min="7608" max="7608" width="11" style="232"/>
    <col min="7609" max="7609" width="11" style="232"/>
    <col min="7610" max="7610" width="11" style="232"/>
    <col min="7611" max="7611" width="11" style="232"/>
    <col min="7612" max="7612" width="11" style="232"/>
    <col min="7613" max="7613" width="11" style="232"/>
    <col min="7614" max="7614" width="11" style="232"/>
    <col min="7615" max="7615" width="11" style="232"/>
    <col min="7616" max="7616" width="11" style="232"/>
    <col min="7617" max="7617" width="11" style="232"/>
    <col min="7618" max="7618" width="11" style="232"/>
    <col min="7619" max="7619" width="11" style="232"/>
    <col min="7620" max="7620" width="11" style="232"/>
    <col min="7621" max="7621" width="11" style="232"/>
    <col min="7622" max="7622" width="11" style="232"/>
    <col min="7623" max="7623" width="11" style="232"/>
    <col min="7624" max="7624" width="11" style="232"/>
    <col min="7625" max="7625" width="11" style="232"/>
    <col min="7626" max="7626" width="11" style="232"/>
    <col min="7627" max="7627" width="11" style="232"/>
    <col min="7628" max="7628" width="11" style="232"/>
    <col min="7629" max="7629" width="11" style="232"/>
    <col min="7630" max="7630" width="11" style="232"/>
    <col min="7631" max="7631" width="11" style="232"/>
    <col min="7632" max="7632" width="11" style="232"/>
    <col min="7633" max="7633" width="11" style="232"/>
    <col min="7634" max="7634" width="11" style="232"/>
    <col min="7635" max="7635" width="11" style="232"/>
    <col min="7636" max="7636" width="11" style="232"/>
    <col min="7637" max="7637" width="11" style="232"/>
    <col min="7638" max="7638" width="11" style="232"/>
    <col min="7639" max="7639" width="11" style="232"/>
    <col min="7640" max="7640" width="11" style="232"/>
    <col min="7641" max="7641" width="11" style="232"/>
    <col min="7642" max="7642" width="11" style="232"/>
    <col min="7643" max="7643" width="11" style="232"/>
    <col min="7644" max="7644" width="11" style="232"/>
    <col min="7645" max="7645" width="11" style="232"/>
    <col min="7646" max="7646" width="11" style="232"/>
    <col min="7647" max="7647" width="11" style="232"/>
    <col min="7648" max="7648" width="11" style="232"/>
    <col min="7649" max="7649" width="11" style="232"/>
    <col min="7650" max="7650" width="11" style="232"/>
    <col min="7651" max="7651" width="11" style="232"/>
    <col min="7652" max="7652" width="11" style="232"/>
    <col min="7653" max="7653" width="11" style="232"/>
    <col min="7654" max="7654" width="11" style="232"/>
    <col min="7655" max="7655" width="11" style="232"/>
    <col min="7656" max="7656" width="11" style="232"/>
    <col min="7657" max="7657" width="11" style="232"/>
    <col min="7658" max="7658" width="11" style="232"/>
    <col min="7659" max="7659" width="11" style="232"/>
    <col min="7660" max="7660" width="11" style="232"/>
    <col min="7661" max="7661" width="11" style="232"/>
    <col min="7662" max="7662" width="11" style="232"/>
    <col min="7663" max="7663" width="11" style="232"/>
    <col min="7664" max="7664" width="11" style="232"/>
    <col min="7665" max="7665" width="11" style="232"/>
    <col min="7666" max="7666" width="11" style="232"/>
    <col min="7667" max="7667" width="11" style="232"/>
    <col min="7668" max="7668" width="11" style="232"/>
    <col min="7669" max="7669" width="10.140625" customWidth="true" style="232"/>
    <col min="7670" max="7670" width="10.140625" customWidth="true" style="232"/>
    <col min="7671" max="7671" width="10.140625" customWidth="true" style="232"/>
    <col min="7672" max="7672" width="10.140625" customWidth="true" style="232"/>
    <col min="7673" max="7673" width="10.140625" customWidth="true" style="232"/>
    <col min="7674" max="7674" width="10.140625" customWidth="true" style="232"/>
    <col min="7675" max="7675" width="10.140625" customWidth="true" style="232"/>
    <col min="7676" max="7676" width="10.140625" customWidth="true" style="232"/>
    <col min="7677" max="7677" width="10.140625" customWidth="true" style="232"/>
    <col min="7678" max="7678" width="11" style="232"/>
    <col min="7679" max="7679" width="11" style="232"/>
    <col min="7680" max="7680" width="11" style="232"/>
    <col min="7681" max="7681" width="11" style="232"/>
    <col min="7682" max="7682" width="11" style="232"/>
    <col min="7683" max="7683" width="11" style="232"/>
    <col min="7684" max="7684" width="11" style="232"/>
    <col min="7685" max="7685" width="11" style="232"/>
    <col min="7686" max="7686" width="11" style="232"/>
    <col min="7687" max="7687" width="11" style="232"/>
    <col min="7688" max="7688" width="11" style="232"/>
    <col min="7689" max="7689" width="11" style="232"/>
    <col min="7690" max="7690" width="11" style="232"/>
    <col min="7691" max="7691" width="11" style="232"/>
    <col min="7692" max="7692" width="11" style="232"/>
    <col min="7693" max="7693" width="11" style="232"/>
    <col min="7694" max="7694" width="11" style="232"/>
    <col min="7695" max="7695" width="11" style="232"/>
    <col min="7696" max="7696" width="11" style="232"/>
    <col min="7697" max="7697" width="11" style="232"/>
    <col min="7698" max="7698" width="11" style="232"/>
    <col min="7699" max="7699" width="11" style="232"/>
    <col min="7700" max="7700" width="11" style="232"/>
    <col min="7701" max="7701" width="11" style="232"/>
    <col min="7702" max="7702" width="11" style="232"/>
    <col min="7703" max="7703" width="11" style="232"/>
    <col min="7704" max="7704" width="11" style="232"/>
    <col min="7705" max="7705" width="11" style="232"/>
    <col min="7706" max="7706" width="11" style="232"/>
    <col min="7707" max="7707" width="11" style="232"/>
    <col min="7708" max="7708" width="11" style="232"/>
    <col min="7709" max="7709" width="11" style="232"/>
    <col min="7710" max="7710" width="11" style="232"/>
    <col min="7711" max="7711" width="11" style="232"/>
    <col min="7712" max="7712" width="11" style="232"/>
    <col min="7713" max="7713" width="11" style="232"/>
    <col min="7714" max="7714" width="11" style="232"/>
    <col min="7715" max="7715" width="11" style="232"/>
    <col min="7716" max="7716" width="11" style="232"/>
    <col min="7717" max="7717" width="11" style="232"/>
    <col min="7718" max="7718" width="11" style="232"/>
    <col min="7719" max="7719" width="11" style="232"/>
    <col min="7720" max="7720" width="11" style="232"/>
    <col min="7721" max="7721" width="11" style="232"/>
    <col min="7722" max="7722" width="11" style="232"/>
    <col min="7723" max="7723" width="11" style="232"/>
    <col min="7724" max="7724" width="11" style="232"/>
    <col min="7725" max="7725" width="11" style="232"/>
    <col min="7726" max="7726" width="11" style="232"/>
    <col min="7727" max="7727" width="11" style="232"/>
    <col min="7728" max="7728" width="11" style="232"/>
    <col min="7729" max="7729" width="11" style="232"/>
    <col min="7730" max="7730" width="11" style="232"/>
    <col min="7731" max="7731" width="11" style="232"/>
    <col min="7732" max="7732" width="11" style="232"/>
    <col min="7733" max="7733" width="11" style="232"/>
    <col min="7734" max="7734" width="11" style="232"/>
    <col min="7735" max="7735" width="11" style="232"/>
    <col min="7736" max="7736" width="11" style="232"/>
    <col min="7737" max="7737" width="11" style="232"/>
    <col min="7738" max="7738" width="11" style="232"/>
    <col min="7739" max="7739" width="11" style="232"/>
    <col min="7740" max="7740" width="11" style="232"/>
    <col min="7741" max="7741" width="11" style="232"/>
    <col min="7742" max="7742" width="11" style="232"/>
    <col min="7743" max="7743" width="11" style="232"/>
    <col min="7744" max="7744" width="11" style="232"/>
    <col min="7745" max="7745" width="11" style="232"/>
    <col min="7746" max="7746" width="11" style="232"/>
    <col min="7747" max="7747" width="11" style="232"/>
    <col min="7748" max="7748" width="11" style="232"/>
    <col min="7749" max="7749" width="11" style="232"/>
    <col min="7750" max="7750" width="11" style="232"/>
    <col min="7751" max="7751" width="11" style="232"/>
    <col min="7752" max="7752" width="11" style="232"/>
    <col min="7753" max="7753" width="11" style="232"/>
    <col min="7754" max="7754" width="11" style="232"/>
    <col min="7755" max="7755" width="11" style="232"/>
    <col min="7756" max="7756" width="11" style="232"/>
    <col min="7757" max="7757" width="11" style="232"/>
    <col min="7758" max="7758" width="11" style="232"/>
    <col min="7759" max="7759" width="11" style="232"/>
    <col min="7760" max="7760" width="11" style="232"/>
    <col min="7761" max="7761" width="11" style="232"/>
    <col min="7762" max="7762" width="11" style="232"/>
    <col min="7763" max="7763" width="11" style="232"/>
    <col min="7764" max="7764" width="11" style="232"/>
    <col min="7765" max="7765" width="11" style="232"/>
    <col min="7766" max="7766" width="11" style="232"/>
    <col min="7767" max="7767" width="11" style="232"/>
    <col min="7768" max="7768" width="11" style="232"/>
    <col min="7769" max="7769" width="11" style="232"/>
    <col min="7770" max="7770" width="11" style="232"/>
    <col min="7771" max="7771" width="11" style="232"/>
    <col min="7772" max="7772" width="11" style="232"/>
    <col min="7773" max="7773" width="11" style="232"/>
    <col min="7774" max="7774" width="11" style="232"/>
    <col min="7775" max="7775" width="11" style="232"/>
    <col min="7776" max="7776" width="11" style="232"/>
    <col min="7777" max="7777" width="11" style="232"/>
    <col min="7778" max="7778" width="11" style="232"/>
    <col min="7779" max="7779" width="11" style="232"/>
    <col min="7780" max="7780" width="11" style="232"/>
    <col min="7781" max="7781" width="11" style="232"/>
    <col min="7782" max="7782" width="11" style="232"/>
    <col min="7783" max="7783" width="11" style="232"/>
    <col min="7784" max="7784" width="11" style="232"/>
    <col min="7785" max="7785" width="11" style="232"/>
    <col min="7786" max="7786" width="11" style="232"/>
    <col min="7787" max="7787" width="11" style="232"/>
    <col min="7788" max="7788" width="11" style="232"/>
    <col min="7789" max="7789" width="11" style="232"/>
    <col min="7790" max="7790" width="11" style="232"/>
    <col min="7791" max="7791" width="11" style="232"/>
    <col min="7792" max="7792" width="11" style="232"/>
    <col min="7793" max="7793" width="11" style="232"/>
    <col min="7794" max="7794" width="11" style="232"/>
    <col min="7795" max="7795" width="11" style="232"/>
    <col min="7796" max="7796" width="11" style="232"/>
    <col min="7797" max="7797" width="11" style="232"/>
    <col min="7798" max="7798" width="11" style="232"/>
    <col min="7799" max="7799" width="11" style="232"/>
    <col min="7800" max="7800" width="11" style="232"/>
    <col min="7801" max="7801" width="11" style="232"/>
    <col min="7802" max="7802" width="11" style="232"/>
    <col min="7803" max="7803" width="11" style="232"/>
    <col min="7804" max="7804" width="11" style="232"/>
    <col min="7805" max="7805" width="11" style="232"/>
    <col min="7806" max="7806" width="11" style="232"/>
    <col min="7807" max="7807" width="11" style="232"/>
    <col min="7808" max="7808" width="11" style="232"/>
    <col min="7809" max="7809" width="11" style="232"/>
    <col min="7810" max="7810" width="11" style="232"/>
    <col min="7811" max="7811" width="11" style="232"/>
    <col min="7812" max="7812" width="11" style="232"/>
    <col min="7813" max="7813" width="11" style="232"/>
    <col min="7814" max="7814" width="11" style="232"/>
    <col min="7815" max="7815" width="11" style="232"/>
    <col min="7816" max="7816" width="11" style="232"/>
    <col min="7817" max="7817" width="11" style="232"/>
    <col min="7818" max="7818" width="11" style="232"/>
    <col min="7819" max="7819" width="11" style="232"/>
    <col min="7820" max="7820" width="11" style="232"/>
    <col min="7821" max="7821" width="11" style="232"/>
    <col min="7822" max="7822" width="11" style="232"/>
    <col min="7823" max="7823" width="11" style="232"/>
    <col min="7824" max="7824" width="11" style="232"/>
    <col min="7825" max="7825" width="11" style="232"/>
    <col min="7826" max="7826" width="11" style="232"/>
    <col min="7827" max="7827" width="11" style="232"/>
    <col min="7828" max="7828" width="11" style="232"/>
    <col min="7829" max="7829" width="11" style="232"/>
    <col min="7830" max="7830" width="11" style="232"/>
    <col min="7831" max="7831" width="11" style="232"/>
    <col min="7832" max="7832" width="11" style="232"/>
    <col min="7833" max="7833" width="11" style="232"/>
    <col min="7834" max="7834" width="11" style="232"/>
    <col min="7835" max="7835" width="11" style="232"/>
    <col min="7836" max="7836" width="11" style="232"/>
    <col min="7837" max="7837" width="11" style="232"/>
    <col min="7838" max="7838" width="11" style="232"/>
    <col min="7839" max="7839" width="11" style="232"/>
    <col min="7840" max="7840" width="11" style="232"/>
    <col min="7841" max="7841" width="11" style="232"/>
    <col min="7842" max="7842" width="11" style="232"/>
    <col min="7843" max="7843" width="11" style="232"/>
    <col min="7844" max="7844" width="11" style="232"/>
    <col min="7845" max="7845" width="11" style="232"/>
    <col min="7846" max="7846" width="11" style="232"/>
    <col min="7847" max="7847" width="11" style="232"/>
    <col min="7848" max="7848" width="11" style="232"/>
    <col min="7849" max="7849" width="11" style="232"/>
    <col min="7850" max="7850" width="11" style="232"/>
    <col min="7851" max="7851" width="11" style="232"/>
    <col min="7852" max="7852" width="11" style="232"/>
    <col min="7853" max="7853" width="11" style="232"/>
    <col min="7854" max="7854" width="11" style="232"/>
    <col min="7855" max="7855" width="11" style="232"/>
    <col min="7856" max="7856" width="11" style="232"/>
    <col min="7857" max="7857" width="11" style="232"/>
    <col min="7858" max="7858" width="11" style="232"/>
    <col min="7859" max="7859" width="11" style="232"/>
    <col min="7860" max="7860" width="11" style="232"/>
    <col min="7861" max="7861" width="11" style="232"/>
    <col min="7862" max="7862" width="11" style="232"/>
    <col min="7863" max="7863" width="11" style="232"/>
    <col min="7864" max="7864" width="11" style="232"/>
    <col min="7865" max="7865" width="11" style="232"/>
    <col min="7866" max="7866" width="11" style="232"/>
    <col min="7867" max="7867" width="11" style="232"/>
    <col min="7868" max="7868" width="11" style="232"/>
    <col min="7869" max="7869" width="11" style="232"/>
    <col min="7870" max="7870" width="11" style="232"/>
    <col min="7871" max="7871" width="11" style="232"/>
    <col min="7872" max="7872" width="11" style="232"/>
    <col min="7873" max="7873" width="11" style="232"/>
    <col min="7874" max="7874" width="11" style="232"/>
    <col min="7875" max="7875" width="11" style="232"/>
    <col min="7876" max="7876" width="11" style="232"/>
    <col min="7877" max="7877" width="11" style="232"/>
    <col min="7878" max="7878" width="11" style="232"/>
    <col min="7879" max="7879" width="11" style="232"/>
    <col min="7880" max="7880" width="11" style="232"/>
    <col min="7881" max="7881" width="11" style="232"/>
    <col min="7882" max="7882" width="11" style="232"/>
    <col min="7883" max="7883" width="11" style="232"/>
    <col min="7884" max="7884" width="11" style="232"/>
    <col min="7885" max="7885" width="11" style="232"/>
    <col min="7886" max="7886" width="11" style="232"/>
    <col min="7887" max="7887" width="11" style="232"/>
    <col min="7888" max="7888" width="11" style="232"/>
    <col min="7889" max="7889" width="11" style="232"/>
    <col min="7890" max="7890" width="11" style="232"/>
    <col min="7891" max="7891" width="11" style="232"/>
    <col min="7892" max="7892" width="11" style="232"/>
    <col min="7893" max="7893" width="11" style="232"/>
    <col min="7894" max="7894" width="11" style="232"/>
    <col min="7895" max="7895" width="11" style="232"/>
    <col min="7896" max="7896" width="11" style="232"/>
    <col min="7897" max="7897" width="11" style="232"/>
    <col min="7898" max="7898" width="11" style="232"/>
    <col min="7899" max="7899" width="11" style="232"/>
    <col min="7900" max="7900" width="11" style="232"/>
    <col min="7901" max="7901" width="11" style="232"/>
    <col min="7902" max="7902" width="11" style="232"/>
    <col min="7903" max="7903" width="11" style="232"/>
    <col min="7904" max="7904" width="11" style="232"/>
    <col min="7905" max="7905" width="11" style="232"/>
    <col min="7906" max="7906" width="11" style="232"/>
    <col min="7907" max="7907" width="11" style="232"/>
    <col min="7908" max="7908" width="11" style="232"/>
    <col min="7909" max="7909" width="11" style="232"/>
    <col min="7910" max="7910" width="11" style="232"/>
    <col min="7911" max="7911" width="11" style="232"/>
    <col min="7912" max="7912" width="11" style="232"/>
    <col min="7913" max="7913" width="11" style="232"/>
    <col min="7914" max="7914" width="11" style="232"/>
    <col min="7915" max="7915" width="11" style="232"/>
    <col min="7916" max="7916" width="11" style="232"/>
    <col min="7917" max="7917" width="11" style="232"/>
    <col min="7918" max="7918" width="11" style="232"/>
    <col min="7919" max="7919" width="11" style="232"/>
    <col min="7920" max="7920" width="11" style="232"/>
    <col min="7921" max="7921" width="11" style="232"/>
    <col min="7922" max="7922" width="11" style="232"/>
    <col min="7923" max="7923" width="11" style="232"/>
    <col min="7924" max="7924" width="11" style="232"/>
    <col min="7925" max="7925" width="10.140625" customWidth="true" style="232"/>
    <col min="7926" max="7926" width="10.140625" customWidth="true" style="232"/>
    <col min="7927" max="7927" width="10.140625" customWidth="true" style="232"/>
    <col min="7928" max="7928" width="10.140625" customWidth="true" style="232"/>
    <col min="7929" max="7929" width="10.140625" customWidth="true" style="232"/>
    <col min="7930" max="7930" width="10.140625" customWidth="true" style="232"/>
    <col min="7931" max="7931" width="10.140625" customWidth="true" style="232"/>
    <col min="7932" max="7932" width="10.140625" customWidth="true" style="232"/>
    <col min="7933" max="7933" width="10.140625" customWidth="true" style="232"/>
    <col min="7934" max="7934" width="11" style="232"/>
    <col min="7935" max="7935" width="11" style="232"/>
    <col min="7936" max="7936" width="11" style="232"/>
    <col min="7937" max="7937" width="11" style="232"/>
    <col min="7938" max="7938" width="11" style="232"/>
    <col min="7939" max="7939" width="11" style="232"/>
    <col min="7940" max="7940" width="11" style="232"/>
    <col min="7941" max="7941" width="11" style="232"/>
    <col min="7942" max="7942" width="11" style="232"/>
    <col min="7943" max="7943" width="11" style="232"/>
    <col min="7944" max="7944" width="11" style="232"/>
    <col min="7945" max="7945" width="11" style="232"/>
    <col min="7946" max="7946" width="11" style="232"/>
    <col min="7947" max="7947" width="11" style="232"/>
    <col min="7948" max="7948" width="11" style="232"/>
    <col min="7949" max="7949" width="11" style="232"/>
    <col min="7950" max="7950" width="11" style="232"/>
    <col min="7951" max="7951" width="11" style="232"/>
    <col min="7952" max="7952" width="11" style="232"/>
    <col min="7953" max="7953" width="11" style="232"/>
    <col min="7954" max="7954" width="11" style="232"/>
    <col min="7955" max="7955" width="11" style="232"/>
    <col min="7956" max="7956" width="11" style="232"/>
    <col min="7957" max="7957" width="11" style="232"/>
    <col min="7958" max="7958" width="11" style="232"/>
    <col min="7959" max="7959" width="11" style="232"/>
    <col min="7960" max="7960" width="11" style="232"/>
    <col min="7961" max="7961" width="11" style="232"/>
    <col min="7962" max="7962" width="11" style="232"/>
    <col min="7963" max="7963" width="11" style="232"/>
    <col min="7964" max="7964" width="11" style="232"/>
    <col min="7965" max="7965" width="11" style="232"/>
    <col min="7966" max="7966" width="11" style="232"/>
    <col min="7967" max="7967" width="11" style="232"/>
    <col min="7968" max="7968" width="11" style="232"/>
    <col min="7969" max="7969" width="11" style="232"/>
    <col min="7970" max="7970" width="11" style="232"/>
    <col min="7971" max="7971" width="11" style="232"/>
    <col min="7972" max="7972" width="11" style="232"/>
    <col min="7973" max="7973" width="11" style="232"/>
    <col min="7974" max="7974" width="11" style="232"/>
    <col min="7975" max="7975" width="11" style="232"/>
    <col min="7976" max="7976" width="11" style="232"/>
    <col min="7977" max="7977" width="11" style="232"/>
    <col min="7978" max="7978" width="11" style="232"/>
    <col min="7979" max="7979" width="11" style="232"/>
    <col min="7980" max="7980" width="11" style="232"/>
    <col min="7981" max="7981" width="11" style="232"/>
    <col min="7982" max="7982" width="11" style="232"/>
    <col min="7983" max="7983" width="11" style="232"/>
    <col min="7984" max="7984" width="11" style="232"/>
    <col min="7985" max="7985" width="11" style="232"/>
    <col min="7986" max="7986" width="11" style="232"/>
    <col min="7987" max="7987" width="11" style="232"/>
    <col min="7988" max="7988" width="11" style="232"/>
    <col min="7989" max="7989" width="11" style="232"/>
    <col min="7990" max="7990" width="11" style="232"/>
    <col min="7991" max="7991" width="11" style="232"/>
    <col min="7992" max="7992" width="11" style="232"/>
    <col min="7993" max="7993" width="11" style="232"/>
    <col min="7994" max="7994" width="11" style="232"/>
    <col min="7995" max="7995" width="11" style="232"/>
    <col min="7996" max="7996" width="11" style="232"/>
    <col min="7997" max="7997" width="11" style="232"/>
    <col min="7998" max="7998" width="11" style="232"/>
    <col min="7999" max="7999" width="11" style="232"/>
    <col min="8000" max="8000" width="11" style="232"/>
    <col min="8001" max="8001" width="11" style="232"/>
    <col min="8002" max="8002" width="11" style="232"/>
    <col min="8003" max="8003" width="11" style="232"/>
    <col min="8004" max="8004" width="11" style="232"/>
    <col min="8005" max="8005" width="11" style="232"/>
    <col min="8006" max="8006" width="11" style="232"/>
    <col min="8007" max="8007" width="11" style="232"/>
    <col min="8008" max="8008" width="11" style="232"/>
    <col min="8009" max="8009" width="11" style="232"/>
    <col min="8010" max="8010" width="11" style="232"/>
    <col min="8011" max="8011" width="11" style="232"/>
    <col min="8012" max="8012" width="11" style="232"/>
    <col min="8013" max="8013" width="11" style="232"/>
    <col min="8014" max="8014" width="11" style="232"/>
    <col min="8015" max="8015" width="11" style="232"/>
    <col min="8016" max="8016" width="11" style="232"/>
    <col min="8017" max="8017" width="11" style="232"/>
    <col min="8018" max="8018" width="11" style="232"/>
    <col min="8019" max="8019" width="11" style="232"/>
    <col min="8020" max="8020" width="11" style="232"/>
    <col min="8021" max="8021" width="11" style="232"/>
    <col min="8022" max="8022" width="11" style="232"/>
    <col min="8023" max="8023" width="11" style="232"/>
    <col min="8024" max="8024" width="11" style="232"/>
    <col min="8025" max="8025" width="11" style="232"/>
    <col min="8026" max="8026" width="11" style="232"/>
    <col min="8027" max="8027" width="11" style="232"/>
    <col min="8028" max="8028" width="11" style="232"/>
    <col min="8029" max="8029" width="11" style="232"/>
    <col min="8030" max="8030" width="11" style="232"/>
    <col min="8031" max="8031" width="11" style="232"/>
    <col min="8032" max="8032" width="11" style="232"/>
    <col min="8033" max="8033" width="11" style="232"/>
    <col min="8034" max="8034" width="11" style="232"/>
    <col min="8035" max="8035" width="11" style="232"/>
    <col min="8036" max="8036" width="11" style="232"/>
    <col min="8037" max="8037" width="11" style="232"/>
    <col min="8038" max="8038" width="11" style="232"/>
    <col min="8039" max="8039" width="11" style="232"/>
    <col min="8040" max="8040" width="11" style="232"/>
    <col min="8041" max="8041" width="11" style="232"/>
    <col min="8042" max="8042" width="11" style="232"/>
    <col min="8043" max="8043" width="11" style="232"/>
    <col min="8044" max="8044" width="11" style="232"/>
    <col min="8045" max="8045" width="11" style="232"/>
    <col min="8046" max="8046" width="11" style="232"/>
    <col min="8047" max="8047" width="11" style="232"/>
    <col min="8048" max="8048" width="11" style="232"/>
    <col min="8049" max="8049" width="11" style="232"/>
    <col min="8050" max="8050" width="11" style="232"/>
    <col min="8051" max="8051" width="11" style="232"/>
    <col min="8052" max="8052" width="11" style="232"/>
    <col min="8053" max="8053" width="11" style="232"/>
    <col min="8054" max="8054" width="11" style="232"/>
    <col min="8055" max="8055" width="11" style="232"/>
    <col min="8056" max="8056" width="11" style="232"/>
    <col min="8057" max="8057" width="11" style="232"/>
    <col min="8058" max="8058" width="11" style="232"/>
    <col min="8059" max="8059" width="11" style="232"/>
    <col min="8060" max="8060" width="11" style="232"/>
    <col min="8061" max="8061" width="11" style="232"/>
    <col min="8062" max="8062" width="11" style="232"/>
    <col min="8063" max="8063" width="11" style="232"/>
    <col min="8064" max="8064" width="11" style="232"/>
    <col min="8065" max="8065" width="11" style="232"/>
    <col min="8066" max="8066" width="11" style="232"/>
    <col min="8067" max="8067" width="11" style="232"/>
    <col min="8068" max="8068" width="11" style="232"/>
    <col min="8069" max="8069" width="11" style="232"/>
    <col min="8070" max="8070" width="11" style="232"/>
    <col min="8071" max="8071" width="11" style="232"/>
    <col min="8072" max="8072" width="11" style="232"/>
    <col min="8073" max="8073" width="11" style="232"/>
    <col min="8074" max="8074" width="11" style="232"/>
    <col min="8075" max="8075" width="11" style="232"/>
    <col min="8076" max="8076" width="11" style="232"/>
    <col min="8077" max="8077" width="11" style="232"/>
    <col min="8078" max="8078" width="11" style="232"/>
    <col min="8079" max="8079" width="11" style="232"/>
    <col min="8080" max="8080" width="11" style="232"/>
    <col min="8081" max="8081" width="11" style="232"/>
    <col min="8082" max="8082" width="11" style="232"/>
    <col min="8083" max="8083" width="11" style="232"/>
    <col min="8084" max="8084" width="11" style="232"/>
    <col min="8085" max="8085" width="11" style="232"/>
    <col min="8086" max="8086" width="11" style="232"/>
    <col min="8087" max="8087" width="11" style="232"/>
    <col min="8088" max="8088" width="11" style="232"/>
    <col min="8089" max="8089" width="11" style="232"/>
    <col min="8090" max="8090" width="11" style="232"/>
    <col min="8091" max="8091" width="11" style="232"/>
    <col min="8092" max="8092" width="11" style="232"/>
    <col min="8093" max="8093" width="11" style="232"/>
    <col min="8094" max="8094" width="11" style="232"/>
    <col min="8095" max="8095" width="11" style="232"/>
    <col min="8096" max="8096" width="11" style="232"/>
    <col min="8097" max="8097" width="11" style="232"/>
    <col min="8098" max="8098" width="11" style="232"/>
    <col min="8099" max="8099" width="11" style="232"/>
    <col min="8100" max="8100" width="11" style="232"/>
    <col min="8101" max="8101" width="11" style="232"/>
    <col min="8102" max="8102" width="11" style="232"/>
    <col min="8103" max="8103" width="11" style="232"/>
    <col min="8104" max="8104" width="11" style="232"/>
    <col min="8105" max="8105" width="11" style="232"/>
    <col min="8106" max="8106" width="11" style="232"/>
    <col min="8107" max="8107" width="11" style="232"/>
    <col min="8108" max="8108" width="11" style="232"/>
    <col min="8109" max="8109" width="11" style="232"/>
    <col min="8110" max="8110" width="11" style="232"/>
    <col min="8111" max="8111" width="11" style="232"/>
    <col min="8112" max="8112" width="11" style="232"/>
    <col min="8113" max="8113" width="11" style="232"/>
    <col min="8114" max="8114" width="11" style="232"/>
    <col min="8115" max="8115" width="11" style="232"/>
    <col min="8116" max="8116" width="11" style="232"/>
    <col min="8117" max="8117" width="11" style="232"/>
    <col min="8118" max="8118" width="11" style="232"/>
    <col min="8119" max="8119" width="11" style="232"/>
    <col min="8120" max="8120" width="11" style="232"/>
    <col min="8121" max="8121" width="11" style="232"/>
    <col min="8122" max="8122" width="11" style="232"/>
    <col min="8123" max="8123" width="11" style="232"/>
    <col min="8124" max="8124" width="11" style="232"/>
    <col min="8125" max="8125" width="11" style="232"/>
    <col min="8126" max="8126" width="11" style="232"/>
    <col min="8127" max="8127" width="11" style="232"/>
    <col min="8128" max="8128" width="11" style="232"/>
    <col min="8129" max="8129" width="11" style="232"/>
    <col min="8130" max="8130" width="11" style="232"/>
    <col min="8131" max="8131" width="11" style="232"/>
    <col min="8132" max="8132" width="11" style="232"/>
    <col min="8133" max="8133" width="11" style="232"/>
    <col min="8134" max="8134" width="11" style="232"/>
    <col min="8135" max="8135" width="11" style="232"/>
    <col min="8136" max="8136" width="11" style="232"/>
    <col min="8137" max="8137" width="11" style="232"/>
    <col min="8138" max="8138" width="11" style="232"/>
    <col min="8139" max="8139" width="11" style="232"/>
    <col min="8140" max="8140" width="11" style="232"/>
    <col min="8141" max="8141" width="11" style="232"/>
    <col min="8142" max="8142" width="11" style="232"/>
    <col min="8143" max="8143" width="11" style="232"/>
    <col min="8144" max="8144" width="11" style="232"/>
    <col min="8145" max="8145" width="11" style="232"/>
    <col min="8146" max="8146" width="11" style="232"/>
    <col min="8147" max="8147" width="11" style="232"/>
    <col min="8148" max="8148" width="11" style="232"/>
    <col min="8149" max="8149" width="11" style="232"/>
    <col min="8150" max="8150" width="11" style="232"/>
    <col min="8151" max="8151" width="11" style="232"/>
    <col min="8152" max="8152" width="11" style="232"/>
    <col min="8153" max="8153" width="11" style="232"/>
    <col min="8154" max="8154" width="11" style="232"/>
    <col min="8155" max="8155" width="11" style="232"/>
    <col min="8156" max="8156" width="11" style="232"/>
    <col min="8157" max="8157" width="11" style="232"/>
    <col min="8158" max="8158" width="11" style="232"/>
    <col min="8159" max="8159" width="11" style="232"/>
    <col min="8160" max="8160" width="11" style="232"/>
    <col min="8161" max="8161" width="11" style="232"/>
    <col min="8162" max="8162" width="11" style="232"/>
    <col min="8163" max="8163" width="11" style="232"/>
    <col min="8164" max="8164" width="11" style="232"/>
    <col min="8165" max="8165" width="11" style="232"/>
    <col min="8166" max="8166" width="11" style="232"/>
    <col min="8167" max="8167" width="11" style="232"/>
    <col min="8168" max="8168" width="11" style="232"/>
    <col min="8169" max="8169" width="11" style="232"/>
    <col min="8170" max="8170" width="11" style="232"/>
    <col min="8171" max="8171" width="11" style="232"/>
    <col min="8172" max="8172" width="11" style="232"/>
    <col min="8173" max="8173" width="11" style="232"/>
    <col min="8174" max="8174" width="11" style="232"/>
    <col min="8175" max="8175" width="11" style="232"/>
    <col min="8176" max="8176" width="11" style="232"/>
    <col min="8177" max="8177" width="11" style="232"/>
    <col min="8178" max="8178" width="11" style="232"/>
    <col min="8179" max="8179" width="11" style="232"/>
    <col min="8180" max="8180" width="11" style="232"/>
    <col min="8181" max="8181" width="10.140625" customWidth="true" style="232"/>
    <col min="8182" max="8182" width="10.140625" customWidth="true" style="232"/>
    <col min="8183" max="8183" width="10.140625" customWidth="true" style="232"/>
    <col min="8184" max="8184" width="10.140625" customWidth="true" style="232"/>
    <col min="8185" max="8185" width="10.140625" customWidth="true" style="232"/>
    <col min="8186" max="8186" width="10.140625" customWidth="true" style="232"/>
    <col min="8187" max="8187" width="10.140625" customWidth="true" style="232"/>
    <col min="8188" max="8188" width="10.140625" customWidth="true" style="232"/>
    <col min="8189" max="8189" width="10.140625" customWidth="true" style="232"/>
    <col min="8190" max="8190" width="11" style="232"/>
    <col min="8191" max="8191" width="11" style="232"/>
    <col min="8192" max="8192" width="11" style="232"/>
    <col min="8193" max="8193" width="11" style="232"/>
    <col min="8194" max="8194" width="11" style="232"/>
    <col min="8195" max="8195" width="11" style="232"/>
    <col min="8196" max="8196" width="11" style="232"/>
    <col min="8197" max="8197" width="11" style="232"/>
    <col min="8198" max="8198" width="11" style="232"/>
    <col min="8199" max="8199" width="11" style="232"/>
    <col min="8200" max="8200" width="11" style="232"/>
    <col min="8201" max="8201" width="11" style="232"/>
    <col min="8202" max="8202" width="11" style="232"/>
    <col min="8203" max="8203" width="11" style="232"/>
    <col min="8204" max="8204" width="11" style="232"/>
    <col min="8205" max="8205" width="11" style="232"/>
    <col min="8206" max="8206" width="11" style="232"/>
    <col min="8207" max="8207" width="11" style="232"/>
    <col min="8208" max="8208" width="11" style="232"/>
    <col min="8209" max="8209" width="11" style="232"/>
    <col min="8210" max="8210" width="11" style="232"/>
    <col min="8211" max="8211" width="11" style="232"/>
    <col min="8212" max="8212" width="11" style="232"/>
    <col min="8213" max="8213" width="11" style="232"/>
    <col min="8214" max="8214" width="11" style="232"/>
    <col min="8215" max="8215" width="11" style="232"/>
    <col min="8216" max="8216" width="11" style="232"/>
    <col min="8217" max="8217" width="11" style="232"/>
    <col min="8218" max="8218" width="11" style="232"/>
    <col min="8219" max="8219" width="11" style="232"/>
    <col min="8220" max="8220" width="11" style="232"/>
    <col min="8221" max="8221" width="11" style="232"/>
    <col min="8222" max="8222" width="11" style="232"/>
    <col min="8223" max="8223" width="11" style="232"/>
    <col min="8224" max="8224" width="11" style="232"/>
    <col min="8225" max="8225" width="11" style="232"/>
    <col min="8226" max="8226" width="11" style="232"/>
    <col min="8227" max="8227" width="11" style="232"/>
    <col min="8228" max="8228" width="11" style="232"/>
    <col min="8229" max="8229" width="11" style="232"/>
    <col min="8230" max="8230" width="11" style="232"/>
    <col min="8231" max="8231" width="11" style="232"/>
    <col min="8232" max="8232" width="11" style="232"/>
    <col min="8233" max="8233" width="11" style="232"/>
    <col min="8234" max="8234" width="11" style="232"/>
    <col min="8235" max="8235" width="11" style="232"/>
    <col min="8236" max="8236" width="11" style="232"/>
    <col min="8237" max="8237" width="11" style="232"/>
    <col min="8238" max="8238" width="11" style="232"/>
    <col min="8239" max="8239" width="11" style="232"/>
    <col min="8240" max="8240" width="11" style="232"/>
    <col min="8241" max="8241" width="11" style="232"/>
    <col min="8242" max="8242" width="11" style="232"/>
    <col min="8243" max="8243" width="11" style="232"/>
    <col min="8244" max="8244" width="11" style="232"/>
    <col min="8245" max="8245" width="11" style="232"/>
    <col min="8246" max="8246" width="11" style="232"/>
    <col min="8247" max="8247" width="11" style="232"/>
    <col min="8248" max="8248" width="11" style="232"/>
    <col min="8249" max="8249" width="11" style="232"/>
    <col min="8250" max="8250" width="11" style="232"/>
    <col min="8251" max="8251" width="11" style="232"/>
    <col min="8252" max="8252" width="11" style="232"/>
    <col min="8253" max="8253" width="11" style="232"/>
    <col min="8254" max="8254" width="11" style="232"/>
    <col min="8255" max="8255" width="11" style="232"/>
    <col min="8256" max="8256" width="11" style="232"/>
    <col min="8257" max="8257" width="11" style="232"/>
    <col min="8258" max="8258" width="11" style="232"/>
    <col min="8259" max="8259" width="11" style="232"/>
    <col min="8260" max="8260" width="11" style="232"/>
    <col min="8261" max="8261" width="11" style="232"/>
    <col min="8262" max="8262" width="11" style="232"/>
    <col min="8263" max="8263" width="11" style="232"/>
    <col min="8264" max="8264" width="11" style="232"/>
    <col min="8265" max="8265" width="11" style="232"/>
    <col min="8266" max="8266" width="11" style="232"/>
    <col min="8267" max="8267" width="11" style="232"/>
    <col min="8268" max="8268" width="11" style="232"/>
    <col min="8269" max="8269" width="11" style="232"/>
    <col min="8270" max="8270" width="11" style="232"/>
    <col min="8271" max="8271" width="11" style="232"/>
    <col min="8272" max="8272" width="11" style="232"/>
    <col min="8273" max="8273" width="11" style="232"/>
    <col min="8274" max="8274" width="11" style="232"/>
    <col min="8275" max="8275" width="11" style="232"/>
    <col min="8276" max="8276" width="11" style="232"/>
    <col min="8277" max="8277" width="11" style="232"/>
    <col min="8278" max="8278" width="11" style="232"/>
    <col min="8279" max="8279" width="11" style="232"/>
    <col min="8280" max="8280" width="11" style="232"/>
    <col min="8281" max="8281" width="11" style="232"/>
    <col min="8282" max="8282" width="11" style="232"/>
    <col min="8283" max="8283" width="11" style="232"/>
    <col min="8284" max="8284" width="11" style="232"/>
    <col min="8285" max="8285" width="11" style="232"/>
    <col min="8286" max="8286" width="11" style="232"/>
    <col min="8287" max="8287" width="11" style="232"/>
    <col min="8288" max="8288" width="11" style="232"/>
    <col min="8289" max="8289" width="11" style="232"/>
    <col min="8290" max="8290" width="11" style="232"/>
    <col min="8291" max="8291" width="11" style="232"/>
    <col min="8292" max="8292" width="11" style="232"/>
    <col min="8293" max="8293" width="11" style="232"/>
    <col min="8294" max="8294" width="11" style="232"/>
    <col min="8295" max="8295" width="11" style="232"/>
    <col min="8296" max="8296" width="11" style="232"/>
    <col min="8297" max="8297" width="11" style="232"/>
    <col min="8298" max="8298" width="11" style="232"/>
    <col min="8299" max="8299" width="11" style="232"/>
    <col min="8300" max="8300" width="11" style="232"/>
    <col min="8301" max="8301" width="11" style="232"/>
    <col min="8302" max="8302" width="11" style="232"/>
    <col min="8303" max="8303" width="11" style="232"/>
    <col min="8304" max="8304" width="11" style="232"/>
    <col min="8305" max="8305" width="11" style="232"/>
    <col min="8306" max="8306" width="11" style="232"/>
    <col min="8307" max="8307" width="11" style="232"/>
    <col min="8308" max="8308" width="11" style="232"/>
    <col min="8309" max="8309" width="11" style="232"/>
    <col min="8310" max="8310" width="11" style="232"/>
    <col min="8311" max="8311" width="11" style="232"/>
    <col min="8312" max="8312" width="11" style="232"/>
    <col min="8313" max="8313" width="11" style="232"/>
    <col min="8314" max="8314" width="11" style="232"/>
    <col min="8315" max="8315" width="11" style="232"/>
    <col min="8316" max="8316" width="11" style="232"/>
    <col min="8317" max="8317" width="11" style="232"/>
    <col min="8318" max="8318" width="11" style="232"/>
    <col min="8319" max="8319" width="11" style="232"/>
    <col min="8320" max="8320" width="11" style="232"/>
    <col min="8321" max="8321" width="11" style="232"/>
    <col min="8322" max="8322" width="11" style="232"/>
    <col min="8323" max="8323" width="11" style="232"/>
    <col min="8324" max="8324" width="11" style="232"/>
    <col min="8325" max="8325" width="11" style="232"/>
    <col min="8326" max="8326" width="11" style="232"/>
    <col min="8327" max="8327" width="11" style="232"/>
    <col min="8328" max="8328" width="11" style="232"/>
    <col min="8329" max="8329" width="11" style="232"/>
    <col min="8330" max="8330" width="11" style="232"/>
    <col min="8331" max="8331" width="11" style="232"/>
    <col min="8332" max="8332" width="11" style="232"/>
    <col min="8333" max="8333" width="11" style="232"/>
    <col min="8334" max="8334" width="11" style="232"/>
    <col min="8335" max="8335" width="11" style="232"/>
    <col min="8336" max="8336" width="11" style="232"/>
    <col min="8337" max="8337" width="11" style="232"/>
    <col min="8338" max="8338" width="11" style="232"/>
    <col min="8339" max="8339" width="11" style="232"/>
    <col min="8340" max="8340" width="11" style="232"/>
    <col min="8341" max="8341" width="11" style="232"/>
    <col min="8342" max="8342" width="11" style="232"/>
    <col min="8343" max="8343" width="11" style="232"/>
    <col min="8344" max="8344" width="11" style="232"/>
    <col min="8345" max="8345" width="11" style="232"/>
    <col min="8346" max="8346" width="11" style="232"/>
    <col min="8347" max="8347" width="11" style="232"/>
    <col min="8348" max="8348" width="11" style="232"/>
    <col min="8349" max="8349" width="11" style="232"/>
    <col min="8350" max="8350" width="11" style="232"/>
    <col min="8351" max="8351" width="11" style="232"/>
    <col min="8352" max="8352" width="11" style="232"/>
    <col min="8353" max="8353" width="11" style="232"/>
    <col min="8354" max="8354" width="11" style="232"/>
    <col min="8355" max="8355" width="11" style="232"/>
    <col min="8356" max="8356" width="11" style="232"/>
    <col min="8357" max="8357" width="11" style="232"/>
    <col min="8358" max="8358" width="11" style="232"/>
    <col min="8359" max="8359" width="11" style="232"/>
    <col min="8360" max="8360" width="11" style="232"/>
    <col min="8361" max="8361" width="11" style="232"/>
    <col min="8362" max="8362" width="11" style="232"/>
    <col min="8363" max="8363" width="11" style="232"/>
    <col min="8364" max="8364" width="11" style="232"/>
    <col min="8365" max="8365" width="11" style="232"/>
    <col min="8366" max="8366" width="11" style="232"/>
    <col min="8367" max="8367" width="11" style="232"/>
    <col min="8368" max="8368" width="11" style="232"/>
    <col min="8369" max="8369" width="11" style="232"/>
    <col min="8370" max="8370" width="11" style="232"/>
    <col min="8371" max="8371" width="11" style="232"/>
    <col min="8372" max="8372" width="11" style="232"/>
    <col min="8373" max="8373" width="11" style="232"/>
    <col min="8374" max="8374" width="11" style="232"/>
    <col min="8375" max="8375" width="11" style="232"/>
    <col min="8376" max="8376" width="11" style="232"/>
    <col min="8377" max="8377" width="11" style="232"/>
    <col min="8378" max="8378" width="11" style="232"/>
    <col min="8379" max="8379" width="11" style="232"/>
    <col min="8380" max="8380" width="11" style="232"/>
    <col min="8381" max="8381" width="11" style="232"/>
    <col min="8382" max="8382" width="11" style="232"/>
    <col min="8383" max="8383" width="11" style="232"/>
    <col min="8384" max="8384" width="11" style="232"/>
    <col min="8385" max="8385" width="11" style="232"/>
    <col min="8386" max="8386" width="11" style="232"/>
    <col min="8387" max="8387" width="11" style="232"/>
    <col min="8388" max="8388" width="11" style="232"/>
    <col min="8389" max="8389" width="11" style="232"/>
    <col min="8390" max="8390" width="11" style="232"/>
    <col min="8391" max="8391" width="11" style="232"/>
    <col min="8392" max="8392" width="11" style="232"/>
    <col min="8393" max="8393" width="11" style="232"/>
    <col min="8394" max="8394" width="11" style="232"/>
    <col min="8395" max="8395" width="11" style="232"/>
    <col min="8396" max="8396" width="11" style="232"/>
    <col min="8397" max="8397" width="11" style="232"/>
    <col min="8398" max="8398" width="11" style="232"/>
    <col min="8399" max="8399" width="11" style="232"/>
    <col min="8400" max="8400" width="11" style="232"/>
    <col min="8401" max="8401" width="11" style="232"/>
    <col min="8402" max="8402" width="11" style="232"/>
    <col min="8403" max="8403" width="11" style="232"/>
    <col min="8404" max="8404" width="11" style="232"/>
    <col min="8405" max="8405" width="11" style="232"/>
    <col min="8406" max="8406" width="11" style="232"/>
    <col min="8407" max="8407" width="11" style="232"/>
    <col min="8408" max="8408" width="11" style="232"/>
    <col min="8409" max="8409" width="11" style="232"/>
    <col min="8410" max="8410" width="11" style="232"/>
    <col min="8411" max="8411" width="11" style="232"/>
    <col min="8412" max="8412" width="11" style="232"/>
    <col min="8413" max="8413" width="11" style="232"/>
    <col min="8414" max="8414" width="11" style="232"/>
    <col min="8415" max="8415" width="11" style="232"/>
    <col min="8416" max="8416" width="11" style="232"/>
    <col min="8417" max="8417" width="11" style="232"/>
    <col min="8418" max="8418" width="11" style="232"/>
    <col min="8419" max="8419" width="11" style="232"/>
    <col min="8420" max="8420" width="11" style="232"/>
    <col min="8421" max="8421" width="11" style="232"/>
    <col min="8422" max="8422" width="11" style="232"/>
    <col min="8423" max="8423" width="11" style="232"/>
    <col min="8424" max="8424" width="11" style="232"/>
    <col min="8425" max="8425" width="11" style="232"/>
    <col min="8426" max="8426" width="11" style="232"/>
    <col min="8427" max="8427" width="11" style="232"/>
    <col min="8428" max="8428" width="11" style="232"/>
    <col min="8429" max="8429" width="11" style="232"/>
    <col min="8430" max="8430" width="11" style="232"/>
    <col min="8431" max="8431" width="11" style="232"/>
    <col min="8432" max="8432" width="11" style="232"/>
    <col min="8433" max="8433" width="11" style="232"/>
    <col min="8434" max="8434" width="11" style="232"/>
    <col min="8435" max="8435" width="11" style="232"/>
    <col min="8436" max="8436" width="11" style="232"/>
    <col min="8437" max="8437" width="10.140625" customWidth="true" style="232"/>
    <col min="8438" max="8438" width="10.140625" customWidth="true" style="232"/>
    <col min="8439" max="8439" width="10.140625" customWidth="true" style="232"/>
    <col min="8440" max="8440" width="10.140625" customWidth="true" style="232"/>
    <col min="8441" max="8441" width="10.140625" customWidth="true" style="232"/>
    <col min="8442" max="8442" width="10.140625" customWidth="true" style="232"/>
    <col min="8443" max="8443" width="10.140625" customWidth="true" style="232"/>
    <col min="8444" max="8444" width="10.140625" customWidth="true" style="232"/>
    <col min="8445" max="8445" width="10.140625" customWidth="true" style="232"/>
    <col min="8446" max="8446" width="11" style="232"/>
    <col min="8447" max="8447" width="11" style="232"/>
    <col min="8448" max="8448" width="11" style="232"/>
    <col min="8449" max="8449" width="11" style="232"/>
    <col min="8450" max="8450" width="11" style="232"/>
    <col min="8451" max="8451" width="11" style="232"/>
    <col min="8452" max="8452" width="11" style="232"/>
    <col min="8453" max="8453" width="11" style="232"/>
    <col min="8454" max="8454" width="11" style="232"/>
    <col min="8455" max="8455" width="11" style="232"/>
    <col min="8456" max="8456" width="11" style="232"/>
    <col min="8457" max="8457" width="11" style="232"/>
    <col min="8458" max="8458" width="11" style="232"/>
    <col min="8459" max="8459" width="11" style="232"/>
    <col min="8460" max="8460" width="11" style="232"/>
    <col min="8461" max="8461" width="11" style="232"/>
    <col min="8462" max="8462" width="11" style="232"/>
    <col min="8463" max="8463" width="11" style="232"/>
    <col min="8464" max="8464" width="11" style="232"/>
    <col min="8465" max="8465" width="11" style="232"/>
    <col min="8466" max="8466" width="11" style="232"/>
    <col min="8467" max="8467" width="11" style="232"/>
    <col min="8468" max="8468" width="11" style="232"/>
    <col min="8469" max="8469" width="11" style="232"/>
    <col min="8470" max="8470" width="11" style="232"/>
    <col min="8471" max="8471" width="11" style="232"/>
    <col min="8472" max="8472" width="11" style="232"/>
    <col min="8473" max="8473" width="11" style="232"/>
    <col min="8474" max="8474" width="11" style="232"/>
    <col min="8475" max="8475" width="11" style="232"/>
    <col min="8476" max="8476" width="11" style="232"/>
    <col min="8477" max="8477" width="11" style="232"/>
    <col min="8478" max="8478" width="11" style="232"/>
    <col min="8479" max="8479" width="11" style="232"/>
    <col min="8480" max="8480" width="11" style="232"/>
    <col min="8481" max="8481" width="11" style="232"/>
    <col min="8482" max="8482" width="11" style="232"/>
    <col min="8483" max="8483" width="11" style="232"/>
    <col min="8484" max="8484" width="11" style="232"/>
    <col min="8485" max="8485" width="11" style="232"/>
    <col min="8486" max="8486" width="11" style="232"/>
    <col min="8487" max="8487" width="11" style="232"/>
    <col min="8488" max="8488" width="11" style="232"/>
    <col min="8489" max="8489" width="11" style="232"/>
    <col min="8490" max="8490" width="11" style="232"/>
    <col min="8491" max="8491" width="11" style="232"/>
    <col min="8492" max="8492" width="11" style="232"/>
    <col min="8493" max="8493" width="11" style="232"/>
    <col min="8494" max="8494" width="11" style="232"/>
    <col min="8495" max="8495" width="11" style="232"/>
    <col min="8496" max="8496" width="11" style="232"/>
    <col min="8497" max="8497" width="11" style="232"/>
    <col min="8498" max="8498" width="11" style="232"/>
    <col min="8499" max="8499" width="11" style="232"/>
    <col min="8500" max="8500" width="11" style="232"/>
    <col min="8501" max="8501" width="11" style="232"/>
    <col min="8502" max="8502" width="11" style="232"/>
    <col min="8503" max="8503" width="11" style="232"/>
    <col min="8504" max="8504" width="11" style="232"/>
    <col min="8505" max="8505" width="11" style="232"/>
    <col min="8506" max="8506" width="11" style="232"/>
    <col min="8507" max="8507" width="11" style="232"/>
    <col min="8508" max="8508" width="11" style="232"/>
    <col min="8509" max="8509" width="11" style="232"/>
    <col min="8510" max="8510" width="11" style="232"/>
    <col min="8511" max="8511" width="11" style="232"/>
    <col min="8512" max="8512" width="11" style="232"/>
    <col min="8513" max="8513" width="11" style="232"/>
    <col min="8514" max="8514" width="11" style="232"/>
    <col min="8515" max="8515" width="11" style="232"/>
    <col min="8516" max="8516" width="11" style="232"/>
    <col min="8517" max="8517" width="11" style="232"/>
    <col min="8518" max="8518" width="11" style="232"/>
    <col min="8519" max="8519" width="11" style="232"/>
    <col min="8520" max="8520" width="11" style="232"/>
    <col min="8521" max="8521" width="11" style="232"/>
    <col min="8522" max="8522" width="11" style="232"/>
    <col min="8523" max="8523" width="11" style="232"/>
    <col min="8524" max="8524" width="11" style="232"/>
    <col min="8525" max="8525" width="11" style="232"/>
    <col min="8526" max="8526" width="11" style="232"/>
    <col min="8527" max="8527" width="11" style="232"/>
    <col min="8528" max="8528" width="11" style="232"/>
    <col min="8529" max="8529" width="11" style="232"/>
    <col min="8530" max="8530" width="11" style="232"/>
    <col min="8531" max="8531" width="11" style="232"/>
    <col min="8532" max="8532" width="11" style="232"/>
    <col min="8533" max="8533" width="11" style="232"/>
    <col min="8534" max="8534" width="11" style="232"/>
    <col min="8535" max="8535" width="11" style="232"/>
    <col min="8536" max="8536" width="11" style="232"/>
    <col min="8537" max="8537" width="11" style="232"/>
    <col min="8538" max="8538" width="11" style="232"/>
    <col min="8539" max="8539" width="11" style="232"/>
    <col min="8540" max="8540" width="11" style="232"/>
    <col min="8541" max="8541" width="11" style="232"/>
    <col min="8542" max="8542" width="11" style="232"/>
    <col min="8543" max="8543" width="11" style="232"/>
    <col min="8544" max="8544" width="11" style="232"/>
    <col min="8545" max="8545" width="11" style="232"/>
    <col min="8546" max="8546" width="11" style="232"/>
    <col min="8547" max="8547" width="11" style="232"/>
    <col min="8548" max="8548" width="11" style="232"/>
    <col min="8549" max="8549" width="11" style="232"/>
    <col min="8550" max="8550" width="11" style="232"/>
    <col min="8551" max="8551" width="11" style="232"/>
    <col min="8552" max="8552" width="11" style="232"/>
    <col min="8553" max="8553" width="11" style="232"/>
    <col min="8554" max="8554" width="11" style="232"/>
    <col min="8555" max="8555" width="11" style="232"/>
    <col min="8556" max="8556" width="11" style="232"/>
    <col min="8557" max="8557" width="11" style="232"/>
    <col min="8558" max="8558" width="11" style="232"/>
    <col min="8559" max="8559" width="11" style="232"/>
    <col min="8560" max="8560" width="11" style="232"/>
    <col min="8561" max="8561" width="11" style="232"/>
    <col min="8562" max="8562" width="11" style="232"/>
    <col min="8563" max="8563" width="11" style="232"/>
    <col min="8564" max="8564" width="11" style="232"/>
    <col min="8565" max="8565" width="11" style="232"/>
    <col min="8566" max="8566" width="11" style="232"/>
    <col min="8567" max="8567" width="11" style="232"/>
    <col min="8568" max="8568" width="11" style="232"/>
    <col min="8569" max="8569" width="11" style="232"/>
    <col min="8570" max="8570" width="11" style="232"/>
    <col min="8571" max="8571" width="11" style="232"/>
    <col min="8572" max="8572" width="11" style="232"/>
    <col min="8573" max="8573" width="11" style="232"/>
    <col min="8574" max="8574" width="11" style="232"/>
    <col min="8575" max="8575" width="11" style="232"/>
    <col min="8576" max="8576" width="11" style="232"/>
    <col min="8577" max="8577" width="11" style="232"/>
    <col min="8578" max="8578" width="11" style="232"/>
    <col min="8579" max="8579" width="11" style="232"/>
    <col min="8580" max="8580" width="11" style="232"/>
    <col min="8581" max="8581" width="11" style="232"/>
    <col min="8582" max="8582" width="11" style="232"/>
    <col min="8583" max="8583" width="11" style="232"/>
    <col min="8584" max="8584" width="11" style="232"/>
    <col min="8585" max="8585" width="11" style="232"/>
    <col min="8586" max="8586" width="11" style="232"/>
    <col min="8587" max="8587" width="11" style="232"/>
    <col min="8588" max="8588" width="11" style="232"/>
    <col min="8589" max="8589" width="11" style="232"/>
    <col min="8590" max="8590" width="11" style="232"/>
    <col min="8591" max="8591" width="11" style="232"/>
    <col min="8592" max="8592" width="11" style="232"/>
    <col min="8593" max="8593" width="11" style="232"/>
    <col min="8594" max="8594" width="11" style="232"/>
    <col min="8595" max="8595" width="11" style="232"/>
    <col min="8596" max="8596" width="11" style="232"/>
    <col min="8597" max="8597" width="11" style="232"/>
    <col min="8598" max="8598" width="11" style="232"/>
    <col min="8599" max="8599" width="11" style="232"/>
    <col min="8600" max="8600" width="11" style="232"/>
    <col min="8601" max="8601" width="11" style="232"/>
    <col min="8602" max="8602" width="11" style="232"/>
    <col min="8603" max="8603" width="11" style="232"/>
    <col min="8604" max="8604" width="11" style="232"/>
    <col min="8605" max="8605" width="11" style="232"/>
    <col min="8606" max="8606" width="11" style="232"/>
    <col min="8607" max="8607" width="11" style="232"/>
    <col min="8608" max="8608" width="11" style="232"/>
    <col min="8609" max="8609" width="11" style="232"/>
    <col min="8610" max="8610" width="11" style="232"/>
    <col min="8611" max="8611" width="11" style="232"/>
    <col min="8612" max="8612" width="11" style="232"/>
    <col min="8613" max="8613" width="11" style="232"/>
    <col min="8614" max="8614" width="11" style="232"/>
    <col min="8615" max="8615" width="11" style="232"/>
    <col min="8616" max="8616" width="11" style="232"/>
    <col min="8617" max="8617" width="11" style="232"/>
    <col min="8618" max="8618" width="11" style="232"/>
    <col min="8619" max="8619" width="11" style="232"/>
    <col min="8620" max="8620" width="11" style="232"/>
    <col min="8621" max="8621" width="11" style="232"/>
    <col min="8622" max="8622" width="11" style="232"/>
    <col min="8623" max="8623" width="11" style="232"/>
    <col min="8624" max="8624" width="11" style="232"/>
    <col min="8625" max="8625" width="11" style="232"/>
    <col min="8626" max="8626" width="11" style="232"/>
    <col min="8627" max="8627" width="11" style="232"/>
    <col min="8628" max="8628" width="11" style="232"/>
    <col min="8629" max="8629" width="11" style="232"/>
    <col min="8630" max="8630" width="11" style="232"/>
    <col min="8631" max="8631" width="11" style="232"/>
    <col min="8632" max="8632" width="11" style="232"/>
    <col min="8633" max="8633" width="11" style="232"/>
    <col min="8634" max="8634" width="11" style="232"/>
    <col min="8635" max="8635" width="11" style="232"/>
    <col min="8636" max="8636" width="11" style="232"/>
    <col min="8637" max="8637" width="11" style="232"/>
    <col min="8638" max="8638" width="11" style="232"/>
    <col min="8639" max="8639" width="11" style="232"/>
    <col min="8640" max="8640" width="11" style="232"/>
    <col min="8641" max="8641" width="11" style="232"/>
    <col min="8642" max="8642" width="11" style="232"/>
    <col min="8643" max="8643" width="11" style="232"/>
    <col min="8644" max="8644" width="11" style="232"/>
    <col min="8645" max="8645" width="11" style="232"/>
    <col min="8646" max="8646" width="11" style="232"/>
    <col min="8647" max="8647" width="11" style="232"/>
    <col min="8648" max="8648" width="11" style="232"/>
    <col min="8649" max="8649" width="11" style="232"/>
    <col min="8650" max="8650" width="11" style="232"/>
    <col min="8651" max="8651" width="11" style="232"/>
    <col min="8652" max="8652" width="11" style="232"/>
    <col min="8653" max="8653" width="11" style="232"/>
    <col min="8654" max="8654" width="11" style="232"/>
    <col min="8655" max="8655" width="11" style="232"/>
    <col min="8656" max="8656" width="11" style="232"/>
    <col min="8657" max="8657" width="11" style="232"/>
    <col min="8658" max="8658" width="11" style="232"/>
    <col min="8659" max="8659" width="11" style="232"/>
    <col min="8660" max="8660" width="11" style="232"/>
    <col min="8661" max="8661" width="11" style="232"/>
    <col min="8662" max="8662" width="11" style="232"/>
    <col min="8663" max="8663" width="11" style="232"/>
    <col min="8664" max="8664" width="11" style="232"/>
    <col min="8665" max="8665" width="11" style="232"/>
    <col min="8666" max="8666" width="11" style="232"/>
    <col min="8667" max="8667" width="11" style="232"/>
    <col min="8668" max="8668" width="11" style="232"/>
    <col min="8669" max="8669" width="11" style="232"/>
    <col min="8670" max="8670" width="11" style="232"/>
    <col min="8671" max="8671" width="11" style="232"/>
    <col min="8672" max="8672" width="11" style="232"/>
    <col min="8673" max="8673" width="11" style="232"/>
    <col min="8674" max="8674" width="11" style="232"/>
    <col min="8675" max="8675" width="11" style="232"/>
    <col min="8676" max="8676" width="11" style="232"/>
    <col min="8677" max="8677" width="11" style="232"/>
    <col min="8678" max="8678" width="11" style="232"/>
    <col min="8679" max="8679" width="11" style="232"/>
    <col min="8680" max="8680" width="11" style="232"/>
    <col min="8681" max="8681" width="11" style="232"/>
    <col min="8682" max="8682" width="11" style="232"/>
    <col min="8683" max="8683" width="11" style="232"/>
    <col min="8684" max="8684" width="11" style="232"/>
    <col min="8685" max="8685" width="11" style="232"/>
    <col min="8686" max="8686" width="11" style="232"/>
    <col min="8687" max="8687" width="11" style="232"/>
    <col min="8688" max="8688" width="11" style="232"/>
    <col min="8689" max="8689" width="11" style="232"/>
    <col min="8690" max="8690" width="11" style="232"/>
    <col min="8691" max="8691" width="11" style="232"/>
    <col min="8692" max="8692" width="11" style="232"/>
    <col min="8693" max="8693" width="10.140625" customWidth="true" style="232"/>
    <col min="8694" max="8694" width="10.140625" customWidth="true" style="232"/>
    <col min="8695" max="8695" width="10.140625" customWidth="true" style="232"/>
    <col min="8696" max="8696" width="10.140625" customWidth="true" style="232"/>
    <col min="8697" max="8697" width="10.140625" customWidth="true" style="232"/>
    <col min="8698" max="8698" width="10.140625" customWidth="true" style="232"/>
    <col min="8699" max="8699" width="10.140625" customWidth="true" style="232"/>
    <col min="8700" max="8700" width="10.140625" customWidth="true" style="232"/>
    <col min="8701" max="8701" width="10.140625" customWidth="true" style="232"/>
    <col min="8702" max="8702" width="11" style="232"/>
    <col min="8703" max="8703" width="11" style="232"/>
    <col min="8704" max="8704" width="11" style="232"/>
    <col min="8705" max="8705" width="11" style="232"/>
    <col min="8706" max="8706" width="11" style="232"/>
    <col min="8707" max="8707" width="11" style="232"/>
    <col min="8708" max="8708" width="11" style="232"/>
    <col min="8709" max="8709" width="11" style="232"/>
    <col min="8710" max="8710" width="11" style="232"/>
    <col min="8711" max="8711" width="11" style="232"/>
    <col min="8712" max="8712" width="11" style="232"/>
    <col min="8713" max="8713" width="11" style="232"/>
    <col min="8714" max="8714" width="11" style="232"/>
    <col min="8715" max="8715" width="11" style="232"/>
    <col min="8716" max="8716" width="11" style="232"/>
    <col min="8717" max="8717" width="11" style="232"/>
    <col min="8718" max="8718" width="11" style="232"/>
    <col min="8719" max="8719" width="11" style="232"/>
    <col min="8720" max="8720" width="11" style="232"/>
    <col min="8721" max="8721" width="11" style="232"/>
    <col min="8722" max="8722" width="11" style="232"/>
    <col min="8723" max="8723" width="11" style="232"/>
    <col min="8724" max="8724" width="11" style="232"/>
    <col min="8725" max="8725" width="11" style="232"/>
    <col min="8726" max="8726" width="11" style="232"/>
    <col min="8727" max="8727" width="11" style="232"/>
    <col min="8728" max="8728" width="11" style="232"/>
    <col min="8729" max="8729" width="11" style="232"/>
    <col min="8730" max="8730" width="11" style="232"/>
    <col min="8731" max="8731" width="11" style="232"/>
    <col min="8732" max="8732" width="11" style="232"/>
    <col min="8733" max="8733" width="11" style="232"/>
    <col min="8734" max="8734" width="11" style="232"/>
    <col min="8735" max="8735" width="11" style="232"/>
    <col min="8736" max="8736" width="11" style="232"/>
    <col min="8737" max="8737" width="11" style="232"/>
    <col min="8738" max="8738" width="11" style="232"/>
    <col min="8739" max="8739" width="11" style="232"/>
    <col min="8740" max="8740" width="11" style="232"/>
    <col min="8741" max="8741" width="11" style="232"/>
    <col min="8742" max="8742" width="11" style="232"/>
    <col min="8743" max="8743" width="11" style="232"/>
    <col min="8744" max="8744" width="11" style="232"/>
    <col min="8745" max="8745" width="11" style="232"/>
    <col min="8746" max="8746" width="11" style="232"/>
    <col min="8747" max="8747" width="11" style="232"/>
    <col min="8748" max="8748" width="11" style="232"/>
    <col min="8749" max="8749" width="11" style="232"/>
    <col min="8750" max="8750" width="11" style="232"/>
    <col min="8751" max="8751" width="11" style="232"/>
    <col min="8752" max="8752" width="11" style="232"/>
    <col min="8753" max="8753" width="11" style="232"/>
    <col min="8754" max="8754" width="11" style="232"/>
    <col min="8755" max="8755" width="11" style="232"/>
    <col min="8756" max="8756" width="11" style="232"/>
    <col min="8757" max="8757" width="11" style="232"/>
    <col min="8758" max="8758" width="11" style="232"/>
    <col min="8759" max="8759" width="11" style="232"/>
    <col min="8760" max="8760" width="11" style="232"/>
    <col min="8761" max="8761" width="11" style="232"/>
    <col min="8762" max="8762" width="11" style="232"/>
    <col min="8763" max="8763" width="11" style="232"/>
    <col min="8764" max="8764" width="11" style="232"/>
    <col min="8765" max="8765" width="11" style="232"/>
    <col min="8766" max="8766" width="11" style="232"/>
    <col min="8767" max="8767" width="11" style="232"/>
    <col min="8768" max="8768" width="11" style="232"/>
    <col min="8769" max="8769" width="11" style="232"/>
    <col min="8770" max="8770" width="11" style="232"/>
    <col min="8771" max="8771" width="11" style="232"/>
    <col min="8772" max="8772" width="11" style="232"/>
    <col min="8773" max="8773" width="11" style="232"/>
    <col min="8774" max="8774" width="11" style="232"/>
    <col min="8775" max="8775" width="11" style="232"/>
    <col min="8776" max="8776" width="11" style="232"/>
    <col min="8777" max="8777" width="11" style="232"/>
    <col min="8778" max="8778" width="11" style="232"/>
    <col min="8779" max="8779" width="11" style="232"/>
    <col min="8780" max="8780" width="11" style="232"/>
    <col min="8781" max="8781" width="11" style="232"/>
    <col min="8782" max="8782" width="11" style="232"/>
    <col min="8783" max="8783" width="11" style="232"/>
    <col min="8784" max="8784" width="11" style="232"/>
    <col min="8785" max="8785" width="11" style="232"/>
    <col min="8786" max="8786" width="11" style="232"/>
    <col min="8787" max="8787" width="11" style="232"/>
    <col min="8788" max="8788" width="11" style="232"/>
    <col min="8789" max="8789" width="11" style="232"/>
    <col min="8790" max="8790" width="11" style="232"/>
    <col min="8791" max="8791" width="11" style="232"/>
    <col min="8792" max="8792" width="11" style="232"/>
    <col min="8793" max="8793" width="11" style="232"/>
    <col min="8794" max="8794" width="11" style="232"/>
    <col min="8795" max="8795" width="11" style="232"/>
    <col min="8796" max="8796" width="11" style="232"/>
    <col min="8797" max="8797" width="11" style="232"/>
    <col min="8798" max="8798" width="11" style="232"/>
    <col min="8799" max="8799" width="11" style="232"/>
    <col min="8800" max="8800" width="11" style="232"/>
    <col min="8801" max="8801" width="11" style="232"/>
    <col min="8802" max="8802" width="11" style="232"/>
    <col min="8803" max="8803" width="11" style="232"/>
    <col min="8804" max="8804" width="11" style="232"/>
    <col min="8805" max="8805" width="11" style="232"/>
    <col min="8806" max="8806" width="11" style="232"/>
    <col min="8807" max="8807" width="11" style="232"/>
    <col min="8808" max="8808" width="11" style="232"/>
    <col min="8809" max="8809" width="11" style="232"/>
    <col min="8810" max="8810" width="11" style="232"/>
    <col min="8811" max="8811" width="11" style="232"/>
    <col min="8812" max="8812" width="11" style="232"/>
    <col min="8813" max="8813" width="11" style="232"/>
    <col min="8814" max="8814" width="11" style="232"/>
    <col min="8815" max="8815" width="11" style="232"/>
    <col min="8816" max="8816" width="11" style="232"/>
    <col min="8817" max="8817" width="11" style="232"/>
    <col min="8818" max="8818" width="11" style="232"/>
    <col min="8819" max="8819" width="11" style="232"/>
    <col min="8820" max="8820" width="11" style="232"/>
    <col min="8821" max="8821" width="11" style="232"/>
    <col min="8822" max="8822" width="11" style="232"/>
    <col min="8823" max="8823" width="11" style="232"/>
    <col min="8824" max="8824" width="11" style="232"/>
    <col min="8825" max="8825" width="11" style="232"/>
    <col min="8826" max="8826" width="11" style="232"/>
    <col min="8827" max="8827" width="11" style="232"/>
    <col min="8828" max="8828" width="11" style="232"/>
    <col min="8829" max="8829" width="11" style="232"/>
    <col min="8830" max="8830" width="11" style="232"/>
    <col min="8831" max="8831" width="11" style="232"/>
    <col min="8832" max="8832" width="11" style="232"/>
    <col min="8833" max="8833" width="11" style="232"/>
    <col min="8834" max="8834" width="11" style="232"/>
    <col min="8835" max="8835" width="11" style="232"/>
    <col min="8836" max="8836" width="11" style="232"/>
    <col min="8837" max="8837" width="11" style="232"/>
    <col min="8838" max="8838" width="11" style="232"/>
    <col min="8839" max="8839" width="11" style="232"/>
    <col min="8840" max="8840" width="11" style="232"/>
    <col min="8841" max="8841" width="11" style="232"/>
    <col min="8842" max="8842" width="11" style="232"/>
    <col min="8843" max="8843" width="11" style="232"/>
    <col min="8844" max="8844" width="11" style="232"/>
    <col min="8845" max="8845" width="11" style="232"/>
    <col min="8846" max="8846" width="11" style="232"/>
    <col min="8847" max="8847" width="11" style="232"/>
    <col min="8848" max="8848" width="11" style="232"/>
    <col min="8849" max="8849" width="11" style="232"/>
    <col min="8850" max="8850" width="11" style="232"/>
    <col min="8851" max="8851" width="11" style="232"/>
    <col min="8852" max="8852" width="11" style="232"/>
    <col min="8853" max="8853" width="11" style="232"/>
    <col min="8854" max="8854" width="11" style="232"/>
    <col min="8855" max="8855" width="11" style="232"/>
    <col min="8856" max="8856" width="11" style="232"/>
    <col min="8857" max="8857" width="11" style="232"/>
    <col min="8858" max="8858" width="11" style="232"/>
    <col min="8859" max="8859" width="11" style="232"/>
    <col min="8860" max="8860" width="11" style="232"/>
    <col min="8861" max="8861" width="11" style="232"/>
    <col min="8862" max="8862" width="11" style="232"/>
    <col min="8863" max="8863" width="11" style="232"/>
    <col min="8864" max="8864" width="11" style="232"/>
    <col min="8865" max="8865" width="11" style="232"/>
    <col min="8866" max="8866" width="11" style="232"/>
    <col min="8867" max="8867" width="11" style="232"/>
    <col min="8868" max="8868" width="11" style="232"/>
    <col min="8869" max="8869" width="11" style="232"/>
    <col min="8870" max="8870" width="11" style="232"/>
    <col min="8871" max="8871" width="11" style="232"/>
    <col min="8872" max="8872" width="11" style="232"/>
    <col min="8873" max="8873" width="11" style="232"/>
    <col min="8874" max="8874" width="11" style="232"/>
    <col min="8875" max="8875" width="11" style="232"/>
    <col min="8876" max="8876" width="11" style="232"/>
    <col min="8877" max="8877" width="11" style="232"/>
    <col min="8878" max="8878" width="11" style="232"/>
    <col min="8879" max="8879" width="11" style="232"/>
    <col min="8880" max="8880" width="11" style="232"/>
    <col min="8881" max="8881" width="11" style="232"/>
    <col min="8882" max="8882" width="11" style="232"/>
    <col min="8883" max="8883" width="11" style="232"/>
    <col min="8884" max="8884" width="11" style="232"/>
    <col min="8885" max="8885" width="11" style="232"/>
    <col min="8886" max="8886" width="11" style="232"/>
    <col min="8887" max="8887" width="11" style="232"/>
    <col min="8888" max="8888" width="11" style="232"/>
    <col min="8889" max="8889" width="11" style="232"/>
    <col min="8890" max="8890" width="11" style="232"/>
    <col min="8891" max="8891" width="11" style="232"/>
    <col min="8892" max="8892" width="11" style="232"/>
    <col min="8893" max="8893" width="11" style="232"/>
    <col min="8894" max="8894" width="11" style="232"/>
    <col min="8895" max="8895" width="11" style="232"/>
    <col min="8896" max="8896" width="11" style="232"/>
    <col min="8897" max="8897" width="11" style="232"/>
    <col min="8898" max="8898" width="11" style="232"/>
    <col min="8899" max="8899" width="11" style="232"/>
    <col min="8900" max="8900" width="11" style="232"/>
    <col min="8901" max="8901" width="11" style="232"/>
    <col min="8902" max="8902" width="11" style="232"/>
    <col min="8903" max="8903" width="11" style="232"/>
    <col min="8904" max="8904" width="11" style="232"/>
    <col min="8905" max="8905" width="11" style="232"/>
    <col min="8906" max="8906" width="11" style="232"/>
    <col min="8907" max="8907" width="11" style="232"/>
    <col min="8908" max="8908" width="11" style="232"/>
    <col min="8909" max="8909" width="11" style="232"/>
    <col min="8910" max="8910" width="11" style="232"/>
    <col min="8911" max="8911" width="11" style="232"/>
    <col min="8912" max="8912" width="11" style="232"/>
    <col min="8913" max="8913" width="11" style="232"/>
    <col min="8914" max="8914" width="11" style="232"/>
    <col min="8915" max="8915" width="11" style="232"/>
    <col min="8916" max="8916" width="11" style="232"/>
    <col min="8917" max="8917" width="11" style="232"/>
    <col min="8918" max="8918" width="11" style="232"/>
    <col min="8919" max="8919" width="11" style="232"/>
    <col min="8920" max="8920" width="11" style="232"/>
    <col min="8921" max="8921" width="11" style="232"/>
    <col min="8922" max="8922" width="11" style="232"/>
    <col min="8923" max="8923" width="11" style="232"/>
    <col min="8924" max="8924" width="11" style="232"/>
    <col min="8925" max="8925" width="11" style="232"/>
    <col min="8926" max="8926" width="11" style="232"/>
    <col min="8927" max="8927" width="11" style="232"/>
    <col min="8928" max="8928" width="11" style="232"/>
    <col min="8929" max="8929" width="11" style="232"/>
    <col min="8930" max="8930" width="11" style="232"/>
    <col min="8931" max="8931" width="11" style="232"/>
    <col min="8932" max="8932" width="11" style="232"/>
    <col min="8933" max="8933" width="11" style="232"/>
    <col min="8934" max="8934" width="11" style="232"/>
    <col min="8935" max="8935" width="11" style="232"/>
    <col min="8936" max="8936" width="11" style="232"/>
    <col min="8937" max="8937" width="11" style="232"/>
    <col min="8938" max="8938" width="11" style="232"/>
    <col min="8939" max="8939" width="11" style="232"/>
    <col min="8940" max="8940" width="11" style="232"/>
    <col min="8941" max="8941" width="11" style="232"/>
    <col min="8942" max="8942" width="11" style="232"/>
    <col min="8943" max="8943" width="11" style="232"/>
    <col min="8944" max="8944" width="11" style="232"/>
    <col min="8945" max="8945" width="11" style="232"/>
    <col min="8946" max="8946" width="11" style="232"/>
    <col min="8947" max="8947" width="11" style="232"/>
    <col min="8948" max="8948" width="11" style="232"/>
    <col min="8949" max="8949" width="10.140625" customWidth="true" style="232"/>
    <col min="8950" max="8950" width="10.140625" customWidth="true" style="232"/>
    <col min="8951" max="8951" width="10.140625" customWidth="true" style="232"/>
    <col min="8952" max="8952" width="10.140625" customWidth="true" style="232"/>
    <col min="8953" max="8953" width="10.140625" customWidth="true" style="232"/>
    <col min="8954" max="8954" width="10.140625" customWidth="true" style="232"/>
    <col min="8955" max="8955" width="10.140625" customWidth="true" style="232"/>
    <col min="8956" max="8956" width="10.140625" customWidth="true" style="232"/>
    <col min="8957" max="8957" width="10.140625" customWidth="true" style="232"/>
    <col min="8958" max="8958" width="11" style="232"/>
    <col min="8959" max="8959" width="11" style="232"/>
    <col min="8960" max="8960" width="11" style="232"/>
    <col min="8961" max="8961" width="11" style="232"/>
    <col min="8962" max="8962" width="11" style="232"/>
    <col min="8963" max="8963" width="11" style="232"/>
    <col min="8964" max="8964" width="11" style="232"/>
    <col min="8965" max="8965" width="11" style="232"/>
    <col min="8966" max="8966" width="11" style="232"/>
    <col min="8967" max="8967" width="11" style="232"/>
    <col min="8968" max="8968" width="11" style="232"/>
    <col min="8969" max="8969" width="11" style="232"/>
    <col min="8970" max="8970" width="11" style="232"/>
    <col min="8971" max="8971" width="11" style="232"/>
    <col min="8972" max="8972" width="11" style="232"/>
    <col min="8973" max="8973" width="11" style="232"/>
    <col min="8974" max="8974" width="11" style="232"/>
    <col min="8975" max="8975" width="11" style="232"/>
    <col min="8976" max="8976" width="11" style="232"/>
    <col min="8977" max="8977" width="11" style="232"/>
    <col min="8978" max="8978" width="11" style="232"/>
    <col min="8979" max="8979" width="11" style="232"/>
    <col min="8980" max="8980" width="11" style="232"/>
    <col min="8981" max="8981" width="11" style="232"/>
    <col min="8982" max="8982" width="11" style="232"/>
    <col min="8983" max="8983" width="11" style="232"/>
    <col min="8984" max="8984" width="11" style="232"/>
    <col min="8985" max="8985" width="11" style="232"/>
    <col min="8986" max="8986" width="11" style="232"/>
    <col min="8987" max="8987" width="11" style="232"/>
    <col min="8988" max="8988" width="11" style="232"/>
    <col min="8989" max="8989" width="11" style="232"/>
    <col min="8990" max="8990" width="11" style="232"/>
    <col min="8991" max="8991" width="11" style="232"/>
    <col min="8992" max="8992" width="11" style="232"/>
    <col min="8993" max="8993" width="11" style="232"/>
    <col min="8994" max="8994" width="11" style="232"/>
    <col min="8995" max="8995" width="11" style="232"/>
    <col min="8996" max="8996" width="11" style="232"/>
    <col min="8997" max="8997" width="11" style="232"/>
    <col min="8998" max="8998" width="11" style="232"/>
    <col min="8999" max="8999" width="11" style="232"/>
    <col min="9000" max="9000" width="11" style="232"/>
    <col min="9001" max="9001" width="11" style="232"/>
    <col min="9002" max="9002" width="11" style="232"/>
    <col min="9003" max="9003" width="11" style="232"/>
    <col min="9004" max="9004" width="11" style="232"/>
    <col min="9005" max="9005" width="11" style="232"/>
    <col min="9006" max="9006" width="11" style="232"/>
    <col min="9007" max="9007" width="11" style="232"/>
    <col min="9008" max="9008" width="11" style="232"/>
    <col min="9009" max="9009" width="11" style="232"/>
    <col min="9010" max="9010" width="11" style="232"/>
    <col min="9011" max="9011" width="11" style="232"/>
    <col min="9012" max="9012" width="11" style="232"/>
    <col min="9013" max="9013" width="11" style="232"/>
    <col min="9014" max="9014" width="11" style="232"/>
    <col min="9015" max="9015" width="11" style="232"/>
    <col min="9016" max="9016" width="11" style="232"/>
    <col min="9017" max="9017" width="11" style="232"/>
    <col min="9018" max="9018" width="11" style="232"/>
    <col min="9019" max="9019" width="11" style="232"/>
    <col min="9020" max="9020" width="11" style="232"/>
    <col min="9021" max="9021" width="11" style="232"/>
    <col min="9022" max="9022" width="11" style="232"/>
    <col min="9023" max="9023" width="11" style="232"/>
    <col min="9024" max="9024" width="11" style="232"/>
    <col min="9025" max="9025" width="11" style="232"/>
    <col min="9026" max="9026" width="11" style="232"/>
    <col min="9027" max="9027" width="11" style="232"/>
    <col min="9028" max="9028" width="11" style="232"/>
    <col min="9029" max="9029" width="11" style="232"/>
    <col min="9030" max="9030" width="11" style="232"/>
    <col min="9031" max="9031" width="11" style="232"/>
    <col min="9032" max="9032" width="11" style="232"/>
    <col min="9033" max="9033" width="11" style="232"/>
    <col min="9034" max="9034" width="11" style="232"/>
    <col min="9035" max="9035" width="11" style="232"/>
    <col min="9036" max="9036" width="11" style="232"/>
    <col min="9037" max="9037" width="11" style="232"/>
    <col min="9038" max="9038" width="11" style="232"/>
    <col min="9039" max="9039" width="11" style="232"/>
    <col min="9040" max="9040" width="11" style="232"/>
    <col min="9041" max="9041" width="11" style="232"/>
    <col min="9042" max="9042" width="11" style="232"/>
    <col min="9043" max="9043" width="11" style="232"/>
    <col min="9044" max="9044" width="11" style="232"/>
    <col min="9045" max="9045" width="11" style="232"/>
    <col min="9046" max="9046" width="11" style="232"/>
    <col min="9047" max="9047" width="11" style="232"/>
    <col min="9048" max="9048" width="11" style="232"/>
    <col min="9049" max="9049" width="11" style="232"/>
    <col min="9050" max="9050" width="11" style="232"/>
    <col min="9051" max="9051" width="11" style="232"/>
    <col min="9052" max="9052" width="11" style="232"/>
    <col min="9053" max="9053" width="11" style="232"/>
    <col min="9054" max="9054" width="11" style="232"/>
    <col min="9055" max="9055" width="11" style="232"/>
    <col min="9056" max="9056" width="11" style="232"/>
    <col min="9057" max="9057" width="11" style="232"/>
    <col min="9058" max="9058" width="11" style="232"/>
    <col min="9059" max="9059" width="11" style="232"/>
    <col min="9060" max="9060" width="11" style="232"/>
    <col min="9061" max="9061" width="11" style="232"/>
    <col min="9062" max="9062" width="11" style="232"/>
    <col min="9063" max="9063" width="11" style="232"/>
    <col min="9064" max="9064" width="11" style="232"/>
    <col min="9065" max="9065" width="11" style="232"/>
    <col min="9066" max="9066" width="11" style="232"/>
    <col min="9067" max="9067" width="11" style="232"/>
    <col min="9068" max="9068" width="11" style="232"/>
    <col min="9069" max="9069" width="11" style="232"/>
    <col min="9070" max="9070" width="11" style="232"/>
    <col min="9071" max="9071" width="11" style="232"/>
    <col min="9072" max="9072" width="11" style="232"/>
    <col min="9073" max="9073" width="11" style="232"/>
    <col min="9074" max="9074" width="11" style="232"/>
    <col min="9075" max="9075" width="11" style="232"/>
    <col min="9076" max="9076" width="11" style="232"/>
    <col min="9077" max="9077" width="11" style="232"/>
    <col min="9078" max="9078" width="11" style="232"/>
    <col min="9079" max="9079" width="11" style="232"/>
    <col min="9080" max="9080" width="11" style="232"/>
    <col min="9081" max="9081" width="11" style="232"/>
    <col min="9082" max="9082" width="11" style="232"/>
    <col min="9083" max="9083" width="11" style="232"/>
    <col min="9084" max="9084" width="11" style="232"/>
    <col min="9085" max="9085" width="11" style="232"/>
    <col min="9086" max="9086" width="11" style="232"/>
    <col min="9087" max="9087" width="11" style="232"/>
    <col min="9088" max="9088" width="11" style="232"/>
    <col min="9089" max="9089" width="11" style="232"/>
    <col min="9090" max="9090" width="11" style="232"/>
    <col min="9091" max="9091" width="11" style="232"/>
    <col min="9092" max="9092" width="11" style="232"/>
    <col min="9093" max="9093" width="11" style="232"/>
    <col min="9094" max="9094" width="11" style="232"/>
    <col min="9095" max="9095" width="11" style="232"/>
    <col min="9096" max="9096" width="11" style="232"/>
    <col min="9097" max="9097" width="11" style="232"/>
    <col min="9098" max="9098" width="11" style="232"/>
    <col min="9099" max="9099" width="11" style="232"/>
    <col min="9100" max="9100" width="11" style="232"/>
    <col min="9101" max="9101" width="11" style="232"/>
    <col min="9102" max="9102" width="11" style="232"/>
    <col min="9103" max="9103" width="11" style="232"/>
    <col min="9104" max="9104" width="11" style="232"/>
    <col min="9105" max="9105" width="11" style="232"/>
    <col min="9106" max="9106" width="11" style="232"/>
    <col min="9107" max="9107" width="11" style="232"/>
    <col min="9108" max="9108" width="11" style="232"/>
    <col min="9109" max="9109" width="11" style="232"/>
    <col min="9110" max="9110" width="11" style="232"/>
    <col min="9111" max="9111" width="11" style="232"/>
    <col min="9112" max="9112" width="11" style="232"/>
    <col min="9113" max="9113" width="11" style="232"/>
    <col min="9114" max="9114" width="11" style="232"/>
    <col min="9115" max="9115" width="11" style="232"/>
    <col min="9116" max="9116" width="11" style="232"/>
    <col min="9117" max="9117" width="11" style="232"/>
    <col min="9118" max="9118" width="11" style="232"/>
    <col min="9119" max="9119" width="11" style="232"/>
    <col min="9120" max="9120" width="11" style="232"/>
    <col min="9121" max="9121" width="11" style="232"/>
    <col min="9122" max="9122" width="11" style="232"/>
    <col min="9123" max="9123" width="11" style="232"/>
    <col min="9124" max="9124" width="11" style="232"/>
    <col min="9125" max="9125" width="11" style="232"/>
    <col min="9126" max="9126" width="11" style="232"/>
    <col min="9127" max="9127" width="11" style="232"/>
    <col min="9128" max="9128" width="11" style="232"/>
    <col min="9129" max="9129" width="11" style="232"/>
    <col min="9130" max="9130" width="11" style="232"/>
    <col min="9131" max="9131" width="11" style="232"/>
    <col min="9132" max="9132" width="11" style="232"/>
    <col min="9133" max="9133" width="11" style="232"/>
    <col min="9134" max="9134" width="11" style="232"/>
    <col min="9135" max="9135" width="11" style="232"/>
    <col min="9136" max="9136" width="11" style="232"/>
    <col min="9137" max="9137" width="11" style="232"/>
    <col min="9138" max="9138" width="11" style="232"/>
    <col min="9139" max="9139" width="11" style="232"/>
    <col min="9140" max="9140" width="11" style="232"/>
    <col min="9141" max="9141" width="11" style="232"/>
    <col min="9142" max="9142" width="11" style="232"/>
    <col min="9143" max="9143" width="11" style="232"/>
    <col min="9144" max="9144" width="11" style="232"/>
    <col min="9145" max="9145" width="11" style="232"/>
    <col min="9146" max="9146" width="11" style="232"/>
    <col min="9147" max="9147" width="11" style="232"/>
    <col min="9148" max="9148" width="11" style="232"/>
    <col min="9149" max="9149" width="11" style="232"/>
    <col min="9150" max="9150" width="11" style="232"/>
    <col min="9151" max="9151" width="11" style="232"/>
    <col min="9152" max="9152" width="11" style="232"/>
    <col min="9153" max="9153" width="11" style="232"/>
    <col min="9154" max="9154" width="11" style="232"/>
    <col min="9155" max="9155" width="11" style="232"/>
    <col min="9156" max="9156" width="11" style="232"/>
    <col min="9157" max="9157" width="11" style="232"/>
    <col min="9158" max="9158" width="11" style="232"/>
    <col min="9159" max="9159" width="11" style="232"/>
    <col min="9160" max="9160" width="11" style="232"/>
    <col min="9161" max="9161" width="11" style="232"/>
    <col min="9162" max="9162" width="11" style="232"/>
    <col min="9163" max="9163" width="11" style="232"/>
    <col min="9164" max="9164" width="11" style="232"/>
    <col min="9165" max="9165" width="11" style="232"/>
    <col min="9166" max="9166" width="11" style="232"/>
    <col min="9167" max="9167" width="11" style="232"/>
    <col min="9168" max="9168" width="11" style="232"/>
    <col min="9169" max="9169" width="11" style="232"/>
    <col min="9170" max="9170" width="11" style="232"/>
    <col min="9171" max="9171" width="11" style="232"/>
    <col min="9172" max="9172" width="11" style="232"/>
    <col min="9173" max="9173" width="11" style="232"/>
    <col min="9174" max="9174" width="11" style="232"/>
    <col min="9175" max="9175" width="11" style="232"/>
    <col min="9176" max="9176" width="11" style="232"/>
    <col min="9177" max="9177" width="11" style="232"/>
    <col min="9178" max="9178" width="11" style="232"/>
    <col min="9179" max="9179" width="11" style="232"/>
    <col min="9180" max="9180" width="11" style="232"/>
    <col min="9181" max="9181" width="11" style="232"/>
    <col min="9182" max="9182" width="11" style="232"/>
    <col min="9183" max="9183" width="11" style="232"/>
    <col min="9184" max="9184" width="11" style="232"/>
    <col min="9185" max="9185" width="11" style="232"/>
    <col min="9186" max="9186" width="11" style="232"/>
    <col min="9187" max="9187" width="11" style="232"/>
    <col min="9188" max="9188" width="11" style="232"/>
    <col min="9189" max="9189" width="11" style="232"/>
    <col min="9190" max="9190" width="11" style="232"/>
    <col min="9191" max="9191" width="11" style="232"/>
    <col min="9192" max="9192" width="11" style="232"/>
    <col min="9193" max="9193" width="11" style="232"/>
    <col min="9194" max="9194" width="11" style="232"/>
    <col min="9195" max="9195" width="11" style="232"/>
    <col min="9196" max="9196" width="11" style="232"/>
    <col min="9197" max="9197" width="11" style="232"/>
    <col min="9198" max="9198" width="11" style="232"/>
    <col min="9199" max="9199" width="11" style="232"/>
    <col min="9200" max="9200" width="11" style="232"/>
    <col min="9201" max="9201" width="11" style="232"/>
    <col min="9202" max="9202" width="11" style="232"/>
    <col min="9203" max="9203" width="11" style="232"/>
    <col min="9204" max="9204" width="11" style="232"/>
    <col min="9205" max="9205" width="10.140625" customWidth="true" style="232"/>
    <col min="9206" max="9206" width="10.140625" customWidth="true" style="232"/>
    <col min="9207" max="9207" width="10.140625" customWidth="true" style="232"/>
    <col min="9208" max="9208" width="10.140625" customWidth="true" style="232"/>
    <col min="9209" max="9209" width="10.140625" customWidth="true" style="232"/>
    <col min="9210" max="9210" width="10.140625" customWidth="true" style="232"/>
    <col min="9211" max="9211" width="10.140625" customWidth="true" style="232"/>
    <col min="9212" max="9212" width="10.140625" customWidth="true" style="232"/>
    <col min="9213" max="9213" width="10.140625" customWidth="true" style="232"/>
    <col min="9214" max="9214" width="11" style="232"/>
    <col min="9215" max="9215" width="11" style="232"/>
    <col min="9216" max="9216" width="11" style="232"/>
    <col min="9217" max="9217" width="11" style="232"/>
    <col min="9218" max="9218" width="11" style="232"/>
    <col min="9219" max="9219" width="11" style="232"/>
    <col min="9220" max="9220" width="11" style="232"/>
    <col min="9221" max="9221" width="11" style="232"/>
    <col min="9222" max="9222" width="11" style="232"/>
    <col min="9223" max="9223" width="11" style="232"/>
    <col min="9224" max="9224" width="11" style="232"/>
    <col min="9225" max="9225" width="11" style="232"/>
    <col min="9226" max="9226" width="11" style="232"/>
    <col min="9227" max="9227" width="11" style="232"/>
    <col min="9228" max="9228" width="11" style="232"/>
    <col min="9229" max="9229" width="11" style="232"/>
    <col min="9230" max="9230" width="11" style="232"/>
    <col min="9231" max="9231" width="11" style="232"/>
    <col min="9232" max="9232" width="11" style="232"/>
    <col min="9233" max="9233" width="11" style="232"/>
    <col min="9234" max="9234" width="11" style="232"/>
    <col min="9235" max="9235" width="11" style="232"/>
    <col min="9236" max="9236" width="11" style="232"/>
    <col min="9237" max="9237" width="11" style="232"/>
    <col min="9238" max="9238" width="11" style="232"/>
    <col min="9239" max="9239" width="11" style="232"/>
    <col min="9240" max="9240" width="11" style="232"/>
    <col min="9241" max="9241" width="11" style="232"/>
    <col min="9242" max="9242" width="11" style="232"/>
    <col min="9243" max="9243" width="11" style="232"/>
    <col min="9244" max="9244" width="11" style="232"/>
    <col min="9245" max="9245" width="11" style="232"/>
    <col min="9246" max="9246" width="11" style="232"/>
    <col min="9247" max="9247" width="11" style="232"/>
    <col min="9248" max="9248" width="11" style="232"/>
    <col min="9249" max="9249" width="11" style="232"/>
    <col min="9250" max="9250" width="11" style="232"/>
    <col min="9251" max="9251" width="11" style="232"/>
    <col min="9252" max="9252" width="11" style="232"/>
    <col min="9253" max="9253" width="11" style="232"/>
    <col min="9254" max="9254" width="11" style="232"/>
    <col min="9255" max="9255" width="11" style="232"/>
    <col min="9256" max="9256" width="11" style="232"/>
    <col min="9257" max="9257" width="11" style="232"/>
    <col min="9258" max="9258" width="11" style="232"/>
    <col min="9259" max="9259" width="11" style="232"/>
    <col min="9260" max="9260" width="11" style="232"/>
    <col min="9261" max="9261" width="11" style="232"/>
    <col min="9262" max="9262" width="11" style="232"/>
    <col min="9263" max="9263" width="11" style="232"/>
    <col min="9264" max="9264" width="11" style="232"/>
    <col min="9265" max="9265" width="11" style="232"/>
    <col min="9266" max="9266" width="11" style="232"/>
    <col min="9267" max="9267" width="11" style="232"/>
    <col min="9268" max="9268" width="11" style="232"/>
    <col min="9269" max="9269" width="11" style="232"/>
    <col min="9270" max="9270" width="11" style="232"/>
    <col min="9271" max="9271" width="11" style="232"/>
    <col min="9272" max="9272" width="11" style="232"/>
    <col min="9273" max="9273" width="11" style="232"/>
    <col min="9274" max="9274" width="11" style="232"/>
    <col min="9275" max="9275" width="11" style="232"/>
    <col min="9276" max="9276" width="11" style="232"/>
    <col min="9277" max="9277" width="11" style="232"/>
    <col min="9278" max="9278" width="11" style="232"/>
    <col min="9279" max="9279" width="11" style="232"/>
    <col min="9280" max="9280" width="11" style="232"/>
    <col min="9281" max="9281" width="11" style="232"/>
    <col min="9282" max="9282" width="11" style="232"/>
    <col min="9283" max="9283" width="11" style="232"/>
    <col min="9284" max="9284" width="11" style="232"/>
    <col min="9285" max="9285" width="11" style="232"/>
    <col min="9286" max="9286" width="11" style="232"/>
    <col min="9287" max="9287" width="11" style="232"/>
    <col min="9288" max="9288" width="11" style="232"/>
    <col min="9289" max="9289" width="11" style="232"/>
    <col min="9290" max="9290" width="11" style="232"/>
    <col min="9291" max="9291" width="11" style="232"/>
    <col min="9292" max="9292" width="11" style="232"/>
    <col min="9293" max="9293" width="11" style="232"/>
    <col min="9294" max="9294" width="11" style="232"/>
    <col min="9295" max="9295" width="11" style="232"/>
    <col min="9296" max="9296" width="11" style="232"/>
    <col min="9297" max="9297" width="11" style="232"/>
    <col min="9298" max="9298" width="11" style="232"/>
    <col min="9299" max="9299" width="11" style="232"/>
    <col min="9300" max="9300" width="11" style="232"/>
    <col min="9301" max="9301" width="11" style="232"/>
    <col min="9302" max="9302" width="11" style="232"/>
    <col min="9303" max="9303" width="11" style="232"/>
    <col min="9304" max="9304" width="11" style="232"/>
    <col min="9305" max="9305" width="11" style="232"/>
    <col min="9306" max="9306" width="11" style="232"/>
    <col min="9307" max="9307" width="11" style="232"/>
    <col min="9308" max="9308" width="11" style="232"/>
    <col min="9309" max="9309" width="11" style="232"/>
    <col min="9310" max="9310" width="11" style="232"/>
    <col min="9311" max="9311" width="11" style="232"/>
    <col min="9312" max="9312" width="11" style="232"/>
    <col min="9313" max="9313" width="11" style="232"/>
    <col min="9314" max="9314" width="11" style="232"/>
    <col min="9315" max="9315" width="11" style="232"/>
    <col min="9316" max="9316" width="11" style="232"/>
    <col min="9317" max="9317" width="11" style="232"/>
    <col min="9318" max="9318" width="11" style="232"/>
    <col min="9319" max="9319" width="11" style="232"/>
    <col min="9320" max="9320" width="11" style="232"/>
    <col min="9321" max="9321" width="11" style="232"/>
    <col min="9322" max="9322" width="11" style="232"/>
    <col min="9323" max="9323" width="11" style="232"/>
    <col min="9324" max="9324" width="11" style="232"/>
    <col min="9325" max="9325" width="11" style="232"/>
    <col min="9326" max="9326" width="11" style="232"/>
    <col min="9327" max="9327" width="11" style="232"/>
    <col min="9328" max="9328" width="11" style="232"/>
    <col min="9329" max="9329" width="11" style="232"/>
    <col min="9330" max="9330" width="11" style="232"/>
    <col min="9331" max="9331" width="11" style="232"/>
    <col min="9332" max="9332" width="11" style="232"/>
    <col min="9333" max="9333" width="11" style="232"/>
    <col min="9334" max="9334" width="11" style="232"/>
    <col min="9335" max="9335" width="11" style="232"/>
    <col min="9336" max="9336" width="11" style="232"/>
    <col min="9337" max="9337" width="11" style="232"/>
    <col min="9338" max="9338" width="11" style="232"/>
    <col min="9339" max="9339" width="11" style="232"/>
    <col min="9340" max="9340" width="11" style="232"/>
    <col min="9341" max="9341" width="11" style="232"/>
    <col min="9342" max="9342" width="11" style="232"/>
    <col min="9343" max="9343" width="11" style="232"/>
    <col min="9344" max="9344" width="11" style="232"/>
    <col min="9345" max="9345" width="11" style="232"/>
    <col min="9346" max="9346" width="11" style="232"/>
    <col min="9347" max="9347" width="11" style="232"/>
    <col min="9348" max="9348" width="11" style="232"/>
    <col min="9349" max="9349" width="11" style="232"/>
    <col min="9350" max="9350" width="11" style="232"/>
    <col min="9351" max="9351" width="11" style="232"/>
    <col min="9352" max="9352" width="11" style="232"/>
    <col min="9353" max="9353" width="11" style="232"/>
    <col min="9354" max="9354" width="11" style="232"/>
    <col min="9355" max="9355" width="11" style="232"/>
    <col min="9356" max="9356" width="11" style="232"/>
    <col min="9357" max="9357" width="11" style="232"/>
    <col min="9358" max="9358" width="11" style="232"/>
    <col min="9359" max="9359" width="11" style="232"/>
    <col min="9360" max="9360" width="11" style="232"/>
    <col min="9361" max="9361" width="11" style="232"/>
    <col min="9362" max="9362" width="11" style="232"/>
    <col min="9363" max="9363" width="11" style="232"/>
    <col min="9364" max="9364" width="11" style="232"/>
    <col min="9365" max="9365" width="11" style="232"/>
    <col min="9366" max="9366" width="11" style="232"/>
    <col min="9367" max="9367" width="11" style="232"/>
    <col min="9368" max="9368" width="11" style="232"/>
    <col min="9369" max="9369" width="11" style="232"/>
    <col min="9370" max="9370" width="11" style="232"/>
    <col min="9371" max="9371" width="11" style="232"/>
    <col min="9372" max="9372" width="11" style="232"/>
    <col min="9373" max="9373" width="11" style="232"/>
    <col min="9374" max="9374" width="11" style="232"/>
    <col min="9375" max="9375" width="11" style="232"/>
    <col min="9376" max="9376" width="11" style="232"/>
    <col min="9377" max="9377" width="11" style="232"/>
    <col min="9378" max="9378" width="11" style="232"/>
    <col min="9379" max="9379" width="11" style="232"/>
    <col min="9380" max="9380" width="11" style="232"/>
    <col min="9381" max="9381" width="11" style="232"/>
    <col min="9382" max="9382" width="11" style="232"/>
    <col min="9383" max="9383" width="11" style="232"/>
    <col min="9384" max="9384" width="11" style="232"/>
    <col min="9385" max="9385" width="11" style="232"/>
    <col min="9386" max="9386" width="11" style="232"/>
    <col min="9387" max="9387" width="11" style="232"/>
    <col min="9388" max="9388" width="11" style="232"/>
    <col min="9389" max="9389" width="11" style="232"/>
    <col min="9390" max="9390" width="11" style="232"/>
    <col min="9391" max="9391" width="11" style="232"/>
    <col min="9392" max="9392" width="11" style="232"/>
    <col min="9393" max="9393" width="11" style="232"/>
    <col min="9394" max="9394" width="11" style="232"/>
    <col min="9395" max="9395" width="11" style="232"/>
    <col min="9396" max="9396" width="11" style="232"/>
    <col min="9397" max="9397" width="11" style="232"/>
    <col min="9398" max="9398" width="11" style="232"/>
    <col min="9399" max="9399" width="11" style="232"/>
    <col min="9400" max="9400" width="11" style="232"/>
    <col min="9401" max="9401" width="11" style="232"/>
    <col min="9402" max="9402" width="11" style="232"/>
    <col min="9403" max="9403" width="11" style="232"/>
    <col min="9404" max="9404" width="11" style="232"/>
    <col min="9405" max="9405" width="11" style="232"/>
    <col min="9406" max="9406" width="11" style="232"/>
    <col min="9407" max="9407" width="11" style="232"/>
    <col min="9408" max="9408" width="11" style="232"/>
    <col min="9409" max="9409" width="11" style="232"/>
    <col min="9410" max="9410" width="11" style="232"/>
    <col min="9411" max="9411" width="11" style="232"/>
    <col min="9412" max="9412" width="11" style="232"/>
    <col min="9413" max="9413" width="11" style="232"/>
    <col min="9414" max="9414" width="11" style="232"/>
    <col min="9415" max="9415" width="11" style="232"/>
    <col min="9416" max="9416" width="11" style="232"/>
    <col min="9417" max="9417" width="11" style="232"/>
    <col min="9418" max="9418" width="11" style="232"/>
    <col min="9419" max="9419" width="11" style="232"/>
    <col min="9420" max="9420" width="11" style="232"/>
    <col min="9421" max="9421" width="11" style="232"/>
    <col min="9422" max="9422" width="11" style="232"/>
    <col min="9423" max="9423" width="11" style="232"/>
    <col min="9424" max="9424" width="11" style="232"/>
    <col min="9425" max="9425" width="11" style="232"/>
    <col min="9426" max="9426" width="11" style="232"/>
    <col min="9427" max="9427" width="11" style="232"/>
    <col min="9428" max="9428" width="11" style="232"/>
    <col min="9429" max="9429" width="11" style="232"/>
    <col min="9430" max="9430" width="11" style="232"/>
    <col min="9431" max="9431" width="11" style="232"/>
    <col min="9432" max="9432" width="11" style="232"/>
    <col min="9433" max="9433" width="11" style="232"/>
    <col min="9434" max="9434" width="11" style="232"/>
    <col min="9435" max="9435" width="11" style="232"/>
    <col min="9436" max="9436" width="11" style="232"/>
    <col min="9437" max="9437" width="11" style="232"/>
    <col min="9438" max="9438" width="11" style="232"/>
    <col min="9439" max="9439" width="11" style="232"/>
    <col min="9440" max="9440" width="11" style="232"/>
    <col min="9441" max="9441" width="11" style="232"/>
    <col min="9442" max="9442" width="11" style="232"/>
    <col min="9443" max="9443" width="11" style="232"/>
    <col min="9444" max="9444" width="11" style="232"/>
    <col min="9445" max="9445" width="11" style="232"/>
    <col min="9446" max="9446" width="11" style="232"/>
    <col min="9447" max="9447" width="11" style="232"/>
    <col min="9448" max="9448" width="11" style="232"/>
    <col min="9449" max="9449" width="11" style="232"/>
    <col min="9450" max="9450" width="11" style="232"/>
    <col min="9451" max="9451" width="11" style="232"/>
    <col min="9452" max="9452" width="11" style="232"/>
    <col min="9453" max="9453" width="11" style="232"/>
    <col min="9454" max="9454" width="11" style="232"/>
    <col min="9455" max="9455" width="11" style="232"/>
    <col min="9456" max="9456" width="11" style="232"/>
    <col min="9457" max="9457" width="11" style="232"/>
    <col min="9458" max="9458" width="11" style="232"/>
    <col min="9459" max="9459" width="11" style="232"/>
    <col min="9460" max="9460" width="11" style="232"/>
    <col min="9461" max="9461" width="10.140625" customWidth="true" style="232"/>
    <col min="9462" max="9462" width="10.140625" customWidth="true" style="232"/>
    <col min="9463" max="9463" width="10.140625" customWidth="true" style="232"/>
    <col min="9464" max="9464" width="10.140625" customWidth="true" style="232"/>
    <col min="9465" max="9465" width="10.140625" customWidth="true" style="232"/>
    <col min="9466" max="9466" width="10.140625" customWidth="true" style="232"/>
    <col min="9467" max="9467" width="10.140625" customWidth="true" style="232"/>
    <col min="9468" max="9468" width="10.140625" customWidth="true" style="232"/>
    <col min="9469" max="9469" width="10.140625" customWidth="true" style="232"/>
    <col min="9470" max="9470" width="11" style="232"/>
    <col min="9471" max="9471" width="11" style="232"/>
    <col min="9472" max="9472" width="11" style="232"/>
    <col min="9473" max="9473" width="11" style="232"/>
    <col min="9474" max="9474" width="11" style="232"/>
    <col min="9475" max="9475" width="11" style="232"/>
    <col min="9476" max="9476" width="11" style="232"/>
    <col min="9477" max="9477" width="11" style="232"/>
    <col min="9478" max="9478" width="11" style="232"/>
    <col min="9479" max="9479" width="11" style="232"/>
    <col min="9480" max="9480" width="11" style="232"/>
    <col min="9481" max="9481" width="11" style="232"/>
    <col min="9482" max="9482" width="11" style="232"/>
    <col min="9483" max="9483" width="11" style="232"/>
    <col min="9484" max="9484" width="11" style="232"/>
    <col min="9485" max="9485" width="11" style="232"/>
    <col min="9486" max="9486" width="11" style="232"/>
    <col min="9487" max="9487" width="11" style="232"/>
    <col min="9488" max="9488" width="11" style="232"/>
    <col min="9489" max="9489" width="11" style="232"/>
    <col min="9490" max="9490" width="11" style="232"/>
    <col min="9491" max="9491" width="11" style="232"/>
    <col min="9492" max="9492" width="11" style="232"/>
    <col min="9493" max="9493" width="11" style="232"/>
    <col min="9494" max="9494" width="11" style="232"/>
    <col min="9495" max="9495" width="11" style="232"/>
    <col min="9496" max="9496" width="11" style="232"/>
    <col min="9497" max="9497" width="11" style="232"/>
    <col min="9498" max="9498" width="11" style="232"/>
    <col min="9499" max="9499" width="11" style="232"/>
    <col min="9500" max="9500" width="11" style="232"/>
    <col min="9501" max="9501" width="11" style="232"/>
    <col min="9502" max="9502" width="11" style="232"/>
    <col min="9503" max="9503" width="11" style="232"/>
    <col min="9504" max="9504" width="11" style="232"/>
    <col min="9505" max="9505" width="11" style="232"/>
    <col min="9506" max="9506" width="11" style="232"/>
    <col min="9507" max="9507" width="11" style="232"/>
    <col min="9508" max="9508" width="11" style="232"/>
    <col min="9509" max="9509" width="11" style="232"/>
    <col min="9510" max="9510" width="11" style="232"/>
    <col min="9511" max="9511" width="11" style="232"/>
    <col min="9512" max="9512" width="11" style="232"/>
    <col min="9513" max="9513" width="11" style="232"/>
    <col min="9514" max="9514" width="11" style="232"/>
    <col min="9515" max="9515" width="11" style="232"/>
    <col min="9516" max="9516" width="11" style="232"/>
    <col min="9517" max="9517" width="11" style="232"/>
    <col min="9518" max="9518" width="11" style="232"/>
    <col min="9519" max="9519" width="11" style="232"/>
    <col min="9520" max="9520" width="11" style="232"/>
    <col min="9521" max="9521" width="11" style="232"/>
    <col min="9522" max="9522" width="11" style="232"/>
    <col min="9523" max="9523" width="11" style="232"/>
    <col min="9524" max="9524" width="11" style="232"/>
    <col min="9525" max="9525" width="11" style="232"/>
    <col min="9526" max="9526" width="11" style="232"/>
    <col min="9527" max="9527" width="11" style="232"/>
    <col min="9528" max="9528" width="11" style="232"/>
    <col min="9529" max="9529" width="11" style="232"/>
    <col min="9530" max="9530" width="11" style="232"/>
    <col min="9531" max="9531" width="11" style="232"/>
    <col min="9532" max="9532" width="11" style="232"/>
    <col min="9533" max="9533" width="11" style="232"/>
    <col min="9534" max="9534" width="11" style="232"/>
    <col min="9535" max="9535" width="11" style="232"/>
    <col min="9536" max="9536" width="11" style="232"/>
    <col min="9537" max="9537" width="11" style="232"/>
    <col min="9538" max="9538" width="11" style="232"/>
    <col min="9539" max="9539" width="11" style="232"/>
    <col min="9540" max="9540" width="11" style="232"/>
    <col min="9541" max="9541" width="11" style="232"/>
    <col min="9542" max="9542" width="11" style="232"/>
    <col min="9543" max="9543" width="11" style="232"/>
    <col min="9544" max="9544" width="11" style="232"/>
    <col min="9545" max="9545" width="11" style="232"/>
    <col min="9546" max="9546" width="11" style="232"/>
    <col min="9547" max="9547" width="11" style="232"/>
    <col min="9548" max="9548" width="11" style="232"/>
    <col min="9549" max="9549" width="11" style="232"/>
    <col min="9550" max="9550" width="11" style="232"/>
    <col min="9551" max="9551" width="11" style="232"/>
    <col min="9552" max="9552" width="11" style="232"/>
    <col min="9553" max="9553" width="11" style="232"/>
    <col min="9554" max="9554" width="11" style="232"/>
    <col min="9555" max="9555" width="11" style="232"/>
    <col min="9556" max="9556" width="11" style="232"/>
    <col min="9557" max="9557" width="11" style="232"/>
    <col min="9558" max="9558" width="11" style="232"/>
    <col min="9559" max="9559" width="11" style="232"/>
    <col min="9560" max="9560" width="11" style="232"/>
    <col min="9561" max="9561" width="11" style="232"/>
    <col min="9562" max="9562" width="11" style="232"/>
    <col min="9563" max="9563" width="11" style="232"/>
    <col min="9564" max="9564" width="11" style="232"/>
    <col min="9565" max="9565" width="11" style="232"/>
    <col min="9566" max="9566" width="11" style="232"/>
    <col min="9567" max="9567" width="11" style="232"/>
    <col min="9568" max="9568" width="11" style="232"/>
    <col min="9569" max="9569" width="11" style="232"/>
    <col min="9570" max="9570" width="11" style="232"/>
    <col min="9571" max="9571" width="11" style="232"/>
    <col min="9572" max="9572" width="11" style="232"/>
    <col min="9573" max="9573" width="11" style="232"/>
    <col min="9574" max="9574" width="11" style="232"/>
    <col min="9575" max="9575" width="11" style="232"/>
    <col min="9576" max="9576" width="11" style="232"/>
    <col min="9577" max="9577" width="11" style="232"/>
    <col min="9578" max="9578" width="11" style="232"/>
    <col min="9579" max="9579" width="11" style="232"/>
    <col min="9580" max="9580" width="11" style="232"/>
    <col min="9581" max="9581" width="11" style="232"/>
    <col min="9582" max="9582" width="11" style="232"/>
    <col min="9583" max="9583" width="11" style="232"/>
    <col min="9584" max="9584" width="11" style="232"/>
    <col min="9585" max="9585" width="11" style="232"/>
    <col min="9586" max="9586" width="11" style="232"/>
    <col min="9587" max="9587" width="11" style="232"/>
    <col min="9588" max="9588" width="11" style="232"/>
    <col min="9589" max="9589" width="11" style="232"/>
    <col min="9590" max="9590" width="11" style="232"/>
    <col min="9591" max="9591" width="11" style="232"/>
    <col min="9592" max="9592" width="11" style="232"/>
    <col min="9593" max="9593" width="11" style="232"/>
    <col min="9594" max="9594" width="11" style="232"/>
    <col min="9595" max="9595" width="11" style="232"/>
    <col min="9596" max="9596" width="11" style="232"/>
    <col min="9597" max="9597" width="11" style="232"/>
    <col min="9598" max="9598" width="11" style="232"/>
    <col min="9599" max="9599" width="11" style="232"/>
    <col min="9600" max="9600" width="11" style="232"/>
    <col min="9601" max="9601" width="11" style="232"/>
    <col min="9602" max="9602" width="11" style="232"/>
    <col min="9603" max="9603" width="11" style="232"/>
    <col min="9604" max="9604" width="11" style="232"/>
    <col min="9605" max="9605" width="11" style="232"/>
    <col min="9606" max="9606" width="11" style="232"/>
    <col min="9607" max="9607" width="11" style="232"/>
    <col min="9608" max="9608" width="11" style="232"/>
    <col min="9609" max="9609" width="11" style="232"/>
    <col min="9610" max="9610" width="11" style="232"/>
    <col min="9611" max="9611" width="11" style="232"/>
    <col min="9612" max="9612" width="11" style="232"/>
    <col min="9613" max="9613" width="11" style="232"/>
    <col min="9614" max="9614" width="11" style="232"/>
    <col min="9615" max="9615" width="11" style="232"/>
    <col min="9616" max="9616" width="11" style="232"/>
    <col min="9617" max="9617" width="11" style="232"/>
    <col min="9618" max="9618" width="11" style="232"/>
    <col min="9619" max="9619" width="11" style="232"/>
    <col min="9620" max="9620" width="11" style="232"/>
    <col min="9621" max="9621" width="11" style="232"/>
    <col min="9622" max="9622" width="11" style="232"/>
    <col min="9623" max="9623" width="11" style="232"/>
    <col min="9624" max="9624" width="11" style="232"/>
    <col min="9625" max="9625" width="11" style="232"/>
    <col min="9626" max="9626" width="11" style="232"/>
    <col min="9627" max="9627" width="11" style="232"/>
    <col min="9628" max="9628" width="11" style="232"/>
    <col min="9629" max="9629" width="11" style="232"/>
    <col min="9630" max="9630" width="11" style="232"/>
    <col min="9631" max="9631" width="11" style="232"/>
    <col min="9632" max="9632" width="11" style="232"/>
    <col min="9633" max="9633" width="11" style="232"/>
    <col min="9634" max="9634" width="11" style="232"/>
    <col min="9635" max="9635" width="11" style="232"/>
    <col min="9636" max="9636" width="11" style="232"/>
    <col min="9637" max="9637" width="11" style="232"/>
    <col min="9638" max="9638" width="11" style="232"/>
    <col min="9639" max="9639" width="11" style="232"/>
    <col min="9640" max="9640" width="11" style="232"/>
    <col min="9641" max="9641" width="11" style="232"/>
    <col min="9642" max="9642" width="11" style="232"/>
    <col min="9643" max="9643" width="11" style="232"/>
    <col min="9644" max="9644" width="11" style="232"/>
    <col min="9645" max="9645" width="11" style="232"/>
    <col min="9646" max="9646" width="11" style="232"/>
    <col min="9647" max="9647" width="11" style="232"/>
    <col min="9648" max="9648" width="11" style="232"/>
    <col min="9649" max="9649" width="11" style="232"/>
    <col min="9650" max="9650" width="11" style="232"/>
    <col min="9651" max="9651" width="11" style="232"/>
    <col min="9652" max="9652" width="11" style="232"/>
    <col min="9653" max="9653" width="11" style="232"/>
    <col min="9654" max="9654" width="11" style="232"/>
    <col min="9655" max="9655" width="11" style="232"/>
    <col min="9656" max="9656" width="11" style="232"/>
    <col min="9657" max="9657" width="11" style="232"/>
    <col min="9658" max="9658" width="11" style="232"/>
    <col min="9659" max="9659" width="11" style="232"/>
    <col min="9660" max="9660" width="11" style="232"/>
    <col min="9661" max="9661" width="11" style="232"/>
    <col min="9662" max="9662" width="11" style="232"/>
    <col min="9663" max="9663" width="11" style="232"/>
    <col min="9664" max="9664" width="11" style="232"/>
    <col min="9665" max="9665" width="11" style="232"/>
    <col min="9666" max="9666" width="11" style="232"/>
    <col min="9667" max="9667" width="11" style="232"/>
    <col min="9668" max="9668" width="11" style="232"/>
    <col min="9669" max="9669" width="11" style="232"/>
    <col min="9670" max="9670" width="11" style="232"/>
    <col min="9671" max="9671" width="11" style="232"/>
    <col min="9672" max="9672" width="11" style="232"/>
    <col min="9673" max="9673" width="11" style="232"/>
    <col min="9674" max="9674" width="11" style="232"/>
    <col min="9675" max="9675" width="11" style="232"/>
    <col min="9676" max="9676" width="11" style="232"/>
    <col min="9677" max="9677" width="11" style="232"/>
    <col min="9678" max="9678" width="11" style="232"/>
    <col min="9679" max="9679" width="11" style="232"/>
    <col min="9680" max="9680" width="11" style="232"/>
    <col min="9681" max="9681" width="11" style="232"/>
    <col min="9682" max="9682" width="11" style="232"/>
    <col min="9683" max="9683" width="11" style="232"/>
    <col min="9684" max="9684" width="11" style="232"/>
    <col min="9685" max="9685" width="11" style="232"/>
    <col min="9686" max="9686" width="11" style="232"/>
    <col min="9687" max="9687" width="11" style="232"/>
    <col min="9688" max="9688" width="11" style="232"/>
    <col min="9689" max="9689" width="11" style="232"/>
    <col min="9690" max="9690" width="11" style="232"/>
    <col min="9691" max="9691" width="11" style="232"/>
    <col min="9692" max="9692" width="11" style="232"/>
    <col min="9693" max="9693" width="11" style="232"/>
    <col min="9694" max="9694" width="11" style="232"/>
    <col min="9695" max="9695" width="11" style="232"/>
    <col min="9696" max="9696" width="11" style="232"/>
    <col min="9697" max="9697" width="11" style="232"/>
    <col min="9698" max="9698" width="11" style="232"/>
    <col min="9699" max="9699" width="11" style="232"/>
    <col min="9700" max="9700" width="11" style="232"/>
    <col min="9701" max="9701" width="11" style="232"/>
    <col min="9702" max="9702" width="11" style="232"/>
    <col min="9703" max="9703" width="11" style="232"/>
    <col min="9704" max="9704" width="11" style="232"/>
    <col min="9705" max="9705" width="11" style="232"/>
    <col min="9706" max="9706" width="11" style="232"/>
    <col min="9707" max="9707" width="11" style="232"/>
    <col min="9708" max="9708" width="11" style="232"/>
    <col min="9709" max="9709" width="11" style="232"/>
    <col min="9710" max="9710" width="11" style="232"/>
    <col min="9711" max="9711" width="11" style="232"/>
    <col min="9712" max="9712" width="11" style="232"/>
    <col min="9713" max="9713" width="11" style="232"/>
    <col min="9714" max="9714" width="11" style="232"/>
    <col min="9715" max="9715" width="11" style="232"/>
    <col min="9716" max="9716" width="11" style="232"/>
    <col min="9717" max="9717" width="10.140625" customWidth="true" style="232"/>
    <col min="9718" max="9718" width="10.140625" customWidth="true" style="232"/>
    <col min="9719" max="9719" width="10.140625" customWidth="true" style="232"/>
    <col min="9720" max="9720" width="10.140625" customWidth="true" style="232"/>
    <col min="9721" max="9721" width="10.140625" customWidth="true" style="232"/>
    <col min="9722" max="9722" width="10.140625" customWidth="true" style="232"/>
    <col min="9723" max="9723" width="10.140625" customWidth="true" style="232"/>
    <col min="9724" max="9724" width="10.140625" customWidth="true" style="232"/>
    <col min="9725" max="9725" width="10.140625" customWidth="true" style="232"/>
    <col min="9726" max="9726" width="11" style="232"/>
    <col min="9727" max="9727" width="11" style="232"/>
    <col min="9728" max="9728" width="11" style="232"/>
    <col min="9729" max="9729" width="11" style="232"/>
    <col min="9730" max="9730" width="11" style="232"/>
    <col min="9731" max="9731" width="11" style="232"/>
    <col min="9732" max="9732" width="11" style="232"/>
    <col min="9733" max="9733" width="11" style="232"/>
    <col min="9734" max="9734" width="11" style="232"/>
    <col min="9735" max="9735" width="11" style="232"/>
    <col min="9736" max="9736" width="11" style="232"/>
    <col min="9737" max="9737" width="11" style="232"/>
    <col min="9738" max="9738" width="11" style="232"/>
    <col min="9739" max="9739" width="11" style="232"/>
    <col min="9740" max="9740" width="11" style="232"/>
    <col min="9741" max="9741" width="11" style="232"/>
    <col min="9742" max="9742" width="11" style="232"/>
    <col min="9743" max="9743" width="11" style="232"/>
    <col min="9744" max="9744" width="11" style="232"/>
    <col min="9745" max="9745" width="11" style="232"/>
    <col min="9746" max="9746" width="11" style="232"/>
    <col min="9747" max="9747" width="11" style="232"/>
    <col min="9748" max="9748" width="11" style="232"/>
    <col min="9749" max="9749" width="11" style="232"/>
    <col min="9750" max="9750" width="11" style="232"/>
    <col min="9751" max="9751" width="11" style="232"/>
    <col min="9752" max="9752" width="11" style="232"/>
    <col min="9753" max="9753" width="11" style="232"/>
    <col min="9754" max="9754" width="11" style="232"/>
    <col min="9755" max="9755" width="11" style="232"/>
    <col min="9756" max="9756" width="11" style="232"/>
    <col min="9757" max="9757" width="11" style="232"/>
    <col min="9758" max="9758" width="11" style="232"/>
    <col min="9759" max="9759" width="11" style="232"/>
    <col min="9760" max="9760" width="11" style="232"/>
    <col min="9761" max="9761" width="11" style="232"/>
    <col min="9762" max="9762" width="11" style="232"/>
    <col min="9763" max="9763" width="11" style="232"/>
    <col min="9764" max="9764" width="11" style="232"/>
    <col min="9765" max="9765" width="11" style="232"/>
    <col min="9766" max="9766" width="11" style="232"/>
    <col min="9767" max="9767" width="11" style="232"/>
    <col min="9768" max="9768" width="11" style="232"/>
    <col min="9769" max="9769" width="11" style="232"/>
    <col min="9770" max="9770" width="11" style="232"/>
    <col min="9771" max="9771" width="11" style="232"/>
    <col min="9772" max="9772" width="11" style="232"/>
    <col min="9773" max="9773" width="11" style="232"/>
    <col min="9774" max="9774" width="11" style="232"/>
    <col min="9775" max="9775" width="11" style="232"/>
    <col min="9776" max="9776" width="11" style="232"/>
    <col min="9777" max="9777" width="11" style="232"/>
    <col min="9778" max="9778" width="11" style="232"/>
    <col min="9779" max="9779" width="11" style="232"/>
    <col min="9780" max="9780" width="11" style="232"/>
    <col min="9781" max="9781" width="11" style="232"/>
    <col min="9782" max="9782" width="11" style="232"/>
    <col min="9783" max="9783" width="11" style="232"/>
    <col min="9784" max="9784" width="11" style="232"/>
    <col min="9785" max="9785" width="11" style="232"/>
    <col min="9786" max="9786" width="11" style="232"/>
    <col min="9787" max="9787" width="11" style="232"/>
    <col min="9788" max="9788" width="11" style="232"/>
    <col min="9789" max="9789" width="11" style="232"/>
    <col min="9790" max="9790" width="11" style="232"/>
    <col min="9791" max="9791" width="11" style="232"/>
    <col min="9792" max="9792" width="11" style="232"/>
    <col min="9793" max="9793" width="11" style="232"/>
    <col min="9794" max="9794" width="11" style="232"/>
    <col min="9795" max="9795" width="11" style="232"/>
    <col min="9796" max="9796" width="11" style="232"/>
    <col min="9797" max="9797" width="11" style="232"/>
    <col min="9798" max="9798" width="11" style="232"/>
    <col min="9799" max="9799" width="11" style="232"/>
    <col min="9800" max="9800" width="11" style="232"/>
    <col min="9801" max="9801" width="11" style="232"/>
    <col min="9802" max="9802" width="11" style="232"/>
    <col min="9803" max="9803" width="11" style="232"/>
    <col min="9804" max="9804" width="11" style="232"/>
    <col min="9805" max="9805" width="11" style="232"/>
    <col min="9806" max="9806" width="11" style="232"/>
    <col min="9807" max="9807" width="11" style="232"/>
    <col min="9808" max="9808" width="11" style="232"/>
    <col min="9809" max="9809" width="11" style="232"/>
    <col min="9810" max="9810" width="11" style="232"/>
    <col min="9811" max="9811" width="11" style="232"/>
    <col min="9812" max="9812" width="11" style="232"/>
    <col min="9813" max="9813" width="11" style="232"/>
    <col min="9814" max="9814" width="11" style="232"/>
    <col min="9815" max="9815" width="11" style="232"/>
    <col min="9816" max="9816" width="11" style="232"/>
    <col min="9817" max="9817" width="11" style="232"/>
    <col min="9818" max="9818" width="11" style="232"/>
    <col min="9819" max="9819" width="11" style="232"/>
    <col min="9820" max="9820" width="11" style="232"/>
    <col min="9821" max="9821" width="11" style="232"/>
    <col min="9822" max="9822" width="11" style="232"/>
    <col min="9823" max="9823" width="11" style="232"/>
    <col min="9824" max="9824" width="11" style="232"/>
    <col min="9825" max="9825" width="11" style="232"/>
    <col min="9826" max="9826" width="11" style="232"/>
    <col min="9827" max="9827" width="11" style="232"/>
    <col min="9828" max="9828" width="11" style="232"/>
    <col min="9829" max="9829" width="11" style="232"/>
    <col min="9830" max="9830" width="11" style="232"/>
    <col min="9831" max="9831" width="11" style="232"/>
    <col min="9832" max="9832" width="11" style="232"/>
    <col min="9833" max="9833" width="11" style="232"/>
    <col min="9834" max="9834" width="11" style="232"/>
    <col min="9835" max="9835" width="11" style="232"/>
    <col min="9836" max="9836" width="11" style="232"/>
    <col min="9837" max="9837" width="11" style="232"/>
    <col min="9838" max="9838" width="11" style="232"/>
    <col min="9839" max="9839" width="11" style="232"/>
    <col min="9840" max="9840" width="11" style="232"/>
    <col min="9841" max="9841" width="11" style="232"/>
    <col min="9842" max="9842" width="11" style="232"/>
    <col min="9843" max="9843" width="11" style="232"/>
    <col min="9844" max="9844" width="11" style="232"/>
    <col min="9845" max="9845" width="11" style="232"/>
    <col min="9846" max="9846" width="11" style="232"/>
    <col min="9847" max="9847" width="11" style="232"/>
    <col min="9848" max="9848" width="11" style="232"/>
    <col min="9849" max="9849" width="11" style="232"/>
    <col min="9850" max="9850" width="11" style="232"/>
    <col min="9851" max="9851" width="11" style="232"/>
    <col min="9852" max="9852" width="11" style="232"/>
    <col min="9853" max="9853" width="11" style="232"/>
    <col min="9854" max="9854" width="11" style="232"/>
    <col min="9855" max="9855" width="11" style="232"/>
    <col min="9856" max="9856" width="11" style="232"/>
    <col min="9857" max="9857" width="11" style="232"/>
    <col min="9858" max="9858" width="11" style="232"/>
    <col min="9859" max="9859" width="11" style="232"/>
    <col min="9860" max="9860" width="11" style="232"/>
    <col min="9861" max="9861" width="11" style="232"/>
    <col min="9862" max="9862" width="11" style="232"/>
    <col min="9863" max="9863" width="11" style="232"/>
    <col min="9864" max="9864" width="11" style="232"/>
    <col min="9865" max="9865" width="11" style="232"/>
    <col min="9866" max="9866" width="11" style="232"/>
    <col min="9867" max="9867" width="11" style="232"/>
    <col min="9868" max="9868" width="11" style="232"/>
    <col min="9869" max="9869" width="11" style="232"/>
    <col min="9870" max="9870" width="11" style="232"/>
    <col min="9871" max="9871" width="11" style="232"/>
    <col min="9872" max="9872" width="11" style="232"/>
    <col min="9873" max="9873" width="11" style="232"/>
    <col min="9874" max="9874" width="11" style="232"/>
    <col min="9875" max="9875" width="11" style="232"/>
    <col min="9876" max="9876" width="11" style="232"/>
    <col min="9877" max="9877" width="11" style="232"/>
    <col min="9878" max="9878" width="11" style="232"/>
    <col min="9879" max="9879" width="11" style="232"/>
    <col min="9880" max="9880" width="11" style="232"/>
    <col min="9881" max="9881" width="11" style="232"/>
    <col min="9882" max="9882" width="11" style="232"/>
    <col min="9883" max="9883" width="11" style="232"/>
    <col min="9884" max="9884" width="11" style="232"/>
    <col min="9885" max="9885" width="11" style="232"/>
    <col min="9886" max="9886" width="11" style="232"/>
    <col min="9887" max="9887" width="11" style="232"/>
    <col min="9888" max="9888" width="11" style="232"/>
    <col min="9889" max="9889" width="11" style="232"/>
    <col min="9890" max="9890" width="11" style="232"/>
    <col min="9891" max="9891" width="11" style="232"/>
    <col min="9892" max="9892" width="11" style="232"/>
    <col min="9893" max="9893" width="11" style="232"/>
    <col min="9894" max="9894" width="11" style="232"/>
    <col min="9895" max="9895" width="11" style="232"/>
    <col min="9896" max="9896" width="11" style="232"/>
    <col min="9897" max="9897" width="11" style="232"/>
    <col min="9898" max="9898" width="11" style="232"/>
    <col min="9899" max="9899" width="11" style="232"/>
    <col min="9900" max="9900" width="11" style="232"/>
    <col min="9901" max="9901" width="11" style="232"/>
    <col min="9902" max="9902" width="11" style="232"/>
    <col min="9903" max="9903" width="11" style="232"/>
    <col min="9904" max="9904" width="11" style="232"/>
    <col min="9905" max="9905" width="11" style="232"/>
    <col min="9906" max="9906" width="11" style="232"/>
    <col min="9907" max="9907" width="11" style="232"/>
    <col min="9908" max="9908" width="11" style="232"/>
    <col min="9909" max="9909" width="11" style="232"/>
    <col min="9910" max="9910" width="11" style="232"/>
    <col min="9911" max="9911" width="11" style="232"/>
    <col min="9912" max="9912" width="11" style="232"/>
    <col min="9913" max="9913" width="11" style="232"/>
    <col min="9914" max="9914" width="11" style="232"/>
    <col min="9915" max="9915" width="11" style="232"/>
    <col min="9916" max="9916" width="11" style="232"/>
    <col min="9917" max="9917" width="11" style="232"/>
    <col min="9918" max="9918" width="11" style="232"/>
    <col min="9919" max="9919" width="11" style="232"/>
    <col min="9920" max="9920" width="11" style="232"/>
    <col min="9921" max="9921" width="11" style="232"/>
    <col min="9922" max="9922" width="11" style="232"/>
    <col min="9923" max="9923" width="11" style="232"/>
    <col min="9924" max="9924" width="11" style="232"/>
    <col min="9925" max="9925" width="11" style="232"/>
    <col min="9926" max="9926" width="11" style="232"/>
    <col min="9927" max="9927" width="11" style="232"/>
    <col min="9928" max="9928" width="11" style="232"/>
    <col min="9929" max="9929" width="11" style="232"/>
    <col min="9930" max="9930" width="11" style="232"/>
    <col min="9931" max="9931" width="11" style="232"/>
    <col min="9932" max="9932" width="11" style="232"/>
    <col min="9933" max="9933" width="11" style="232"/>
    <col min="9934" max="9934" width="11" style="232"/>
    <col min="9935" max="9935" width="11" style="232"/>
    <col min="9936" max="9936" width="11" style="232"/>
    <col min="9937" max="9937" width="11" style="232"/>
    <col min="9938" max="9938" width="11" style="232"/>
    <col min="9939" max="9939" width="11" style="232"/>
    <col min="9940" max="9940" width="11" style="232"/>
    <col min="9941" max="9941" width="11" style="232"/>
    <col min="9942" max="9942" width="11" style="232"/>
    <col min="9943" max="9943" width="11" style="232"/>
    <col min="9944" max="9944" width="11" style="232"/>
    <col min="9945" max="9945" width="11" style="232"/>
    <col min="9946" max="9946" width="11" style="232"/>
    <col min="9947" max="9947" width="11" style="232"/>
    <col min="9948" max="9948" width="11" style="232"/>
    <col min="9949" max="9949" width="11" style="232"/>
    <col min="9950" max="9950" width="11" style="232"/>
    <col min="9951" max="9951" width="11" style="232"/>
    <col min="9952" max="9952" width="11" style="232"/>
    <col min="9953" max="9953" width="11" style="232"/>
    <col min="9954" max="9954" width="11" style="232"/>
    <col min="9955" max="9955" width="11" style="232"/>
    <col min="9956" max="9956" width="11" style="232"/>
    <col min="9957" max="9957" width="11" style="232"/>
    <col min="9958" max="9958" width="11" style="232"/>
    <col min="9959" max="9959" width="11" style="232"/>
    <col min="9960" max="9960" width="11" style="232"/>
    <col min="9961" max="9961" width="11" style="232"/>
    <col min="9962" max="9962" width="11" style="232"/>
    <col min="9963" max="9963" width="11" style="232"/>
    <col min="9964" max="9964" width="11" style="232"/>
    <col min="9965" max="9965" width="11" style="232"/>
    <col min="9966" max="9966" width="11" style="232"/>
    <col min="9967" max="9967" width="11" style="232"/>
    <col min="9968" max="9968" width="11" style="232"/>
    <col min="9969" max="9969" width="11" style="232"/>
    <col min="9970" max="9970" width="11" style="232"/>
    <col min="9971" max="9971" width="11" style="232"/>
    <col min="9972" max="9972" width="11" style="232"/>
    <col min="9973" max="9973" width="10.140625" customWidth="true" style="232"/>
    <col min="9974" max="9974" width="10.140625" customWidth="true" style="232"/>
    <col min="9975" max="9975" width="10.140625" customWidth="true" style="232"/>
    <col min="9976" max="9976" width="10.140625" customWidth="true" style="232"/>
    <col min="9977" max="9977" width="10.140625" customWidth="true" style="232"/>
    <col min="9978" max="9978" width="10.140625" customWidth="true" style="232"/>
    <col min="9979" max="9979" width="10.140625" customWidth="true" style="232"/>
    <col min="9980" max="9980" width="10.140625" customWidth="true" style="232"/>
    <col min="9981" max="9981" width="10.140625" customWidth="true" style="232"/>
    <col min="9982" max="9982" width="11" style="232"/>
    <col min="9983" max="9983" width="11" style="232"/>
    <col min="9984" max="9984" width="11" style="232"/>
    <col min="9985" max="9985" width="11" style="232"/>
    <col min="9986" max="9986" width="11" style="232"/>
    <col min="9987" max="9987" width="11" style="232"/>
    <col min="9988" max="9988" width="11" style="232"/>
    <col min="9989" max="9989" width="11" style="232"/>
    <col min="9990" max="9990" width="11" style="232"/>
    <col min="9991" max="9991" width="11" style="232"/>
    <col min="9992" max="9992" width="11" style="232"/>
    <col min="9993" max="9993" width="11" style="232"/>
    <col min="9994" max="9994" width="11" style="232"/>
    <col min="9995" max="9995" width="11" style="232"/>
    <col min="9996" max="9996" width="11" style="232"/>
    <col min="9997" max="9997" width="11" style="232"/>
    <col min="9998" max="9998" width="11" style="232"/>
    <col min="9999" max="9999" width="11" style="232"/>
    <col min="10000" max="10000" width="11" style="232"/>
    <col min="10001" max="10001" width="11" style="232"/>
    <col min="10002" max="10002" width="11" style="232"/>
    <col min="10003" max="10003" width="11" style="232"/>
    <col min="10004" max="10004" width="11" style="232"/>
    <col min="10005" max="10005" width="11" style="232"/>
    <col min="10006" max="10006" width="11" style="232"/>
    <col min="10007" max="10007" width="11" style="232"/>
    <col min="10008" max="10008" width="11" style="232"/>
    <col min="10009" max="10009" width="11" style="232"/>
    <col min="10010" max="10010" width="11" style="232"/>
    <col min="10011" max="10011" width="11" style="232"/>
    <col min="10012" max="10012" width="11" style="232"/>
    <col min="10013" max="10013" width="11" style="232"/>
    <col min="10014" max="10014" width="11" style="232"/>
    <col min="10015" max="10015" width="11" style="232"/>
    <col min="10016" max="10016" width="11" style="232"/>
    <col min="10017" max="10017" width="11" style="232"/>
    <col min="10018" max="10018" width="11" style="232"/>
    <col min="10019" max="10019" width="11" style="232"/>
    <col min="10020" max="10020" width="11" style="232"/>
    <col min="10021" max="10021" width="11" style="232"/>
    <col min="10022" max="10022" width="11" style="232"/>
    <col min="10023" max="10023" width="11" style="232"/>
    <col min="10024" max="10024" width="11" style="232"/>
    <col min="10025" max="10025" width="11" style="232"/>
    <col min="10026" max="10026" width="11" style="232"/>
    <col min="10027" max="10027" width="11" style="232"/>
    <col min="10028" max="10028" width="11" style="232"/>
    <col min="10029" max="10029" width="11" style="232"/>
    <col min="10030" max="10030" width="11" style="232"/>
    <col min="10031" max="10031" width="11" style="232"/>
    <col min="10032" max="10032" width="11" style="232"/>
    <col min="10033" max="10033" width="11" style="232"/>
    <col min="10034" max="10034" width="11" style="232"/>
    <col min="10035" max="10035" width="11" style="232"/>
    <col min="10036" max="10036" width="11" style="232"/>
    <col min="10037" max="10037" width="11" style="232"/>
    <col min="10038" max="10038" width="11" style="232"/>
    <col min="10039" max="10039" width="11" style="232"/>
    <col min="10040" max="10040" width="11" style="232"/>
    <col min="10041" max="10041" width="11" style="232"/>
    <col min="10042" max="10042" width="11" style="232"/>
    <col min="10043" max="10043" width="11" style="232"/>
    <col min="10044" max="10044" width="11" style="232"/>
    <col min="10045" max="10045" width="11" style="232"/>
    <col min="10046" max="10046" width="11" style="232"/>
    <col min="10047" max="10047" width="11" style="232"/>
    <col min="10048" max="10048" width="11" style="232"/>
    <col min="10049" max="10049" width="11" style="232"/>
    <col min="10050" max="10050" width="11" style="232"/>
    <col min="10051" max="10051" width="11" style="232"/>
    <col min="10052" max="10052" width="11" style="232"/>
    <col min="10053" max="10053" width="11" style="232"/>
    <col min="10054" max="10054" width="11" style="232"/>
    <col min="10055" max="10055" width="11" style="232"/>
    <col min="10056" max="10056" width="11" style="232"/>
    <col min="10057" max="10057" width="11" style="232"/>
    <col min="10058" max="10058" width="11" style="232"/>
    <col min="10059" max="10059" width="11" style="232"/>
    <col min="10060" max="10060" width="11" style="232"/>
    <col min="10061" max="10061" width="11" style="232"/>
    <col min="10062" max="10062" width="11" style="232"/>
    <col min="10063" max="10063" width="11" style="232"/>
    <col min="10064" max="10064" width="11" style="232"/>
    <col min="10065" max="10065" width="11" style="232"/>
    <col min="10066" max="10066" width="11" style="232"/>
    <col min="10067" max="10067" width="11" style="232"/>
    <col min="10068" max="10068" width="11" style="232"/>
    <col min="10069" max="10069" width="11" style="232"/>
    <col min="10070" max="10070" width="11" style="232"/>
    <col min="10071" max="10071" width="11" style="232"/>
    <col min="10072" max="10072" width="11" style="232"/>
    <col min="10073" max="10073" width="11" style="232"/>
    <col min="10074" max="10074" width="11" style="232"/>
    <col min="10075" max="10075" width="11" style="232"/>
    <col min="10076" max="10076" width="11" style="232"/>
    <col min="10077" max="10077" width="11" style="232"/>
    <col min="10078" max="10078" width="11" style="232"/>
    <col min="10079" max="10079" width="11" style="232"/>
    <col min="10080" max="10080" width="11" style="232"/>
    <col min="10081" max="10081" width="11" style="232"/>
    <col min="10082" max="10082" width="11" style="232"/>
    <col min="10083" max="10083" width="11" style="232"/>
    <col min="10084" max="10084" width="11" style="232"/>
    <col min="10085" max="10085" width="11" style="232"/>
    <col min="10086" max="10086" width="11" style="232"/>
    <col min="10087" max="10087" width="11" style="232"/>
    <col min="10088" max="10088" width="11" style="232"/>
    <col min="10089" max="10089" width="11" style="232"/>
    <col min="10090" max="10090" width="11" style="232"/>
    <col min="10091" max="10091" width="11" style="232"/>
    <col min="10092" max="10092" width="11" style="232"/>
    <col min="10093" max="10093" width="11" style="232"/>
    <col min="10094" max="10094" width="11" style="232"/>
    <col min="10095" max="10095" width="11" style="232"/>
    <col min="10096" max="10096" width="11" style="232"/>
    <col min="10097" max="10097" width="11" style="232"/>
    <col min="10098" max="10098" width="11" style="232"/>
    <col min="10099" max="10099" width="11" style="232"/>
    <col min="10100" max="10100" width="11" style="232"/>
    <col min="10101" max="10101" width="11" style="232"/>
    <col min="10102" max="10102" width="11" style="232"/>
    <col min="10103" max="10103" width="11" style="232"/>
    <col min="10104" max="10104" width="11" style="232"/>
    <col min="10105" max="10105" width="11" style="232"/>
    <col min="10106" max="10106" width="11" style="232"/>
    <col min="10107" max="10107" width="11" style="232"/>
    <col min="10108" max="10108" width="11" style="232"/>
    <col min="10109" max="10109" width="11" style="232"/>
    <col min="10110" max="10110" width="11" style="232"/>
    <col min="10111" max="10111" width="11" style="232"/>
    <col min="10112" max="10112" width="11" style="232"/>
    <col min="10113" max="10113" width="11" style="232"/>
    <col min="10114" max="10114" width="11" style="232"/>
    <col min="10115" max="10115" width="11" style="232"/>
    <col min="10116" max="10116" width="11" style="232"/>
    <col min="10117" max="10117" width="11" style="232"/>
    <col min="10118" max="10118" width="11" style="232"/>
    <col min="10119" max="10119" width="11" style="232"/>
    <col min="10120" max="10120" width="11" style="232"/>
    <col min="10121" max="10121" width="11" style="232"/>
    <col min="10122" max="10122" width="11" style="232"/>
    <col min="10123" max="10123" width="11" style="232"/>
    <col min="10124" max="10124" width="11" style="232"/>
    <col min="10125" max="10125" width="11" style="232"/>
    <col min="10126" max="10126" width="11" style="232"/>
    <col min="10127" max="10127" width="11" style="232"/>
    <col min="10128" max="10128" width="11" style="232"/>
    <col min="10129" max="10129" width="11" style="232"/>
    <col min="10130" max="10130" width="11" style="232"/>
    <col min="10131" max="10131" width="11" style="232"/>
    <col min="10132" max="10132" width="11" style="232"/>
    <col min="10133" max="10133" width="11" style="232"/>
    <col min="10134" max="10134" width="11" style="232"/>
    <col min="10135" max="10135" width="11" style="232"/>
    <col min="10136" max="10136" width="11" style="232"/>
    <col min="10137" max="10137" width="11" style="232"/>
    <col min="10138" max="10138" width="11" style="232"/>
    <col min="10139" max="10139" width="11" style="232"/>
    <col min="10140" max="10140" width="11" style="232"/>
    <col min="10141" max="10141" width="11" style="232"/>
    <col min="10142" max="10142" width="11" style="232"/>
    <col min="10143" max="10143" width="11" style="232"/>
    <col min="10144" max="10144" width="11" style="232"/>
    <col min="10145" max="10145" width="11" style="232"/>
    <col min="10146" max="10146" width="11" style="232"/>
    <col min="10147" max="10147" width="11" style="232"/>
    <col min="10148" max="10148" width="11" style="232"/>
    <col min="10149" max="10149" width="11" style="232"/>
    <col min="10150" max="10150" width="11" style="232"/>
    <col min="10151" max="10151" width="11" style="232"/>
    <col min="10152" max="10152" width="11" style="232"/>
    <col min="10153" max="10153" width="11" style="232"/>
    <col min="10154" max="10154" width="11" style="232"/>
    <col min="10155" max="10155" width="11" style="232"/>
    <col min="10156" max="10156" width="11" style="232"/>
    <col min="10157" max="10157" width="11" style="232"/>
    <col min="10158" max="10158" width="11" style="232"/>
    <col min="10159" max="10159" width="11" style="232"/>
    <col min="10160" max="10160" width="11" style="232"/>
    <col min="10161" max="10161" width="11" style="232"/>
    <col min="10162" max="10162" width="11" style="232"/>
    <col min="10163" max="10163" width="11" style="232"/>
    <col min="10164" max="10164" width="11" style="232"/>
    <col min="10165" max="10165" width="11" style="232"/>
    <col min="10166" max="10166" width="11" style="232"/>
    <col min="10167" max="10167" width="11" style="232"/>
    <col min="10168" max="10168" width="11" style="232"/>
    <col min="10169" max="10169" width="11" style="232"/>
    <col min="10170" max="10170" width="11" style="232"/>
    <col min="10171" max="10171" width="11" style="232"/>
    <col min="10172" max="10172" width="11" style="232"/>
    <col min="10173" max="10173" width="11" style="232"/>
    <col min="10174" max="10174" width="11" style="232"/>
    <col min="10175" max="10175" width="11" style="232"/>
    <col min="10176" max="10176" width="11" style="232"/>
    <col min="10177" max="10177" width="11" style="232"/>
    <col min="10178" max="10178" width="11" style="232"/>
    <col min="10179" max="10179" width="11" style="232"/>
    <col min="10180" max="10180" width="11" style="232"/>
    <col min="10181" max="10181" width="11" style="232"/>
    <col min="10182" max="10182" width="11" style="232"/>
    <col min="10183" max="10183" width="11" style="232"/>
    <col min="10184" max="10184" width="11" style="232"/>
    <col min="10185" max="10185" width="11" style="232"/>
    <col min="10186" max="10186" width="11" style="232"/>
    <col min="10187" max="10187" width="11" style="232"/>
    <col min="10188" max="10188" width="11" style="232"/>
    <col min="10189" max="10189" width="11" style="232"/>
    <col min="10190" max="10190" width="11" style="232"/>
    <col min="10191" max="10191" width="11" style="232"/>
    <col min="10192" max="10192" width="11" style="232"/>
    <col min="10193" max="10193" width="11" style="232"/>
    <col min="10194" max="10194" width="11" style="232"/>
    <col min="10195" max="10195" width="11" style="232"/>
    <col min="10196" max="10196" width="11" style="232"/>
    <col min="10197" max="10197" width="11" style="232"/>
    <col min="10198" max="10198" width="11" style="232"/>
    <col min="10199" max="10199" width="11" style="232"/>
    <col min="10200" max="10200" width="11" style="232"/>
    <col min="10201" max="10201" width="11" style="232"/>
    <col min="10202" max="10202" width="11" style="232"/>
    <col min="10203" max="10203" width="11" style="232"/>
    <col min="10204" max="10204" width="11" style="232"/>
    <col min="10205" max="10205" width="11" style="232"/>
    <col min="10206" max="10206" width="11" style="232"/>
    <col min="10207" max="10207" width="11" style="232"/>
    <col min="10208" max="10208" width="11" style="232"/>
    <col min="10209" max="10209" width="11" style="232"/>
    <col min="10210" max="10210" width="11" style="232"/>
    <col min="10211" max="10211" width="11" style="232"/>
    <col min="10212" max="10212" width="11" style="232"/>
    <col min="10213" max="10213" width="11" style="232"/>
    <col min="10214" max="10214" width="11" style="232"/>
    <col min="10215" max="10215" width="11" style="232"/>
    <col min="10216" max="10216" width="11" style="232"/>
    <col min="10217" max="10217" width="11" style="232"/>
    <col min="10218" max="10218" width="11" style="232"/>
    <col min="10219" max="10219" width="11" style="232"/>
    <col min="10220" max="10220" width="11" style="232"/>
    <col min="10221" max="10221" width="11" style="232"/>
    <col min="10222" max="10222" width="11" style="232"/>
    <col min="10223" max="10223" width="11" style="232"/>
    <col min="10224" max="10224" width="11" style="232"/>
    <col min="10225" max="10225" width="11" style="232"/>
    <col min="10226" max="10226" width="11" style="232"/>
    <col min="10227" max="10227" width="11" style="232"/>
    <col min="10228" max="10228" width="11" style="232"/>
    <col min="10229" max="10229" width="10.140625" customWidth="true" style="232"/>
    <col min="10230" max="10230" width="10.140625" customWidth="true" style="232"/>
    <col min="10231" max="10231" width="10.140625" customWidth="true" style="232"/>
    <col min="10232" max="10232" width="10.140625" customWidth="true" style="232"/>
    <col min="10233" max="10233" width="10.140625" customWidth="true" style="232"/>
    <col min="10234" max="10234" width="10.140625" customWidth="true" style="232"/>
    <col min="10235" max="10235" width="10.140625" customWidth="true" style="232"/>
    <col min="10236" max="10236" width="10.140625" customWidth="true" style="232"/>
    <col min="10237" max="10237" width="10.140625" customWidth="true" style="232"/>
    <col min="10238" max="10238" width="11" style="232"/>
    <col min="10239" max="10239" width="11" style="232"/>
    <col min="10240" max="10240" width="11" style="232"/>
    <col min="10241" max="10241" width="11" style="232"/>
    <col min="10242" max="10242" width="11" style="232"/>
    <col min="10243" max="10243" width="11" style="232"/>
    <col min="10244" max="10244" width="11" style="232"/>
    <col min="10245" max="10245" width="11" style="232"/>
    <col min="10246" max="10246" width="11" style="232"/>
    <col min="10247" max="10247" width="11" style="232"/>
    <col min="10248" max="10248" width="11" style="232"/>
    <col min="10249" max="10249" width="11" style="232"/>
    <col min="10250" max="10250" width="11" style="232"/>
    <col min="10251" max="10251" width="11" style="232"/>
    <col min="10252" max="10252" width="11" style="232"/>
    <col min="10253" max="10253" width="11" style="232"/>
    <col min="10254" max="10254" width="11" style="232"/>
    <col min="10255" max="10255" width="11" style="232"/>
    <col min="10256" max="10256" width="11" style="232"/>
    <col min="10257" max="10257" width="11" style="232"/>
    <col min="10258" max="10258" width="11" style="232"/>
    <col min="10259" max="10259" width="11" style="232"/>
    <col min="10260" max="10260" width="11" style="232"/>
    <col min="10261" max="10261" width="11" style="232"/>
    <col min="10262" max="10262" width="11" style="232"/>
    <col min="10263" max="10263" width="11" style="232"/>
    <col min="10264" max="10264" width="11" style="232"/>
    <col min="10265" max="10265" width="11" style="232"/>
    <col min="10266" max="10266" width="11" style="232"/>
    <col min="10267" max="10267" width="11" style="232"/>
    <col min="10268" max="10268" width="11" style="232"/>
    <col min="10269" max="10269" width="11" style="232"/>
    <col min="10270" max="10270" width="11" style="232"/>
    <col min="10271" max="10271" width="11" style="232"/>
    <col min="10272" max="10272" width="11" style="232"/>
    <col min="10273" max="10273" width="11" style="232"/>
    <col min="10274" max="10274" width="11" style="232"/>
    <col min="10275" max="10275" width="11" style="232"/>
    <col min="10276" max="10276" width="11" style="232"/>
    <col min="10277" max="10277" width="11" style="232"/>
    <col min="10278" max="10278" width="11" style="232"/>
    <col min="10279" max="10279" width="11" style="232"/>
    <col min="10280" max="10280" width="11" style="232"/>
    <col min="10281" max="10281" width="11" style="232"/>
    <col min="10282" max="10282" width="11" style="232"/>
    <col min="10283" max="10283" width="11" style="232"/>
    <col min="10284" max="10284" width="11" style="232"/>
    <col min="10285" max="10285" width="11" style="232"/>
    <col min="10286" max="10286" width="11" style="232"/>
    <col min="10287" max="10287" width="11" style="232"/>
    <col min="10288" max="10288" width="11" style="232"/>
    <col min="10289" max="10289" width="11" style="232"/>
    <col min="10290" max="10290" width="11" style="232"/>
    <col min="10291" max="10291" width="11" style="232"/>
    <col min="10292" max="10292" width="11" style="232"/>
    <col min="10293" max="10293" width="11" style="232"/>
    <col min="10294" max="10294" width="11" style="232"/>
    <col min="10295" max="10295" width="11" style="232"/>
    <col min="10296" max="10296" width="11" style="232"/>
    <col min="10297" max="10297" width="11" style="232"/>
    <col min="10298" max="10298" width="11" style="232"/>
    <col min="10299" max="10299" width="11" style="232"/>
    <col min="10300" max="10300" width="11" style="232"/>
    <col min="10301" max="10301" width="11" style="232"/>
    <col min="10302" max="10302" width="11" style="232"/>
    <col min="10303" max="10303" width="11" style="232"/>
    <col min="10304" max="10304" width="11" style="232"/>
    <col min="10305" max="10305" width="11" style="232"/>
    <col min="10306" max="10306" width="11" style="232"/>
    <col min="10307" max="10307" width="11" style="232"/>
    <col min="10308" max="10308" width="11" style="232"/>
    <col min="10309" max="10309" width="11" style="232"/>
    <col min="10310" max="10310" width="11" style="232"/>
    <col min="10311" max="10311" width="11" style="232"/>
    <col min="10312" max="10312" width="11" style="232"/>
    <col min="10313" max="10313" width="11" style="232"/>
    <col min="10314" max="10314" width="11" style="232"/>
    <col min="10315" max="10315" width="11" style="232"/>
    <col min="10316" max="10316" width="11" style="232"/>
    <col min="10317" max="10317" width="11" style="232"/>
    <col min="10318" max="10318" width="11" style="232"/>
    <col min="10319" max="10319" width="11" style="232"/>
    <col min="10320" max="10320" width="11" style="232"/>
    <col min="10321" max="10321" width="11" style="232"/>
    <col min="10322" max="10322" width="11" style="232"/>
    <col min="10323" max="10323" width="11" style="232"/>
    <col min="10324" max="10324" width="11" style="232"/>
    <col min="10325" max="10325" width="11" style="232"/>
    <col min="10326" max="10326" width="11" style="232"/>
    <col min="10327" max="10327" width="11" style="232"/>
    <col min="10328" max="10328" width="11" style="232"/>
    <col min="10329" max="10329" width="11" style="232"/>
    <col min="10330" max="10330" width="11" style="232"/>
    <col min="10331" max="10331" width="11" style="232"/>
    <col min="10332" max="10332" width="11" style="232"/>
    <col min="10333" max="10333" width="11" style="232"/>
    <col min="10334" max="10334" width="11" style="232"/>
    <col min="10335" max="10335" width="11" style="232"/>
    <col min="10336" max="10336" width="11" style="232"/>
    <col min="10337" max="10337" width="11" style="232"/>
    <col min="10338" max="10338" width="11" style="232"/>
    <col min="10339" max="10339" width="11" style="232"/>
    <col min="10340" max="10340" width="11" style="232"/>
    <col min="10341" max="10341" width="11" style="232"/>
    <col min="10342" max="10342" width="11" style="232"/>
    <col min="10343" max="10343" width="11" style="232"/>
    <col min="10344" max="10344" width="11" style="232"/>
    <col min="10345" max="10345" width="11" style="232"/>
    <col min="10346" max="10346" width="11" style="232"/>
    <col min="10347" max="10347" width="11" style="232"/>
    <col min="10348" max="10348" width="11" style="232"/>
    <col min="10349" max="10349" width="11" style="232"/>
    <col min="10350" max="10350" width="11" style="232"/>
    <col min="10351" max="10351" width="11" style="232"/>
    <col min="10352" max="10352" width="11" style="232"/>
    <col min="10353" max="10353" width="11" style="232"/>
    <col min="10354" max="10354" width="11" style="232"/>
    <col min="10355" max="10355" width="11" style="232"/>
    <col min="10356" max="10356" width="11" style="232"/>
    <col min="10357" max="10357" width="11" style="232"/>
    <col min="10358" max="10358" width="11" style="232"/>
    <col min="10359" max="10359" width="11" style="232"/>
    <col min="10360" max="10360" width="11" style="232"/>
    <col min="10361" max="10361" width="11" style="232"/>
    <col min="10362" max="10362" width="11" style="232"/>
    <col min="10363" max="10363" width="11" style="232"/>
    <col min="10364" max="10364" width="11" style="232"/>
    <col min="10365" max="10365" width="11" style="232"/>
    <col min="10366" max="10366" width="11" style="232"/>
    <col min="10367" max="10367" width="11" style="232"/>
    <col min="10368" max="10368" width="11" style="232"/>
    <col min="10369" max="10369" width="11" style="232"/>
    <col min="10370" max="10370" width="11" style="232"/>
    <col min="10371" max="10371" width="11" style="232"/>
    <col min="10372" max="10372" width="11" style="232"/>
    <col min="10373" max="10373" width="11" style="232"/>
    <col min="10374" max="10374" width="11" style="232"/>
    <col min="10375" max="10375" width="11" style="232"/>
    <col min="10376" max="10376" width="11" style="232"/>
    <col min="10377" max="10377" width="11" style="232"/>
    <col min="10378" max="10378" width="11" style="232"/>
    <col min="10379" max="10379" width="11" style="232"/>
    <col min="10380" max="10380" width="11" style="232"/>
    <col min="10381" max="10381" width="11" style="232"/>
    <col min="10382" max="10382" width="11" style="232"/>
    <col min="10383" max="10383" width="11" style="232"/>
    <col min="10384" max="10384" width="11" style="232"/>
    <col min="10385" max="10385" width="11" style="232"/>
    <col min="10386" max="10386" width="11" style="232"/>
    <col min="10387" max="10387" width="11" style="232"/>
    <col min="10388" max="10388" width="11" style="232"/>
    <col min="10389" max="10389" width="11" style="232"/>
    <col min="10390" max="10390" width="11" style="232"/>
    <col min="10391" max="10391" width="11" style="232"/>
    <col min="10392" max="10392" width="11" style="232"/>
    <col min="10393" max="10393" width="11" style="232"/>
    <col min="10394" max="10394" width="11" style="232"/>
    <col min="10395" max="10395" width="11" style="232"/>
    <col min="10396" max="10396" width="11" style="232"/>
    <col min="10397" max="10397" width="11" style="232"/>
    <col min="10398" max="10398" width="11" style="232"/>
    <col min="10399" max="10399" width="11" style="232"/>
    <col min="10400" max="10400" width="11" style="232"/>
    <col min="10401" max="10401" width="11" style="232"/>
    <col min="10402" max="10402" width="11" style="232"/>
    <col min="10403" max="10403" width="11" style="232"/>
    <col min="10404" max="10404" width="11" style="232"/>
    <col min="10405" max="10405" width="11" style="232"/>
    <col min="10406" max="10406" width="11" style="232"/>
    <col min="10407" max="10407" width="11" style="232"/>
    <col min="10408" max="10408" width="11" style="232"/>
    <col min="10409" max="10409" width="11" style="232"/>
    <col min="10410" max="10410" width="11" style="232"/>
    <col min="10411" max="10411" width="11" style="232"/>
    <col min="10412" max="10412" width="11" style="232"/>
    <col min="10413" max="10413" width="11" style="232"/>
    <col min="10414" max="10414" width="11" style="232"/>
    <col min="10415" max="10415" width="11" style="232"/>
    <col min="10416" max="10416" width="11" style="232"/>
    <col min="10417" max="10417" width="11" style="232"/>
    <col min="10418" max="10418" width="11" style="232"/>
    <col min="10419" max="10419" width="11" style="232"/>
    <col min="10420" max="10420" width="11" style="232"/>
    <col min="10421" max="10421" width="11" style="232"/>
    <col min="10422" max="10422" width="11" style="232"/>
    <col min="10423" max="10423" width="11" style="232"/>
    <col min="10424" max="10424" width="11" style="232"/>
    <col min="10425" max="10425" width="11" style="232"/>
    <col min="10426" max="10426" width="11" style="232"/>
    <col min="10427" max="10427" width="11" style="232"/>
    <col min="10428" max="10428" width="11" style="232"/>
    <col min="10429" max="10429" width="11" style="232"/>
    <col min="10430" max="10430" width="11" style="232"/>
    <col min="10431" max="10431" width="11" style="232"/>
    <col min="10432" max="10432" width="11" style="232"/>
    <col min="10433" max="10433" width="11" style="232"/>
    <col min="10434" max="10434" width="11" style="232"/>
    <col min="10435" max="10435" width="11" style="232"/>
    <col min="10436" max="10436" width="11" style="232"/>
    <col min="10437" max="10437" width="11" style="232"/>
    <col min="10438" max="10438" width="11" style="232"/>
    <col min="10439" max="10439" width="11" style="232"/>
    <col min="10440" max="10440" width="11" style="232"/>
    <col min="10441" max="10441" width="11" style="232"/>
    <col min="10442" max="10442" width="11" style="232"/>
    <col min="10443" max="10443" width="11" style="232"/>
    <col min="10444" max="10444" width="11" style="232"/>
    <col min="10445" max="10445" width="11" style="232"/>
    <col min="10446" max="10446" width="11" style="232"/>
    <col min="10447" max="10447" width="11" style="232"/>
    <col min="10448" max="10448" width="11" style="232"/>
    <col min="10449" max="10449" width="11" style="232"/>
    <col min="10450" max="10450" width="11" style="232"/>
    <col min="10451" max="10451" width="11" style="232"/>
    <col min="10452" max="10452" width="11" style="232"/>
    <col min="10453" max="10453" width="11" style="232"/>
    <col min="10454" max="10454" width="11" style="232"/>
    <col min="10455" max="10455" width="11" style="232"/>
    <col min="10456" max="10456" width="11" style="232"/>
    <col min="10457" max="10457" width="11" style="232"/>
    <col min="10458" max="10458" width="11" style="232"/>
    <col min="10459" max="10459" width="11" style="232"/>
    <col min="10460" max="10460" width="11" style="232"/>
    <col min="10461" max="10461" width="11" style="232"/>
    <col min="10462" max="10462" width="11" style="232"/>
    <col min="10463" max="10463" width="11" style="232"/>
    <col min="10464" max="10464" width="11" style="232"/>
    <col min="10465" max="10465" width="11" style="232"/>
    <col min="10466" max="10466" width="11" style="232"/>
    <col min="10467" max="10467" width="11" style="232"/>
    <col min="10468" max="10468" width="11" style="232"/>
    <col min="10469" max="10469" width="11" style="232"/>
    <col min="10470" max="10470" width="11" style="232"/>
    <col min="10471" max="10471" width="11" style="232"/>
    <col min="10472" max="10472" width="11" style="232"/>
    <col min="10473" max="10473" width="11" style="232"/>
    <col min="10474" max="10474" width="11" style="232"/>
    <col min="10475" max="10475" width="11" style="232"/>
    <col min="10476" max="10476" width="11" style="232"/>
    <col min="10477" max="10477" width="11" style="232"/>
    <col min="10478" max="10478" width="11" style="232"/>
    <col min="10479" max="10479" width="11" style="232"/>
    <col min="10480" max="10480" width="11" style="232"/>
    <col min="10481" max="10481" width="11" style="232"/>
    <col min="10482" max="10482" width="11" style="232"/>
    <col min="10483" max="10483" width="11" style="232"/>
    <col min="10484" max="10484" width="11" style="232"/>
    <col min="10485" max="10485" width="10.140625" customWidth="true" style="232"/>
    <col min="10486" max="10486" width="10.140625" customWidth="true" style="232"/>
    <col min="10487" max="10487" width="10.140625" customWidth="true" style="232"/>
    <col min="10488" max="10488" width="10.140625" customWidth="true" style="232"/>
    <col min="10489" max="10489" width="10.140625" customWidth="true" style="232"/>
    <col min="10490" max="10490" width="10.140625" customWidth="true" style="232"/>
    <col min="10491" max="10491" width="10.140625" customWidth="true" style="232"/>
    <col min="10492" max="10492" width="10.140625" customWidth="true" style="232"/>
    <col min="10493" max="10493" width="10.140625" customWidth="true" style="232"/>
    <col min="10494" max="10494" width="11" style="232"/>
    <col min="10495" max="10495" width="11" style="232"/>
    <col min="10496" max="10496" width="11" style="232"/>
    <col min="10497" max="10497" width="11" style="232"/>
    <col min="10498" max="10498" width="11" style="232"/>
    <col min="10499" max="10499" width="11" style="232"/>
    <col min="10500" max="10500" width="11" style="232"/>
    <col min="10501" max="10501" width="11" style="232"/>
    <col min="10502" max="10502" width="11" style="232"/>
    <col min="10503" max="10503" width="11" style="232"/>
    <col min="10504" max="10504" width="11" style="232"/>
    <col min="10505" max="10505" width="11" style="232"/>
    <col min="10506" max="10506" width="11" style="232"/>
    <col min="10507" max="10507" width="11" style="232"/>
    <col min="10508" max="10508" width="11" style="232"/>
    <col min="10509" max="10509" width="11" style="232"/>
    <col min="10510" max="10510" width="11" style="232"/>
    <col min="10511" max="10511" width="11" style="232"/>
    <col min="10512" max="10512" width="11" style="232"/>
    <col min="10513" max="10513" width="11" style="232"/>
    <col min="10514" max="10514" width="11" style="232"/>
    <col min="10515" max="10515" width="11" style="232"/>
    <col min="10516" max="10516" width="11" style="232"/>
    <col min="10517" max="10517" width="11" style="232"/>
    <col min="10518" max="10518" width="11" style="232"/>
    <col min="10519" max="10519" width="11" style="232"/>
    <col min="10520" max="10520" width="11" style="232"/>
    <col min="10521" max="10521" width="11" style="232"/>
    <col min="10522" max="10522" width="11" style="232"/>
    <col min="10523" max="10523" width="11" style="232"/>
    <col min="10524" max="10524" width="11" style="232"/>
    <col min="10525" max="10525" width="11" style="232"/>
    <col min="10526" max="10526" width="11" style="232"/>
    <col min="10527" max="10527" width="11" style="232"/>
    <col min="10528" max="10528" width="11" style="232"/>
    <col min="10529" max="10529" width="11" style="232"/>
    <col min="10530" max="10530" width="11" style="232"/>
    <col min="10531" max="10531" width="11" style="232"/>
    <col min="10532" max="10532" width="11" style="232"/>
    <col min="10533" max="10533" width="11" style="232"/>
    <col min="10534" max="10534" width="11" style="232"/>
    <col min="10535" max="10535" width="11" style="232"/>
    <col min="10536" max="10536" width="11" style="232"/>
    <col min="10537" max="10537" width="11" style="232"/>
    <col min="10538" max="10538" width="11" style="232"/>
    <col min="10539" max="10539" width="11" style="232"/>
    <col min="10540" max="10540" width="11" style="232"/>
    <col min="10541" max="10541" width="11" style="232"/>
    <col min="10542" max="10542" width="11" style="232"/>
    <col min="10543" max="10543" width="11" style="232"/>
    <col min="10544" max="10544" width="11" style="232"/>
    <col min="10545" max="10545" width="11" style="232"/>
    <col min="10546" max="10546" width="11" style="232"/>
    <col min="10547" max="10547" width="11" style="232"/>
    <col min="10548" max="10548" width="11" style="232"/>
    <col min="10549" max="10549" width="11" style="232"/>
    <col min="10550" max="10550" width="11" style="232"/>
    <col min="10551" max="10551" width="11" style="232"/>
    <col min="10552" max="10552" width="11" style="232"/>
    <col min="10553" max="10553" width="11" style="232"/>
    <col min="10554" max="10554" width="11" style="232"/>
    <col min="10555" max="10555" width="11" style="232"/>
    <col min="10556" max="10556" width="11" style="232"/>
    <col min="10557" max="10557" width="11" style="232"/>
    <col min="10558" max="10558" width="11" style="232"/>
    <col min="10559" max="10559" width="11" style="232"/>
    <col min="10560" max="10560" width="11" style="232"/>
    <col min="10561" max="10561" width="11" style="232"/>
    <col min="10562" max="10562" width="11" style="232"/>
    <col min="10563" max="10563" width="11" style="232"/>
    <col min="10564" max="10564" width="11" style="232"/>
    <col min="10565" max="10565" width="11" style="232"/>
    <col min="10566" max="10566" width="11" style="232"/>
    <col min="10567" max="10567" width="11" style="232"/>
    <col min="10568" max="10568" width="11" style="232"/>
    <col min="10569" max="10569" width="11" style="232"/>
    <col min="10570" max="10570" width="11" style="232"/>
    <col min="10571" max="10571" width="11" style="232"/>
    <col min="10572" max="10572" width="11" style="232"/>
    <col min="10573" max="10573" width="11" style="232"/>
    <col min="10574" max="10574" width="11" style="232"/>
    <col min="10575" max="10575" width="11" style="232"/>
    <col min="10576" max="10576" width="11" style="232"/>
    <col min="10577" max="10577" width="11" style="232"/>
    <col min="10578" max="10578" width="11" style="232"/>
    <col min="10579" max="10579" width="11" style="232"/>
    <col min="10580" max="10580" width="11" style="232"/>
    <col min="10581" max="10581" width="11" style="232"/>
    <col min="10582" max="10582" width="11" style="232"/>
    <col min="10583" max="10583" width="11" style="232"/>
    <col min="10584" max="10584" width="11" style="232"/>
    <col min="10585" max="10585" width="11" style="232"/>
    <col min="10586" max="10586" width="11" style="232"/>
    <col min="10587" max="10587" width="11" style="232"/>
    <col min="10588" max="10588" width="11" style="232"/>
    <col min="10589" max="10589" width="11" style="232"/>
    <col min="10590" max="10590" width="11" style="232"/>
    <col min="10591" max="10591" width="11" style="232"/>
    <col min="10592" max="10592" width="11" style="232"/>
    <col min="10593" max="10593" width="11" style="232"/>
    <col min="10594" max="10594" width="11" style="232"/>
    <col min="10595" max="10595" width="11" style="232"/>
    <col min="10596" max="10596" width="11" style="232"/>
    <col min="10597" max="10597" width="11" style="232"/>
    <col min="10598" max="10598" width="11" style="232"/>
    <col min="10599" max="10599" width="11" style="232"/>
    <col min="10600" max="10600" width="11" style="232"/>
    <col min="10601" max="10601" width="11" style="232"/>
    <col min="10602" max="10602" width="11" style="232"/>
    <col min="10603" max="10603" width="11" style="232"/>
    <col min="10604" max="10604" width="11" style="232"/>
    <col min="10605" max="10605" width="11" style="232"/>
    <col min="10606" max="10606" width="11" style="232"/>
    <col min="10607" max="10607" width="11" style="232"/>
    <col min="10608" max="10608" width="11" style="232"/>
    <col min="10609" max="10609" width="11" style="232"/>
    <col min="10610" max="10610" width="11" style="232"/>
    <col min="10611" max="10611" width="11" style="232"/>
    <col min="10612" max="10612" width="11" style="232"/>
    <col min="10613" max="10613" width="11" style="232"/>
    <col min="10614" max="10614" width="11" style="232"/>
    <col min="10615" max="10615" width="11" style="232"/>
    <col min="10616" max="10616" width="11" style="232"/>
    <col min="10617" max="10617" width="11" style="232"/>
    <col min="10618" max="10618" width="11" style="232"/>
    <col min="10619" max="10619" width="11" style="232"/>
    <col min="10620" max="10620" width="11" style="232"/>
    <col min="10621" max="10621" width="11" style="232"/>
    <col min="10622" max="10622" width="11" style="232"/>
    <col min="10623" max="10623" width="11" style="232"/>
    <col min="10624" max="10624" width="11" style="232"/>
    <col min="10625" max="10625" width="11" style="232"/>
    <col min="10626" max="10626" width="11" style="232"/>
    <col min="10627" max="10627" width="11" style="232"/>
    <col min="10628" max="10628" width="11" style="232"/>
    <col min="10629" max="10629" width="11" style="232"/>
    <col min="10630" max="10630" width="11" style="232"/>
    <col min="10631" max="10631" width="11" style="232"/>
    <col min="10632" max="10632" width="11" style="232"/>
    <col min="10633" max="10633" width="11" style="232"/>
    <col min="10634" max="10634" width="11" style="232"/>
    <col min="10635" max="10635" width="11" style="232"/>
    <col min="10636" max="10636" width="11" style="232"/>
    <col min="10637" max="10637" width="11" style="232"/>
    <col min="10638" max="10638" width="11" style="232"/>
    <col min="10639" max="10639" width="11" style="232"/>
    <col min="10640" max="10640" width="11" style="232"/>
    <col min="10641" max="10641" width="11" style="232"/>
    <col min="10642" max="10642" width="11" style="232"/>
    <col min="10643" max="10643" width="11" style="232"/>
    <col min="10644" max="10644" width="11" style="232"/>
    <col min="10645" max="10645" width="11" style="232"/>
    <col min="10646" max="10646" width="11" style="232"/>
    <col min="10647" max="10647" width="11" style="232"/>
    <col min="10648" max="10648" width="11" style="232"/>
    <col min="10649" max="10649" width="11" style="232"/>
    <col min="10650" max="10650" width="11" style="232"/>
    <col min="10651" max="10651" width="11" style="232"/>
    <col min="10652" max="10652" width="11" style="232"/>
    <col min="10653" max="10653" width="11" style="232"/>
    <col min="10654" max="10654" width="11" style="232"/>
    <col min="10655" max="10655" width="11" style="232"/>
    <col min="10656" max="10656" width="11" style="232"/>
    <col min="10657" max="10657" width="11" style="232"/>
    <col min="10658" max="10658" width="11" style="232"/>
    <col min="10659" max="10659" width="11" style="232"/>
    <col min="10660" max="10660" width="11" style="232"/>
    <col min="10661" max="10661" width="11" style="232"/>
    <col min="10662" max="10662" width="11" style="232"/>
    <col min="10663" max="10663" width="11" style="232"/>
    <col min="10664" max="10664" width="11" style="232"/>
    <col min="10665" max="10665" width="11" style="232"/>
    <col min="10666" max="10666" width="11" style="232"/>
    <col min="10667" max="10667" width="11" style="232"/>
    <col min="10668" max="10668" width="11" style="232"/>
    <col min="10669" max="10669" width="11" style="232"/>
    <col min="10670" max="10670" width="11" style="232"/>
    <col min="10671" max="10671" width="11" style="232"/>
    <col min="10672" max="10672" width="11" style="232"/>
    <col min="10673" max="10673" width="11" style="232"/>
    <col min="10674" max="10674" width="11" style="232"/>
    <col min="10675" max="10675" width="11" style="232"/>
    <col min="10676" max="10676" width="11" style="232"/>
    <col min="10677" max="10677" width="11" style="232"/>
    <col min="10678" max="10678" width="11" style="232"/>
    <col min="10679" max="10679" width="11" style="232"/>
    <col min="10680" max="10680" width="11" style="232"/>
    <col min="10681" max="10681" width="11" style="232"/>
    <col min="10682" max="10682" width="11" style="232"/>
    <col min="10683" max="10683" width="11" style="232"/>
    <col min="10684" max="10684" width="11" style="232"/>
    <col min="10685" max="10685" width="11" style="232"/>
    <col min="10686" max="10686" width="11" style="232"/>
    <col min="10687" max="10687" width="11" style="232"/>
    <col min="10688" max="10688" width="11" style="232"/>
    <col min="10689" max="10689" width="11" style="232"/>
    <col min="10690" max="10690" width="11" style="232"/>
    <col min="10691" max="10691" width="11" style="232"/>
    <col min="10692" max="10692" width="11" style="232"/>
    <col min="10693" max="10693" width="11" style="232"/>
    <col min="10694" max="10694" width="11" style="232"/>
    <col min="10695" max="10695" width="11" style="232"/>
    <col min="10696" max="10696" width="11" style="232"/>
    <col min="10697" max="10697" width="11" style="232"/>
    <col min="10698" max="10698" width="11" style="232"/>
    <col min="10699" max="10699" width="11" style="232"/>
    <col min="10700" max="10700" width="11" style="232"/>
    <col min="10701" max="10701" width="11" style="232"/>
    <col min="10702" max="10702" width="11" style="232"/>
    <col min="10703" max="10703" width="11" style="232"/>
    <col min="10704" max="10704" width="11" style="232"/>
    <col min="10705" max="10705" width="11" style="232"/>
    <col min="10706" max="10706" width="11" style="232"/>
    <col min="10707" max="10707" width="11" style="232"/>
    <col min="10708" max="10708" width="11" style="232"/>
    <col min="10709" max="10709" width="11" style="232"/>
    <col min="10710" max="10710" width="11" style="232"/>
    <col min="10711" max="10711" width="11" style="232"/>
    <col min="10712" max="10712" width="11" style="232"/>
    <col min="10713" max="10713" width="11" style="232"/>
    <col min="10714" max="10714" width="11" style="232"/>
    <col min="10715" max="10715" width="11" style="232"/>
    <col min="10716" max="10716" width="11" style="232"/>
    <col min="10717" max="10717" width="11" style="232"/>
    <col min="10718" max="10718" width="11" style="232"/>
    <col min="10719" max="10719" width="11" style="232"/>
    <col min="10720" max="10720" width="11" style="232"/>
    <col min="10721" max="10721" width="11" style="232"/>
    <col min="10722" max="10722" width="11" style="232"/>
    <col min="10723" max="10723" width="11" style="232"/>
    <col min="10724" max="10724" width="11" style="232"/>
    <col min="10725" max="10725" width="11" style="232"/>
    <col min="10726" max="10726" width="11" style="232"/>
    <col min="10727" max="10727" width="11" style="232"/>
    <col min="10728" max="10728" width="11" style="232"/>
    <col min="10729" max="10729" width="11" style="232"/>
    <col min="10730" max="10730" width="11" style="232"/>
    <col min="10731" max="10731" width="11" style="232"/>
    <col min="10732" max="10732" width="11" style="232"/>
    <col min="10733" max="10733" width="11" style="232"/>
    <col min="10734" max="10734" width="11" style="232"/>
    <col min="10735" max="10735" width="11" style="232"/>
    <col min="10736" max="10736" width="11" style="232"/>
    <col min="10737" max="10737" width="11" style="232"/>
    <col min="10738" max="10738" width="11" style="232"/>
    <col min="10739" max="10739" width="11" style="232"/>
    <col min="10740" max="10740" width="11" style="232"/>
    <col min="10741" max="10741" width="10.140625" customWidth="true" style="232"/>
    <col min="10742" max="10742" width="10.140625" customWidth="true" style="232"/>
    <col min="10743" max="10743" width="10.140625" customWidth="true" style="232"/>
    <col min="10744" max="10744" width="10.140625" customWidth="true" style="232"/>
    <col min="10745" max="10745" width="10.140625" customWidth="true" style="232"/>
    <col min="10746" max="10746" width="10.140625" customWidth="true" style="232"/>
    <col min="10747" max="10747" width="10.140625" customWidth="true" style="232"/>
    <col min="10748" max="10748" width="10.140625" customWidth="true" style="232"/>
    <col min="10749" max="10749" width="10.140625" customWidth="true" style="232"/>
    <col min="10750" max="10750" width="11" style="232"/>
    <col min="10751" max="10751" width="11" style="232"/>
    <col min="10752" max="10752" width="11" style="232"/>
    <col min="10753" max="10753" width="11" style="232"/>
    <col min="10754" max="10754" width="11" style="232"/>
    <col min="10755" max="10755" width="11" style="232"/>
    <col min="10756" max="10756" width="11" style="232"/>
    <col min="10757" max="10757" width="11" style="232"/>
    <col min="10758" max="10758" width="11" style="232"/>
    <col min="10759" max="10759" width="11" style="232"/>
    <col min="10760" max="10760" width="11" style="232"/>
    <col min="10761" max="10761" width="11" style="232"/>
    <col min="10762" max="10762" width="11" style="232"/>
    <col min="10763" max="10763" width="11" style="232"/>
    <col min="10764" max="10764" width="11" style="232"/>
    <col min="10765" max="10765" width="11" style="232"/>
    <col min="10766" max="10766" width="11" style="232"/>
    <col min="10767" max="10767" width="11" style="232"/>
    <col min="10768" max="10768" width="11" style="232"/>
    <col min="10769" max="10769" width="11" style="232"/>
    <col min="10770" max="10770" width="11" style="232"/>
    <col min="10771" max="10771" width="11" style="232"/>
    <col min="10772" max="10772" width="11" style="232"/>
    <col min="10773" max="10773" width="11" style="232"/>
    <col min="10774" max="10774" width="11" style="232"/>
    <col min="10775" max="10775" width="11" style="232"/>
    <col min="10776" max="10776" width="11" style="232"/>
    <col min="10777" max="10777" width="11" style="232"/>
    <col min="10778" max="10778" width="11" style="232"/>
    <col min="10779" max="10779" width="11" style="232"/>
    <col min="10780" max="10780" width="11" style="232"/>
    <col min="10781" max="10781" width="11" style="232"/>
    <col min="10782" max="10782" width="11" style="232"/>
    <col min="10783" max="10783" width="11" style="232"/>
    <col min="10784" max="10784" width="11" style="232"/>
    <col min="10785" max="10785" width="11" style="232"/>
    <col min="10786" max="10786" width="11" style="232"/>
    <col min="10787" max="10787" width="11" style="232"/>
    <col min="10788" max="10788" width="11" style="232"/>
    <col min="10789" max="10789" width="11" style="232"/>
    <col min="10790" max="10790" width="11" style="232"/>
    <col min="10791" max="10791" width="11" style="232"/>
    <col min="10792" max="10792" width="11" style="232"/>
    <col min="10793" max="10793" width="11" style="232"/>
    <col min="10794" max="10794" width="11" style="232"/>
    <col min="10795" max="10795" width="11" style="232"/>
    <col min="10796" max="10796" width="11" style="232"/>
    <col min="10797" max="10797" width="11" style="232"/>
    <col min="10798" max="10798" width="11" style="232"/>
    <col min="10799" max="10799" width="11" style="232"/>
    <col min="10800" max="10800" width="11" style="232"/>
    <col min="10801" max="10801" width="11" style="232"/>
    <col min="10802" max="10802" width="11" style="232"/>
    <col min="10803" max="10803" width="11" style="232"/>
    <col min="10804" max="10804" width="11" style="232"/>
    <col min="10805" max="10805" width="11" style="232"/>
    <col min="10806" max="10806" width="11" style="232"/>
    <col min="10807" max="10807" width="11" style="232"/>
    <col min="10808" max="10808" width="11" style="232"/>
    <col min="10809" max="10809" width="11" style="232"/>
    <col min="10810" max="10810" width="11" style="232"/>
    <col min="10811" max="10811" width="11" style="232"/>
    <col min="10812" max="10812" width="11" style="232"/>
    <col min="10813" max="10813" width="11" style="232"/>
    <col min="10814" max="10814" width="11" style="232"/>
    <col min="10815" max="10815" width="11" style="232"/>
    <col min="10816" max="10816" width="11" style="232"/>
    <col min="10817" max="10817" width="11" style="232"/>
    <col min="10818" max="10818" width="11" style="232"/>
    <col min="10819" max="10819" width="11" style="232"/>
    <col min="10820" max="10820" width="11" style="232"/>
    <col min="10821" max="10821" width="11" style="232"/>
    <col min="10822" max="10822" width="11" style="232"/>
    <col min="10823" max="10823" width="11" style="232"/>
    <col min="10824" max="10824" width="11" style="232"/>
    <col min="10825" max="10825" width="11" style="232"/>
    <col min="10826" max="10826" width="11" style="232"/>
    <col min="10827" max="10827" width="11" style="232"/>
    <col min="10828" max="10828" width="11" style="232"/>
    <col min="10829" max="10829" width="11" style="232"/>
    <col min="10830" max="10830" width="11" style="232"/>
    <col min="10831" max="10831" width="11" style="232"/>
    <col min="10832" max="10832" width="11" style="232"/>
    <col min="10833" max="10833" width="11" style="232"/>
    <col min="10834" max="10834" width="11" style="232"/>
    <col min="10835" max="10835" width="11" style="232"/>
    <col min="10836" max="10836" width="11" style="232"/>
    <col min="10837" max="10837" width="11" style="232"/>
    <col min="10838" max="10838" width="11" style="232"/>
    <col min="10839" max="10839" width="11" style="232"/>
    <col min="10840" max="10840" width="11" style="232"/>
    <col min="10841" max="10841" width="11" style="232"/>
    <col min="10842" max="10842" width="11" style="232"/>
    <col min="10843" max="10843" width="11" style="232"/>
    <col min="10844" max="10844" width="11" style="232"/>
    <col min="10845" max="10845" width="11" style="232"/>
    <col min="10846" max="10846" width="11" style="232"/>
    <col min="10847" max="10847" width="11" style="232"/>
    <col min="10848" max="10848" width="11" style="232"/>
    <col min="10849" max="10849" width="11" style="232"/>
    <col min="10850" max="10850" width="11" style="232"/>
    <col min="10851" max="10851" width="11" style="232"/>
    <col min="10852" max="10852" width="11" style="232"/>
    <col min="10853" max="10853" width="11" style="232"/>
    <col min="10854" max="10854" width="11" style="232"/>
    <col min="10855" max="10855" width="11" style="232"/>
    <col min="10856" max="10856" width="11" style="232"/>
    <col min="10857" max="10857" width="11" style="232"/>
    <col min="10858" max="10858" width="11" style="232"/>
    <col min="10859" max="10859" width="11" style="232"/>
    <col min="10860" max="10860" width="11" style="232"/>
    <col min="10861" max="10861" width="11" style="232"/>
    <col min="10862" max="10862" width="11" style="232"/>
    <col min="10863" max="10863" width="11" style="232"/>
    <col min="10864" max="10864" width="11" style="232"/>
    <col min="10865" max="10865" width="11" style="232"/>
    <col min="10866" max="10866" width="11" style="232"/>
    <col min="10867" max="10867" width="11" style="232"/>
    <col min="10868" max="10868" width="11" style="232"/>
    <col min="10869" max="10869" width="11" style="232"/>
    <col min="10870" max="10870" width="11" style="232"/>
    <col min="10871" max="10871" width="11" style="232"/>
    <col min="10872" max="10872" width="11" style="232"/>
    <col min="10873" max="10873" width="11" style="232"/>
    <col min="10874" max="10874" width="11" style="232"/>
    <col min="10875" max="10875" width="11" style="232"/>
    <col min="10876" max="10876" width="11" style="232"/>
    <col min="10877" max="10877" width="11" style="232"/>
    <col min="10878" max="10878" width="11" style="232"/>
    <col min="10879" max="10879" width="11" style="232"/>
    <col min="10880" max="10880" width="11" style="232"/>
    <col min="10881" max="10881" width="11" style="232"/>
    <col min="10882" max="10882" width="11" style="232"/>
    <col min="10883" max="10883" width="11" style="232"/>
    <col min="10884" max="10884" width="11" style="232"/>
    <col min="10885" max="10885" width="11" style="232"/>
    <col min="10886" max="10886" width="11" style="232"/>
    <col min="10887" max="10887" width="11" style="232"/>
    <col min="10888" max="10888" width="11" style="232"/>
    <col min="10889" max="10889" width="11" style="232"/>
    <col min="10890" max="10890" width="11" style="232"/>
    <col min="10891" max="10891" width="11" style="232"/>
    <col min="10892" max="10892" width="11" style="232"/>
    <col min="10893" max="10893" width="11" style="232"/>
    <col min="10894" max="10894" width="11" style="232"/>
    <col min="10895" max="10895" width="11" style="232"/>
    <col min="10896" max="10896" width="11" style="232"/>
    <col min="10897" max="10897" width="11" style="232"/>
    <col min="10898" max="10898" width="11" style="232"/>
    <col min="10899" max="10899" width="11" style="232"/>
    <col min="10900" max="10900" width="11" style="232"/>
    <col min="10901" max="10901" width="11" style="232"/>
    <col min="10902" max="10902" width="11" style="232"/>
    <col min="10903" max="10903" width="11" style="232"/>
    <col min="10904" max="10904" width="11" style="232"/>
    <col min="10905" max="10905" width="11" style="232"/>
    <col min="10906" max="10906" width="11" style="232"/>
    <col min="10907" max="10907" width="11" style="232"/>
    <col min="10908" max="10908" width="11" style="232"/>
    <col min="10909" max="10909" width="11" style="232"/>
    <col min="10910" max="10910" width="11" style="232"/>
    <col min="10911" max="10911" width="11" style="232"/>
    <col min="10912" max="10912" width="11" style="232"/>
    <col min="10913" max="10913" width="11" style="232"/>
    <col min="10914" max="10914" width="11" style="232"/>
    <col min="10915" max="10915" width="11" style="232"/>
    <col min="10916" max="10916" width="11" style="232"/>
    <col min="10917" max="10917" width="11" style="232"/>
    <col min="10918" max="10918" width="11" style="232"/>
    <col min="10919" max="10919" width="11" style="232"/>
    <col min="10920" max="10920" width="11" style="232"/>
    <col min="10921" max="10921" width="11" style="232"/>
    <col min="10922" max="10922" width="11" style="232"/>
    <col min="10923" max="10923" width="11" style="232"/>
    <col min="10924" max="10924" width="11" style="232"/>
    <col min="10925" max="10925" width="11" style="232"/>
    <col min="10926" max="10926" width="11" style="232"/>
    <col min="10927" max="10927" width="11" style="232"/>
    <col min="10928" max="10928" width="11" style="232"/>
    <col min="10929" max="10929" width="11" style="232"/>
    <col min="10930" max="10930" width="11" style="232"/>
    <col min="10931" max="10931" width="11" style="232"/>
    <col min="10932" max="10932" width="11" style="232"/>
    <col min="10933" max="10933" width="11" style="232"/>
    <col min="10934" max="10934" width="11" style="232"/>
    <col min="10935" max="10935" width="11" style="232"/>
    <col min="10936" max="10936" width="11" style="232"/>
    <col min="10937" max="10937" width="11" style="232"/>
    <col min="10938" max="10938" width="11" style="232"/>
    <col min="10939" max="10939" width="11" style="232"/>
    <col min="10940" max="10940" width="11" style="232"/>
    <col min="10941" max="10941" width="11" style="232"/>
    <col min="10942" max="10942" width="11" style="232"/>
    <col min="10943" max="10943" width="11" style="232"/>
    <col min="10944" max="10944" width="11" style="232"/>
    <col min="10945" max="10945" width="11" style="232"/>
    <col min="10946" max="10946" width="11" style="232"/>
    <col min="10947" max="10947" width="11" style="232"/>
    <col min="10948" max="10948" width="11" style="232"/>
    <col min="10949" max="10949" width="11" style="232"/>
    <col min="10950" max="10950" width="11" style="232"/>
    <col min="10951" max="10951" width="11" style="232"/>
    <col min="10952" max="10952" width="11" style="232"/>
    <col min="10953" max="10953" width="11" style="232"/>
    <col min="10954" max="10954" width="11" style="232"/>
    <col min="10955" max="10955" width="11" style="232"/>
    <col min="10956" max="10956" width="11" style="232"/>
    <col min="10957" max="10957" width="11" style="232"/>
    <col min="10958" max="10958" width="11" style="232"/>
    <col min="10959" max="10959" width="11" style="232"/>
    <col min="10960" max="10960" width="11" style="232"/>
    <col min="10961" max="10961" width="11" style="232"/>
    <col min="10962" max="10962" width="11" style="232"/>
    <col min="10963" max="10963" width="11" style="232"/>
    <col min="10964" max="10964" width="11" style="232"/>
    <col min="10965" max="10965" width="11" style="232"/>
    <col min="10966" max="10966" width="11" style="232"/>
    <col min="10967" max="10967" width="11" style="232"/>
    <col min="10968" max="10968" width="11" style="232"/>
    <col min="10969" max="10969" width="11" style="232"/>
    <col min="10970" max="10970" width="11" style="232"/>
    <col min="10971" max="10971" width="11" style="232"/>
    <col min="10972" max="10972" width="11" style="232"/>
    <col min="10973" max="10973" width="11" style="232"/>
    <col min="10974" max="10974" width="11" style="232"/>
    <col min="10975" max="10975" width="11" style="232"/>
    <col min="10976" max="10976" width="11" style="232"/>
    <col min="10977" max="10977" width="11" style="232"/>
    <col min="10978" max="10978" width="11" style="232"/>
    <col min="10979" max="10979" width="11" style="232"/>
    <col min="10980" max="10980" width="11" style="232"/>
    <col min="10981" max="10981" width="11" style="232"/>
    <col min="10982" max="10982" width="11" style="232"/>
    <col min="10983" max="10983" width="11" style="232"/>
    <col min="10984" max="10984" width="11" style="232"/>
    <col min="10985" max="10985" width="11" style="232"/>
    <col min="10986" max="10986" width="11" style="232"/>
    <col min="10987" max="10987" width="11" style="232"/>
    <col min="10988" max="10988" width="11" style="232"/>
    <col min="10989" max="10989" width="11" style="232"/>
    <col min="10990" max="10990" width="11" style="232"/>
    <col min="10991" max="10991" width="11" style="232"/>
    <col min="10992" max="10992" width="11" style="232"/>
    <col min="10993" max="10993" width="11" style="232"/>
    <col min="10994" max="10994" width="11" style="232"/>
    <col min="10995" max="10995" width="11" style="232"/>
    <col min="10996" max="10996" width="11" style="232"/>
    <col min="10997" max="10997" width="10.140625" customWidth="true" style="232"/>
    <col min="10998" max="10998" width="10.140625" customWidth="true" style="232"/>
    <col min="10999" max="10999" width="10.140625" customWidth="true" style="232"/>
    <col min="11000" max="11000" width="10.140625" customWidth="true" style="232"/>
    <col min="11001" max="11001" width="10.140625" customWidth="true" style="232"/>
    <col min="11002" max="11002" width="10.140625" customWidth="true" style="232"/>
    <col min="11003" max="11003" width="10.140625" customWidth="true" style="232"/>
    <col min="11004" max="11004" width="10.140625" customWidth="true" style="232"/>
    <col min="11005" max="11005" width="10.140625" customWidth="true" style="232"/>
    <col min="11006" max="11006" width="11" style="232"/>
    <col min="11007" max="11007" width="11" style="232"/>
    <col min="11008" max="11008" width="11" style="232"/>
    <col min="11009" max="11009" width="11" style="232"/>
    <col min="11010" max="11010" width="11" style="232"/>
    <col min="11011" max="11011" width="11" style="232"/>
    <col min="11012" max="11012" width="11" style="232"/>
    <col min="11013" max="11013" width="11" style="232"/>
    <col min="11014" max="11014" width="11" style="232"/>
    <col min="11015" max="11015" width="11" style="232"/>
    <col min="11016" max="11016" width="11" style="232"/>
    <col min="11017" max="11017" width="11" style="232"/>
    <col min="11018" max="11018" width="11" style="232"/>
    <col min="11019" max="11019" width="11" style="232"/>
    <col min="11020" max="11020" width="11" style="232"/>
    <col min="11021" max="11021" width="11" style="232"/>
    <col min="11022" max="11022" width="11" style="232"/>
    <col min="11023" max="11023" width="11" style="232"/>
    <col min="11024" max="11024" width="11" style="232"/>
    <col min="11025" max="11025" width="11" style="232"/>
    <col min="11026" max="11026" width="11" style="232"/>
    <col min="11027" max="11027" width="11" style="232"/>
    <col min="11028" max="11028" width="11" style="232"/>
    <col min="11029" max="11029" width="11" style="232"/>
    <col min="11030" max="11030" width="11" style="232"/>
    <col min="11031" max="11031" width="11" style="232"/>
    <col min="11032" max="11032" width="11" style="232"/>
    <col min="11033" max="11033" width="11" style="232"/>
    <col min="11034" max="11034" width="11" style="232"/>
    <col min="11035" max="11035" width="11" style="232"/>
    <col min="11036" max="11036" width="11" style="232"/>
    <col min="11037" max="11037" width="11" style="232"/>
    <col min="11038" max="11038" width="11" style="232"/>
    <col min="11039" max="11039" width="11" style="232"/>
    <col min="11040" max="11040" width="11" style="232"/>
    <col min="11041" max="11041" width="11" style="232"/>
    <col min="11042" max="11042" width="11" style="232"/>
    <col min="11043" max="11043" width="11" style="232"/>
    <col min="11044" max="11044" width="11" style="232"/>
    <col min="11045" max="11045" width="11" style="232"/>
    <col min="11046" max="11046" width="11" style="232"/>
    <col min="11047" max="11047" width="11" style="232"/>
    <col min="11048" max="11048" width="11" style="232"/>
    <col min="11049" max="11049" width="11" style="232"/>
    <col min="11050" max="11050" width="11" style="232"/>
    <col min="11051" max="11051" width="11" style="232"/>
    <col min="11052" max="11052" width="11" style="232"/>
    <col min="11053" max="11053" width="11" style="232"/>
    <col min="11054" max="11054" width="11" style="232"/>
    <col min="11055" max="11055" width="11" style="232"/>
    <col min="11056" max="11056" width="11" style="232"/>
    <col min="11057" max="11057" width="11" style="232"/>
    <col min="11058" max="11058" width="11" style="232"/>
    <col min="11059" max="11059" width="11" style="232"/>
    <col min="11060" max="11060" width="11" style="232"/>
    <col min="11061" max="11061" width="11" style="232"/>
    <col min="11062" max="11062" width="11" style="232"/>
    <col min="11063" max="11063" width="11" style="232"/>
    <col min="11064" max="11064" width="11" style="232"/>
    <col min="11065" max="11065" width="11" style="232"/>
    <col min="11066" max="11066" width="11" style="232"/>
    <col min="11067" max="11067" width="11" style="232"/>
    <col min="11068" max="11068" width="11" style="232"/>
    <col min="11069" max="11069" width="11" style="232"/>
    <col min="11070" max="11070" width="11" style="232"/>
    <col min="11071" max="11071" width="11" style="232"/>
    <col min="11072" max="11072" width="11" style="232"/>
    <col min="11073" max="11073" width="11" style="232"/>
    <col min="11074" max="11074" width="11" style="232"/>
    <col min="11075" max="11075" width="11" style="232"/>
    <col min="11076" max="11076" width="11" style="232"/>
    <col min="11077" max="11077" width="11" style="232"/>
    <col min="11078" max="11078" width="11" style="232"/>
    <col min="11079" max="11079" width="11" style="232"/>
    <col min="11080" max="11080" width="11" style="232"/>
    <col min="11081" max="11081" width="11" style="232"/>
    <col min="11082" max="11082" width="11" style="232"/>
    <col min="11083" max="11083" width="11" style="232"/>
    <col min="11084" max="11084" width="11" style="232"/>
    <col min="11085" max="11085" width="11" style="232"/>
    <col min="11086" max="11086" width="11" style="232"/>
    <col min="11087" max="11087" width="11" style="232"/>
    <col min="11088" max="11088" width="11" style="232"/>
    <col min="11089" max="11089" width="11" style="232"/>
    <col min="11090" max="11090" width="11" style="232"/>
    <col min="11091" max="11091" width="11" style="232"/>
    <col min="11092" max="11092" width="11" style="232"/>
    <col min="11093" max="11093" width="11" style="232"/>
    <col min="11094" max="11094" width="11" style="232"/>
    <col min="11095" max="11095" width="11" style="232"/>
    <col min="11096" max="11096" width="11" style="232"/>
    <col min="11097" max="11097" width="11" style="232"/>
    <col min="11098" max="11098" width="11" style="232"/>
    <col min="11099" max="11099" width="11" style="232"/>
    <col min="11100" max="11100" width="11" style="232"/>
    <col min="11101" max="11101" width="11" style="232"/>
    <col min="11102" max="11102" width="11" style="232"/>
    <col min="11103" max="11103" width="11" style="232"/>
    <col min="11104" max="11104" width="11" style="232"/>
    <col min="11105" max="11105" width="11" style="232"/>
    <col min="11106" max="11106" width="11" style="232"/>
    <col min="11107" max="11107" width="11" style="232"/>
    <col min="11108" max="11108" width="11" style="232"/>
    <col min="11109" max="11109" width="11" style="232"/>
    <col min="11110" max="11110" width="11" style="232"/>
    <col min="11111" max="11111" width="11" style="232"/>
    <col min="11112" max="11112" width="11" style="232"/>
    <col min="11113" max="11113" width="11" style="232"/>
    <col min="11114" max="11114" width="11" style="232"/>
    <col min="11115" max="11115" width="11" style="232"/>
    <col min="11116" max="11116" width="11" style="232"/>
    <col min="11117" max="11117" width="11" style="232"/>
    <col min="11118" max="11118" width="11" style="232"/>
    <col min="11119" max="11119" width="11" style="232"/>
    <col min="11120" max="11120" width="11" style="232"/>
    <col min="11121" max="11121" width="11" style="232"/>
    <col min="11122" max="11122" width="11" style="232"/>
    <col min="11123" max="11123" width="11" style="232"/>
    <col min="11124" max="11124" width="11" style="232"/>
    <col min="11125" max="11125" width="11" style="232"/>
    <col min="11126" max="11126" width="11" style="232"/>
    <col min="11127" max="11127" width="11" style="232"/>
    <col min="11128" max="11128" width="11" style="232"/>
    <col min="11129" max="11129" width="11" style="232"/>
    <col min="11130" max="11130" width="11" style="232"/>
    <col min="11131" max="11131" width="11" style="232"/>
    <col min="11132" max="11132" width="11" style="232"/>
    <col min="11133" max="11133" width="11" style="232"/>
    <col min="11134" max="11134" width="11" style="232"/>
    <col min="11135" max="11135" width="11" style="232"/>
    <col min="11136" max="11136" width="11" style="232"/>
    <col min="11137" max="11137" width="11" style="232"/>
    <col min="11138" max="11138" width="11" style="232"/>
    <col min="11139" max="11139" width="11" style="232"/>
    <col min="11140" max="11140" width="11" style="232"/>
    <col min="11141" max="11141" width="11" style="232"/>
    <col min="11142" max="11142" width="11" style="232"/>
    <col min="11143" max="11143" width="11" style="232"/>
    <col min="11144" max="11144" width="11" style="232"/>
    <col min="11145" max="11145" width="11" style="232"/>
    <col min="11146" max="11146" width="11" style="232"/>
    <col min="11147" max="11147" width="11" style="232"/>
    <col min="11148" max="11148" width="11" style="232"/>
    <col min="11149" max="11149" width="11" style="232"/>
    <col min="11150" max="11150" width="11" style="232"/>
    <col min="11151" max="11151" width="11" style="232"/>
    <col min="11152" max="11152" width="11" style="232"/>
    <col min="11153" max="11153" width="11" style="232"/>
    <col min="11154" max="11154" width="11" style="232"/>
    <col min="11155" max="11155" width="11" style="232"/>
    <col min="11156" max="11156" width="11" style="232"/>
    <col min="11157" max="11157" width="11" style="232"/>
    <col min="11158" max="11158" width="11" style="232"/>
    <col min="11159" max="11159" width="11" style="232"/>
    <col min="11160" max="11160" width="11" style="232"/>
    <col min="11161" max="11161" width="11" style="232"/>
    <col min="11162" max="11162" width="11" style="232"/>
    <col min="11163" max="11163" width="11" style="232"/>
    <col min="11164" max="11164" width="11" style="232"/>
    <col min="11165" max="11165" width="11" style="232"/>
    <col min="11166" max="11166" width="11" style="232"/>
    <col min="11167" max="11167" width="11" style="232"/>
    <col min="11168" max="11168" width="11" style="232"/>
    <col min="11169" max="11169" width="11" style="232"/>
    <col min="11170" max="11170" width="11" style="232"/>
    <col min="11171" max="11171" width="11" style="232"/>
    <col min="11172" max="11172" width="11" style="232"/>
    <col min="11173" max="11173" width="11" style="232"/>
    <col min="11174" max="11174" width="11" style="232"/>
    <col min="11175" max="11175" width="11" style="232"/>
    <col min="11176" max="11176" width="11" style="232"/>
    <col min="11177" max="11177" width="11" style="232"/>
    <col min="11178" max="11178" width="11" style="232"/>
    <col min="11179" max="11179" width="11" style="232"/>
    <col min="11180" max="11180" width="11" style="232"/>
    <col min="11181" max="11181" width="11" style="232"/>
    <col min="11182" max="11182" width="11" style="232"/>
    <col min="11183" max="11183" width="11" style="232"/>
    <col min="11184" max="11184" width="11" style="232"/>
    <col min="11185" max="11185" width="11" style="232"/>
    <col min="11186" max="11186" width="11" style="232"/>
    <col min="11187" max="11187" width="11" style="232"/>
    <col min="11188" max="11188" width="11" style="232"/>
    <col min="11189" max="11189" width="11" style="232"/>
    <col min="11190" max="11190" width="11" style="232"/>
    <col min="11191" max="11191" width="11" style="232"/>
    <col min="11192" max="11192" width="11" style="232"/>
    <col min="11193" max="11193" width="11" style="232"/>
    <col min="11194" max="11194" width="11" style="232"/>
    <col min="11195" max="11195" width="11" style="232"/>
    <col min="11196" max="11196" width="11" style="232"/>
    <col min="11197" max="11197" width="11" style="232"/>
    <col min="11198" max="11198" width="11" style="232"/>
    <col min="11199" max="11199" width="11" style="232"/>
    <col min="11200" max="11200" width="11" style="232"/>
    <col min="11201" max="11201" width="11" style="232"/>
    <col min="11202" max="11202" width="11" style="232"/>
    <col min="11203" max="11203" width="11" style="232"/>
    <col min="11204" max="11204" width="11" style="232"/>
    <col min="11205" max="11205" width="11" style="232"/>
    <col min="11206" max="11206" width="11" style="232"/>
    <col min="11207" max="11207" width="11" style="232"/>
    <col min="11208" max="11208" width="11" style="232"/>
    <col min="11209" max="11209" width="11" style="232"/>
    <col min="11210" max="11210" width="11" style="232"/>
    <col min="11211" max="11211" width="11" style="232"/>
    <col min="11212" max="11212" width="11" style="232"/>
    <col min="11213" max="11213" width="11" style="232"/>
    <col min="11214" max="11214" width="11" style="232"/>
    <col min="11215" max="11215" width="11" style="232"/>
    <col min="11216" max="11216" width="11" style="232"/>
    <col min="11217" max="11217" width="11" style="232"/>
    <col min="11218" max="11218" width="11" style="232"/>
    <col min="11219" max="11219" width="11" style="232"/>
    <col min="11220" max="11220" width="11" style="232"/>
    <col min="11221" max="11221" width="11" style="232"/>
    <col min="11222" max="11222" width="11" style="232"/>
    <col min="11223" max="11223" width="11" style="232"/>
    <col min="11224" max="11224" width="11" style="232"/>
    <col min="11225" max="11225" width="11" style="232"/>
    <col min="11226" max="11226" width="11" style="232"/>
    <col min="11227" max="11227" width="11" style="232"/>
    <col min="11228" max="11228" width="11" style="232"/>
    <col min="11229" max="11229" width="11" style="232"/>
    <col min="11230" max="11230" width="11" style="232"/>
    <col min="11231" max="11231" width="11" style="232"/>
    <col min="11232" max="11232" width="11" style="232"/>
    <col min="11233" max="11233" width="11" style="232"/>
    <col min="11234" max="11234" width="11" style="232"/>
    <col min="11235" max="11235" width="11" style="232"/>
    <col min="11236" max="11236" width="11" style="232"/>
    <col min="11237" max="11237" width="11" style="232"/>
    <col min="11238" max="11238" width="11" style="232"/>
    <col min="11239" max="11239" width="11" style="232"/>
    <col min="11240" max="11240" width="11" style="232"/>
    <col min="11241" max="11241" width="11" style="232"/>
    <col min="11242" max="11242" width="11" style="232"/>
    <col min="11243" max="11243" width="11" style="232"/>
    <col min="11244" max="11244" width="11" style="232"/>
    <col min="11245" max="11245" width="11" style="232"/>
    <col min="11246" max="11246" width="11" style="232"/>
    <col min="11247" max="11247" width="11" style="232"/>
    <col min="11248" max="11248" width="11" style="232"/>
    <col min="11249" max="11249" width="11" style="232"/>
    <col min="11250" max="11250" width="11" style="232"/>
    <col min="11251" max="11251" width="11" style="232"/>
    <col min="11252" max="11252" width="11" style="232"/>
    <col min="11253" max="11253" width="10.140625" customWidth="true" style="232"/>
    <col min="11254" max="11254" width="10.140625" customWidth="true" style="232"/>
    <col min="11255" max="11255" width="10.140625" customWidth="true" style="232"/>
    <col min="11256" max="11256" width="10.140625" customWidth="true" style="232"/>
    <col min="11257" max="11257" width="10.140625" customWidth="true" style="232"/>
    <col min="11258" max="11258" width="10.140625" customWidth="true" style="232"/>
    <col min="11259" max="11259" width="10.140625" customWidth="true" style="232"/>
    <col min="11260" max="11260" width="10.140625" customWidth="true" style="232"/>
    <col min="11261" max="11261" width="10.140625" customWidth="true" style="232"/>
    <col min="11262" max="11262" width="11" style="232"/>
    <col min="11263" max="11263" width="11" style="232"/>
    <col min="11264" max="11264" width="11" style="232"/>
    <col min="11265" max="11265" width="11" style="232"/>
    <col min="11266" max="11266" width="11" style="232"/>
    <col min="11267" max="11267" width="11" style="232"/>
    <col min="11268" max="11268" width="11" style="232"/>
    <col min="11269" max="11269" width="11" style="232"/>
    <col min="11270" max="11270" width="11" style="232"/>
    <col min="11271" max="11271" width="11" style="232"/>
    <col min="11272" max="11272" width="11" style="232"/>
    <col min="11273" max="11273" width="11" style="232"/>
    <col min="11274" max="11274" width="11" style="232"/>
    <col min="11275" max="11275" width="11" style="232"/>
    <col min="11276" max="11276" width="11" style="232"/>
    <col min="11277" max="11277" width="11" style="232"/>
    <col min="11278" max="11278" width="11" style="232"/>
    <col min="11279" max="11279" width="11" style="232"/>
    <col min="11280" max="11280" width="11" style="232"/>
    <col min="11281" max="11281" width="11" style="232"/>
    <col min="11282" max="11282" width="11" style="232"/>
    <col min="11283" max="11283" width="11" style="232"/>
    <col min="11284" max="11284" width="11" style="232"/>
    <col min="11285" max="11285" width="11" style="232"/>
    <col min="11286" max="11286" width="11" style="232"/>
    <col min="11287" max="11287" width="11" style="232"/>
    <col min="11288" max="11288" width="11" style="232"/>
    <col min="11289" max="11289" width="11" style="232"/>
    <col min="11290" max="11290" width="11" style="232"/>
    <col min="11291" max="11291" width="11" style="232"/>
    <col min="11292" max="11292" width="11" style="232"/>
    <col min="11293" max="11293" width="11" style="232"/>
    <col min="11294" max="11294" width="11" style="232"/>
    <col min="11295" max="11295" width="11" style="232"/>
    <col min="11296" max="11296" width="11" style="232"/>
    <col min="11297" max="11297" width="11" style="232"/>
    <col min="11298" max="11298" width="11" style="232"/>
    <col min="11299" max="11299" width="11" style="232"/>
    <col min="11300" max="11300" width="11" style="232"/>
    <col min="11301" max="11301" width="11" style="232"/>
    <col min="11302" max="11302" width="11" style="232"/>
    <col min="11303" max="11303" width="11" style="232"/>
    <col min="11304" max="11304" width="11" style="232"/>
    <col min="11305" max="11305" width="11" style="232"/>
    <col min="11306" max="11306" width="11" style="232"/>
    <col min="11307" max="11307" width="11" style="232"/>
    <col min="11308" max="11308" width="11" style="232"/>
    <col min="11309" max="11309" width="11" style="232"/>
    <col min="11310" max="11310" width="11" style="232"/>
    <col min="11311" max="11311" width="11" style="232"/>
    <col min="11312" max="11312" width="11" style="232"/>
    <col min="11313" max="11313" width="11" style="232"/>
    <col min="11314" max="11314" width="11" style="232"/>
    <col min="11315" max="11315" width="11" style="232"/>
    <col min="11316" max="11316" width="11" style="232"/>
    <col min="11317" max="11317" width="11" style="232"/>
    <col min="11318" max="11318" width="11" style="232"/>
    <col min="11319" max="11319" width="11" style="232"/>
    <col min="11320" max="11320" width="11" style="232"/>
    <col min="11321" max="11321" width="11" style="232"/>
    <col min="11322" max="11322" width="11" style="232"/>
    <col min="11323" max="11323" width="11" style="232"/>
    <col min="11324" max="11324" width="11" style="232"/>
    <col min="11325" max="11325" width="11" style="232"/>
    <col min="11326" max="11326" width="11" style="232"/>
    <col min="11327" max="11327" width="11" style="232"/>
    <col min="11328" max="11328" width="11" style="232"/>
    <col min="11329" max="11329" width="11" style="232"/>
    <col min="11330" max="11330" width="11" style="232"/>
    <col min="11331" max="11331" width="11" style="232"/>
    <col min="11332" max="11332" width="11" style="232"/>
    <col min="11333" max="11333" width="11" style="232"/>
    <col min="11334" max="11334" width="11" style="232"/>
    <col min="11335" max="11335" width="11" style="232"/>
    <col min="11336" max="11336" width="11" style="232"/>
    <col min="11337" max="11337" width="11" style="232"/>
    <col min="11338" max="11338" width="11" style="232"/>
    <col min="11339" max="11339" width="11" style="232"/>
    <col min="11340" max="11340" width="11" style="232"/>
    <col min="11341" max="11341" width="11" style="232"/>
    <col min="11342" max="11342" width="11" style="232"/>
    <col min="11343" max="11343" width="11" style="232"/>
    <col min="11344" max="11344" width="11" style="232"/>
    <col min="11345" max="11345" width="11" style="232"/>
    <col min="11346" max="11346" width="11" style="232"/>
    <col min="11347" max="11347" width="11" style="232"/>
    <col min="11348" max="11348" width="11" style="232"/>
    <col min="11349" max="11349" width="11" style="232"/>
    <col min="11350" max="11350" width="11" style="232"/>
    <col min="11351" max="11351" width="11" style="232"/>
    <col min="11352" max="11352" width="11" style="232"/>
    <col min="11353" max="11353" width="11" style="232"/>
    <col min="11354" max="11354" width="11" style="232"/>
    <col min="11355" max="11355" width="11" style="232"/>
    <col min="11356" max="11356" width="11" style="232"/>
    <col min="11357" max="11357" width="11" style="232"/>
    <col min="11358" max="11358" width="11" style="232"/>
    <col min="11359" max="11359" width="11" style="232"/>
    <col min="11360" max="11360" width="11" style="232"/>
    <col min="11361" max="11361" width="11" style="232"/>
    <col min="11362" max="11362" width="11" style="232"/>
    <col min="11363" max="11363" width="11" style="232"/>
    <col min="11364" max="11364" width="11" style="232"/>
    <col min="11365" max="11365" width="11" style="232"/>
    <col min="11366" max="11366" width="11" style="232"/>
    <col min="11367" max="11367" width="11" style="232"/>
    <col min="11368" max="11368" width="11" style="232"/>
    <col min="11369" max="11369" width="11" style="232"/>
    <col min="11370" max="11370" width="11" style="232"/>
    <col min="11371" max="11371" width="11" style="232"/>
    <col min="11372" max="11372" width="11" style="232"/>
    <col min="11373" max="11373" width="11" style="232"/>
    <col min="11374" max="11374" width="11" style="232"/>
    <col min="11375" max="11375" width="11" style="232"/>
    <col min="11376" max="11376" width="11" style="232"/>
    <col min="11377" max="11377" width="11" style="232"/>
    <col min="11378" max="11378" width="11" style="232"/>
    <col min="11379" max="11379" width="11" style="232"/>
    <col min="11380" max="11380" width="11" style="232"/>
    <col min="11381" max="11381" width="11" style="232"/>
    <col min="11382" max="11382" width="11" style="232"/>
    <col min="11383" max="11383" width="11" style="232"/>
    <col min="11384" max="11384" width="11" style="232"/>
    <col min="11385" max="11385" width="11" style="232"/>
    <col min="11386" max="11386" width="11" style="232"/>
    <col min="11387" max="11387" width="11" style="232"/>
    <col min="11388" max="11388" width="11" style="232"/>
    <col min="11389" max="11389" width="11" style="232"/>
    <col min="11390" max="11390" width="11" style="232"/>
    <col min="11391" max="11391" width="11" style="232"/>
    <col min="11392" max="11392" width="11" style="232"/>
    <col min="11393" max="11393" width="11" style="232"/>
    <col min="11394" max="11394" width="11" style="232"/>
    <col min="11395" max="11395" width="11" style="232"/>
    <col min="11396" max="11396" width="11" style="232"/>
    <col min="11397" max="11397" width="11" style="232"/>
    <col min="11398" max="11398" width="11" style="232"/>
    <col min="11399" max="11399" width="11" style="232"/>
    <col min="11400" max="11400" width="11" style="232"/>
    <col min="11401" max="11401" width="11" style="232"/>
    <col min="11402" max="11402" width="11" style="232"/>
    <col min="11403" max="11403" width="11" style="232"/>
    <col min="11404" max="11404" width="11" style="232"/>
    <col min="11405" max="11405" width="11" style="232"/>
    <col min="11406" max="11406" width="11" style="232"/>
    <col min="11407" max="11407" width="11" style="232"/>
    <col min="11408" max="11408" width="11" style="232"/>
    <col min="11409" max="11409" width="11" style="232"/>
    <col min="11410" max="11410" width="11" style="232"/>
    <col min="11411" max="11411" width="11" style="232"/>
    <col min="11412" max="11412" width="11" style="232"/>
    <col min="11413" max="11413" width="11" style="232"/>
    <col min="11414" max="11414" width="11" style="232"/>
    <col min="11415" max="11415" width="11" style="232"/>
    <col min="11416" max="11416" width="11" style="232"/>
    <col min="11417" max="11417" width="11" style="232"/>
    <col min="11418" max="11418" width="11" style="232"/>
    <col min="11419" max="11419" width="11" style="232"/>
    <col min="11420" max="11420" width="11" style="232"/>
    <col min="11421" max="11421" width="11" style="232"/>
    <col min="11422" max="11422" width="11" style="232"/>
    <col min="11423" max="11423" width="11" style="232"/>
    <col min="11424" max="11424" width="11" style="232"/>
    <col min="11425" max="11425" width="11" style="232"/>
    <col min="11426" max="11426" width="11" style="232"/>
    <col min="11427" max="11427" width="11" style="232"/>
    <col min="11428" max="11428" width="11" style="232"/>
    <col min="11429" max="11429" width="11" style="232"/>
    <col min="11430" max="11430" width="11" style="232"/>
    <col min="11431" max="11431" width="11" style="232"/>
    <col min="11432" max="11432" width="11" style="232"/>
    <col min="11433" max="11433" width="11" style="232"/>
    <col min="11434" max="11434" width="11" style="232"/>
    <col min="11435" max="11435" width="11" style="232"/>
    <col min="11436" max="11436" width="11" style="232"/>
    <col min="11437" max="11437" width="11" style="232"/>
    <col min="11438" max="11438" width="11" style="232"/>
    <col min="11439" max="11439" width="11" style="232"/>
    <col min="11440" max="11440" width="11" style="232"/>
    <col min="11441" max="11441" width="11" style="232"/>
    <col min="11442" max="11442" width="11" style="232"/>
    <col min="11443" max="11443" width="11" style="232"/>
    <col min="11444" max="11444" width="11" style="232"/>
    <col min="11445" max="11445" width="11" style="232"/>
    <col min="11446" max="11446" width="11" style="232"/>
    <col min="11447" max="11447" width="11" style="232"/>
    <col min="11448" max="11448" width="11" style="232"/>
    <col min="11449" max="11449" width="11" style="232"/>
    <col min="11450" max="11450" width="11" style="232"/>
    <col min="11451" max="11451" width="11" style="232"/>
    <col min="11452" max="11452" width="11" style="232"/>
    <col min="11453" max="11453" width="11" style="232"/>
    <col min="11454" max="11454" width="11" style="232"/>
    <col min="11455" max="11455" width="11" style="232"/>
    <col min="11456" max="11456" width="11" style="232"/>
    <col min="11457" max="11457" width="11" style="232"/>
    <col min="11458" max="11458" width="11" style="232"/>
    <col min="11459" max="11459" width="11" style="232"/>
    <col min="11460" max="11460" width="11" style="232"/>
    <col min="11461" max="11461" width="11" style="232"/>
    <col min="11462" max="11462" width="11" style="232"/>
    <col min="11463" max="11463" width="11" style="232"/>
    <col min="11464" max="11464" width="11" style="232"/>
    <col min="11465" max="11465" width="11" style="232"/>
    <col min="11466" max="11466" width="11" style="232"/>
    <col min="11467" max="11467" width="11" style="232"/>
    <col min="11468" max="11468" width="11" style="232"/>
    <col min="11469" max="11469" width="11" style="232"/>
    <col min="11470" max="11470" width="11" style="232"/>
    <col min="11471" max="11471" width="11" style="232"/>
    <col min="11472" max="11472" width="11" style="232"/>
    <col min="11473" max="11473" width="11" style="232"/>
    <col min="11474" max="11474" width="11" style="232"/>
    <col min="11475" max="11475" width="11" style="232"/>
    <col min="11476" max="11476" width="11" style="232"/>
    <col min="11477" max="11477" width="11" style="232"/>
    <col min="11478" max="11478" width="11" style="232"/>
    <col min="11479" max="11479" width="11" style="232"/>
    <col min="11480" max="11480" width="11" style="232"/>
    <col min="11481" max="11481" width="11" style="232"/>
    <col min="11482" max="11482" width="11" style="232"/>
    <col min="11483" max="11483" width="11" style="232"/>
    <col min="11484" max="11484" width="11" style="232"/>
    <col min="11485" max="11485" width="11" style="232"/>
    <col min="11486" max="11486" width="11" style="232"/>
    <col min="11487" max="11487" width="11" style="232"/>
    <col min="11488" max="11488" width="11" style="232"/>
    <col min="11489" max="11489" width="11" style="232"/>
    <col min="11490" max="11490" width="11" style="232"/>
    <col min="11491" max="11491" width="11" style="232"/>
    <col min="11492" max="11492" width="11" style="232"/>
    <col min="11493" max="11493" width="11" style="232"/>
    <col min="11494" max="11494" width="11" style="232"/>
    <col min="11495" max="11495" width="11" style="232"/>
    <col min="11496" max="11496" width="11" style="232"/>
    <col min="11497" max="11497" width="11" style="232"/>
    <col min="11498" max="11498" width="11" style="232"/>
    <col min="11499" max="11499" width="11" style="232"/>
    <col min="11500" max="11500" width="11" style="232"/>
    <col min="11501" max="11501" width="11" style="232"/>
    <col min="11502" max="11502" width="11" style="232"/>
    <col min="11503" max="11503" width="11" style="232"/>
    <col min="11504" max="11504" width="11" style="232"/>
    <col min="11505" max="11505" width="11" style="232"/>
    <col min="11506" max="11506" width="11" style="232"/>
    <col min="11507" max="11507" width="11" style="232"/>
    <col min="11508" max="11508" width="11" style="232"/>
    <col min="11509" max="11509" width="10.140625" customWidth="true" style="232"/>
    <col min="11510" max="11510" width="10.140625" customWidth="true" style="232"/>
    <col min="11511" max="11511" width="10.140625" customWidth="true" style="232"/>
    <col min="11512" max="11512" width="10.140625" customWidth="true" style="232"/>
    <col min="11513" max="11513" width="10.140625" customWidth="true" style="232"/>
    <col min="11514" max="11514" width="10.140625" customWidth="true" style="232"/>
    <col min="11515" max="11515" width="10.140625" customWidth="true" style="232"/>
    <col min="11516" max="11516" width="10.140625" customWidth="true" style="232"/>
    <col min="11517" max="11517" width="10.140625" customWidth="true" style="232"/>
    <col min="11518" max="11518" width="11" style="232"/>
    <col min="11519" max="11519" width="11" style="232"/>
    <col min="11520" max="11520" width="11" style="232"/>
    <col min="11521" max="11521" width="11" style="232"/>
    <col min="11522" max="11522" width="11" style="232"/>
    <col min="11523" max="11523" width="11" style="232"/>
    <col min="11524" max="11524" width="11" style="232"/>
    <col min="11525" max="11525" width="11" style="232"/>
    <col min="11526" max="11526" width="11" style="232"/>
    <col min="11527" max="11527" width="11" style="232"/>
    <col min="11528" max="11528" width="11" style="232"/>
    <col min="11529" max="11529" width="11" style="232"/>
    <col min="11530" max="11530" width="11" style="232"/>
    <col min="11531" max="11531" width="11" style="232"/>
    <col min="11532" max="11532" width="11" style="232"/>
    <col min="11533" max="11533" width="11" style="232"/>
    <col min="11534" max="11534" width="11" style="232"/>
    <col min="11535" max="11535" width="11" style="232"/>
    <col min="11536" max="11536" width="11" style="232"/>
    <col min="11537" max="11537" width="11" style="232"/>
    <col min="11538" max="11538" width="11" style="232"/>
    <col min="11539" max="11539" width="11" style="232"/>
    <col min="11540" max="11540" width="11" style="232"/>
    <col min="11541" max="11541" width="11" style="232"/>
    <col min="11542" max="11542" width="11" style="232"/>
    <col min="11543" max="11543" width="11" style="232"/>
    <col min="11544" max="11544" width="11" style="232"/>
    <col min="11545" max="11545" width="11" style="232"/>
    <col min="11546" max="11546" width="11" style="232"/>
    <col min="11547" max="11547" width="11" style="232"/>
    <col min="11548" max="11548" width="11" style="232"/>
    <col min="11549" max="11549" width="11" style="232"/>
    <col min="11550" max="11550" width="11" style="232"/>
    <col min="11551" max="11551" width="11" style="232"/>
    <col min="11552" max="11552" width="11" style="232"/>
    <col min="11553" max="11553" width="11" style="232"/>
    <col min="11554" max="11554" width="11" style="232"/>
    <col min="11555" max="11555" width="11" style="232"/>
    <col min="11556" max="11556" width="11" style="232"/>
    <col min="11557" max="11557" width="11" style="232"/>
    <col min="11558" max="11558" width="11" style="232"/>
    <col min="11559" max="11559" width="11" style="232"/>
    <col min="11560" max="11560" width="11" style="232"/>
    <col min="11561" max="11561" width="11" style="232"/>
    <col min="11562" max="11562" width="11" style="232"/>
    <col min="11563" max="11563" width="11" style="232"/>
    <col min="11564" max="11564" width="11" style="232"/>
    <col min="11565" max="11565" width="11" style="232"/>
    <col min="11566" max="11566" width="11" style="232"/>
    <col min="11567" max="11567" width="11" style="232"/>
    <col min="11568" max="11568" width="11" style="232"/>
    <col min="11569" max="11569" width="11" style="232"/>
    <col min="11570" max="11570" width="11" style="232"/>
    <col min="11571" max="11571" width="11" style="232"/>
    <col min="11572" max="11572" width="11" style="232"/>
    <col min="11573" max="11573" width="11" style="232"/>
    <col min="11574" max="11574" width="11" style="232"/>
    <col min="11575" max="11575" width="11" style="232"/>
    <col min="11576" max="11576" width="11" style="232"/>
    <col min="11577" max="11577" width="11" style="232"/>
    <col min="11578" max="11578" width="11" style="232"/>
    <col min="11579" max="11579" width="11" style="232"/>
    <col min="11580" max="11580" width="11" style="232"/>
    <col min="11581" max="11581" width="11" style="232"/>
    <col min="11582" max="11582" width="11" style="232"/>
    <col min="11583" max="11583" width="11" style="232"/>
    <col min="11584" max="11584" width="11" style="232"/>
    <col min="11585" max="11585" width="11" style="232"/>
    <col min="11586" max="11586" width="11" style="232"/>
    <col min="11587" max="11587" width="11" style="232"/>
    <col min="11588" max="11588" width="11" style="232"/>
    <col min="11589" max="11589" width="11" style="232"/>
    <col min="11590" max="11590" width="11" style="232"/>
    <col min="11591" max="11591" width="11" style="232"/>
    <col min="11592" max="11592" width="11" style="232"/>
    <col min="11593" max="11593" width="11" style="232"/>
    <col min="11594" max="11594" width="11" style="232"/>
    <col min="11595" max="11595" width="11" style="232"/>
    <col min="11596" max="11596" width="11" style="232"/>
    <col min="11597" max="11597" width="11" style="232"/>
    <col min="11598" max="11598" width="11" style="232"/>
    <col min="11599" max="11599" width="11" style="232"/>
    <col min="11600" max="11600" width="11" style="232"/>
    <col min="11601" max="11601" width="11" style="232"/>
    <col min="11602" max="11602" width="11" style="232"/>
    <col min="11603" max="11603" width="11" style="232"/>
    <col min="11604" max="11604" width="11" style="232"/>
    <col min="11605" max="11605" width="11" style="232"/>
    <col min="11606" max="11606" width="11" style="232"/>
    <col min="11607" max="11607" width="11" style="232"/>
    <col min="11608" max="11608" width="11" style="232"/>
    <col min="11609" max="11609" width="11" style="232"/>
    <col min="11610" max="11610" width="11" style="232"/>
    <col min="11611" max="11611" width="11" style="232"/>
    <col min="11612" max="11612" width="11" style="232"/>
    <col min="11613" max="11613" width="11" style="232"/>
    <col min="11614" max="11614" width="11" style="232"/>
    <col min="11615" max="11615" width="11" style="232"/>
    <col min="11616" max="11616" width="11" style="232"/>
    <col min="11617" max="11617" width="11" style="232"/>
    <col min="11618" max="11618" width="11" style="232"/>
    <col min="11619" max="11619" width="11" style="232"/>
    <col min="11620" max="11620" width="11" style="232"/>
    <col min="11621" max="11621" width="11" style="232"/>
    <col min="11622" max="11622" width="11" style="232"/>
    <col min="11623" max="11623" width="11" style="232"/>
    <col min="11624" max="11624" width="11" style="232"/>
    <col min="11625" max="11625" width="11" style="232"/>
    <col min="11626" max="11626" width="11" style="232"/>
    <col min="11627" max="11627" width="11" style="232"/>
    <col min="11628" max="11628" width="11" style="232"/>
    <col min="11629" max="11629" width="11" style="232"/>
    <col min="11630" max="11630" width="11" style="232"/>
    <col min="11631" max="11631" width="11" style="232"/>
    <col min="11632" max="11632" width="11" style="232"/>
    <col min="11633" max="11633" width="11" style="232"/>
    <col min="11634" max="11634" width="11" style="232"/>
    <col min="11635" max="11635" width="11" style="232"/>
    <col min="11636" max="11636" width="11" style="232"/>
    <col min="11637" max="11637" width="11" style="232"/>
    <col min="11638" max="11638" width="11" style="232"/>
    <col min="11639" max="11639" width="11" style="232"/>
    <col min="11640" max="11640" width="11" style="232"/>
    <col min="11641" max="11641" width="11" style="232"/>
    <col min="11642" max="11642" width="11" style="232"/>
    <col min="11643" max="11643" width="11" style="232"/>
    <col min="11644" max="11644" width="11" style="232"/>
    <col min="11645" max="11645" width="11" style="232"/>
    <col min="11646" max="11646" width="11" style="232"/>
    <col min="11647" max="11647" width="11" style="232"/>
    <col min="11648" max="11648" width="11" style="232"/>
    <col min="11649" max="11649" width="11" style="232"/>
    <col min="11650" max="11650" width="11" style="232"/>
    <col min="11651" max="11651" width="11" style="232"/>
    <col min="11652" max="11652" width="11" style="232"/>
    <col min="11653" max="11653" width="11" style="232"/>
    <col min="11654" max="11654" width="11" style="232"/>
    <col min="11655" max="11655" width="11" style="232"/>
    <col min="11656" max="11656" width="11" style="232"/>
    <col min="11657" max="11657" width="11" style="232"/>
    <col min="11658" max="11658" width="11" style="232"/>
    <col min="11659" max="11659" width="11" style="232"/>
    <col min="11660" max="11660" width="11" style="232"/>
    <col min="11661" max="11661" width="11" style="232"/>
    <col min="11662" max="11662" width="11" style="232"/>
    <col min="11663" max="11663" width="11" style="232"/>
    <col min="11664" max="11664" width="11" style="232"/>
    <col min="11665" max="11665" width="11" style="232"/>
    <col min="11666" max="11666" width="11" style="232"/>
    <col min="11667" max="11667" width="11" style="232"/>
    <col min="11668" max="11668" width="11" style="232"/>
    <col min="11669" max="11669" width="11" style="232"/>
    <col min="11670" max="11670" width="11" style="232"/>
    <col min="11671" max="11671" width="11" style="232"/>
    <col min="11672" max="11672" width="11" style="232"/>
    <col min="11673" max="11673" width="11" style="232"/>
    <col min="11674" max="11674" width="11" style="232"/>
    <col min="11675" max="11675" width="11" style="232"/>
    <col min="11676" max="11676" width="11" style="232"/>
    <col min="11677" max="11677" width="11" style="232"/>
    <col min="11678" max="11678" width="11" style="232"/>
    <col min="11679" max="11679" width="11" style="232"/>
    <col min="11680" max="11680" width="11" style="232"/>
    <col min="11681" max="11681" width="11" style="232"/>
    <col min="11682" max="11682" width="11" style="232"/>
    <col min="11683" max="11683" width="11" style="232"/>
    <col min="11684" max="11684" width="11" style="232"/>
    <col min="11685" max="11685" width="11" style="232"/>
    <col min="11686" max="11686" width="11" style="232"/>
    <col min="11687" max="11687" width="11" style="232"/>
    <col min="11688" max="11688" width="11" style="232"/>
    <col min="11689" max="11689" width="11" style="232"/>
    <col min="11690" max="11690" width="11" style="232"/>
    <col min="11691" max="11691" width="11" style="232"/>
    <col min="11692" max="11692" width="11" style="232"/>
    <col min="11693" max="11693" width="11" style="232"/>
    <col min="11694" max="11694" width="11" style="232"/>
    <col min="11695" max="11695" width="11" style="232"/>
    <col min="11696" max="11696" width="11" style="232"/>
    <col min="11697" max="11697" width="11" style="232"/>
    <col min="11698" max="11698" width="11" style="232"/>
    <col min="11699" max="11699" width="11" style="232"/>
    <col min="11700" max="11700" width="11" style="232"/>
    <col min="11701" max="11701" width="11" style="232"/>
    <col min="11702" max="11702" width="11" style="232"/>
    <col min="11703" max="11703" width="11" style="232"/>
    <col min="11704" max="11704" width="11" style="232"/>
    <col min="11705" max="11705" width="11" style="232"/>
    <col min="11706" max="11706" width="11" style="232"/>
    <col min="11707" max="11707" width="11" style="232"/>
    <col min="11708" max="11708" width="11" style="232"/>
    <col min="11709" max="11709" width="11" style="232"/>
    <col min="11710" max="11710" width="11" style="232"/>
    <col min="11711" max="11711" width="11" style="232"/>
    <col min="11712" max="11712" width="11" style="232"/>
    <col min="11713" max="11713" width="11" style="232"/>
    <col min="11714" max="11714" width="11" style="232"/>
    <col min="11715" max="11715" width="11" style="232"/>
    <col min="11716" max="11716" width="11" style="232"/>
    <col min="11717" max="11717" width="11" style="232"/>
    <col min="11718" max="11718" width="11" style="232"/>
    <col min="11719" max="11719" width="11" style="232"/>
    <col min="11720" max="11720" width="11" style="232"/>
    <col min="11721" max="11721" width="11" style="232"/>
    <col min="11722" max="11722" width="11" style="232"/>
    <col min="11723" max="11723" width="11" style="232"/>
    <col min="11724" max="11724" width="11" style="232"/>
    <col min="11725" max="11725" width="11" style="232"/>
    <col min="11726" max="11726" width="11" style="232"/>
    <col min="11727" max="11727" width="11" style="232"/>
    <col min="11728" max="11728" width="11" style="232"/>
    <col min="11729" max="11729" width="11" style="232"/>
    <col min="11730" max="11730" width="11" style="232"/>
    <col min="11731" max="11731" width="11" style="232"/>
    <col min="11732" max="11732" width="11" style="232"/>
    <col min="11733" max="11733" width="11" style="232"/>
    <col min="11734" max="11734" width="11" style="232"/>
    <col min="11735" max="11735" width="11" style="232"/>
    <col min="11736" max="11736" width="11" style="232"/>
    <col min="11737" max="11737" width="11" style="232"/>
    <col min="11738" max="11738" width="11" style="232"/>
    <col min="11739" max="11739" width="11" style="232"/>
    <col min="11740" max="11740" width="11" style="232"/>
    <col min="11741" max="11741" width="11" style="232"/>
    <col min="11742" max="11742" width="11" style="232"/>
    <col min="11743" max="11743" width="11" style="232"/>
    <col min="11744" max="11744" width="11" style="232"/>
    <col min="11745" max="11745" width="11" style="232"/>
    <col min="11746" max="11746" width="11" style="232"/>
    <col min="11747" max="11747" width="11" style="232"/>
    <col min="11748" max="11748" width="11" style="232"/>
    <col min="11749" max="11749" width="11" style="232"/>
    <col min="11750" max="11750" width="11" style="232"/>
    <col min="11751" max="11751" width="11" style="232"/>
    <col min="11752" max="11752" width="11" style="232"/>
    <col min="11753" max="11753" width="11" style="232"/>
    <col min="11754" max="11754" width="11" style="232"/>
    <col min="11755" max="11755" width="11" style="232"/>
    <col min="11756" max="11756" width="11" style="232"/>
    <col min="11757" max="11757" width="11" style="232"/>
    <col min="11758" max="11758" width="11" style="232"/>
    <col min="11759" max="11759" width="11" style="232"/>
    <col min="11760" max="11760" width="11" style="232"/>
    <col min="11761" max="11761" width="11" style="232"/>
    <col min="11762" max="11762" width="11" style="232"/>
    <col min="11763" max="11763" width="11" style="232"/>
    <col min="11764" max="11764" width="11" style="232"/>
    <col min="11765" max="11765" width="10.140625" customWidth="true" style="232"/>
    <col min="11766" max="11766" width="10.140625" customWidth="true" style="232"/>
    <col min="11767" max="11767" width="10.140625" customWidth="true" style="232"/>
    <col min="11768" max="11768" width="10.140625" customWidth="true" style="232"/>
    <col min="11769" max="11769" width="10.140625" customWidth="true" style="232"/>
    <col min="11770" max="11770" width="10.140625" customWidth="true" style="232"/>
    <col min="11771" max="11771" width="10.140625" customWidth="true" style="232"/>
    <col min="11772" max="11772" width="10.140625" customWidth="true" style="232"/>
    <col min="11773" max="11773" width="10.140625" customWidth="true" style="232"/>
    <col min="11774" max="11774" width="11" style="232"/>
    <col min="11775" max="11775" width="11" style="232"/>
    <col min="11776" max="11776" width="11" style="232"/>
    <col min="11777" max="11777" width="11" style="232"/>
    <col min="11778" max="11778" width="11" style="232"/>
    <col min="11779" max="11779" width="11" style="232"/>
    <col min="11780" max="11780" width="11" style="232"/>
    <col min="11781" max="11781" width="11" style="232"/>
    <col min="11782" max="11782" width="11" style="232"/>
    <col min="11783" max="11783" width="11" style="232"/>
    <col min="11784" max="11784" width="11" style="232"/>
    <col min="11785" max="11785" width="11" style="232"/>
    <col min="11786" max="11786" width="11" style="232"/>
    <col min="11787" max="11787" width="11" style="232"/>
    <col min="11788" max="11788" width="11" style="232"/>
    <col min="11789" max="11789" width="11" style="232"/>
    <col min="11790" max="11790" width="11" style="232"/>
    <col min="11791" max="11791" width="11" style="232"/>
    <col min="11792" max="11792" width="11" style="232"/>
    <col min="11793" max="11793" width="11" style="232"/>
    <col min="11794" max="11794" width="11" style="232"/>
    <col min="11795" max="11795" width="11" style="232"/>
    <col min="11796" max="11796" width="11" style="232"/>
    <col min="11797" max="11797" width="11" style="232"/>
    <col min="11798" max="11798" width="11" style="232"/>
    <col min="11799" max="11799" width="11" style="232"/>
    <col min="11800" max="11800" width="11" style="232"/>
    <col min="11801" max="11801" width="11" style="232"/>
    <col min="11802" max="11802" width="11" style="232"/>
    <col min="11803" max="11803" width="11" style="232"/>
    <col min="11804" max="11804" width="11" style="232"/>
    <col min="11805" max="11805" width="11" style="232"/>
    <col min="11806" max="11806" width="11" style="232"/>
    <col min="11807" max="11807" width="11" style="232"/>
    <col min="11808" max="11808" width="11" style="232"/>
    <col min="11809" max="11809" width="11" style="232"/>
    <col min="11810" max="11810" width="11" style="232"/>
    <col min="11811" max="11811" width="11" style="232"/>
    <col min="11812" max="11812" width="11" style="232"/>
    <col min="11813" max="11813" width="11" style="232"/>
    <col min="11814" max="11814" width="11" style="232"/>
    <col min="11815" max="11815" width="11" style="232"/>
    <col min="11816" max="11816" width="11" style="232"/>
    <col min="11817" max="11817" width="11" style="232"/>
    <col min="11818" max="11818" width="11" style="232"/>
    <col min="11819" max="11819" width="11" style="232"/>
    <col min="11820" max="11820" width="11" style="232"/>
    <col min="11821" max="11821" width="11" style="232"/>
    <col min="11822" max="11822" width="11" style="232"/>
    <col min="11823" max="11823" width="11" style="232"/>
    <col min="11824" max="11824" width="11" style="232"/>
    <col min="11825" max="11825" width="11" style="232"/>
    <col min="11826" max="11826" width="11" style="232"/>
    <col min="11827" max="11827" width="11" style="232"/>
    <col min="11828" max="11828" width="11" style="232"/>
    <col min="11829" max="11829" width="11" style="232"/>
    <col min="11830" max="11830" width="11" style="232"/>
    <col min="11831" max="11831" width="11" style="232"/>
    <col min="11832" max="11832" width="11" style="232"/>
    <col min="11833" max="11833" width="11" style="232"/>
    <col min="11834" max="11834" width="11" style="232"/>
    <col min="11835" max="11835" width="11" style="232"/>
    <col min="11836" max="11836" width="11" style="232"/>
    <col min="11837" max="11837" width="11" style="232"/>
    <col min="11838" max="11838" width="11" style="232"/>
    <col min="11839" max="11839" width="11" style="232"/>
    <col min="11840" max="11840" width="11" style="232"/>
    <col min="11841" max="11841" width="11" style="232"/>
    <col min="11842" max="11842" width="11" style="232"/>
    <col min="11843" max="11843" width="11" style="232"/>
    <col min="11844" max="11844" width="11" style="232"/>
    <col min="11845" max="11845" width="11" style="232"/>
    <col min="11846" max="11846" width="11" style="232"/>
    <col min="11847" max="11847" width="11" style="232"/>
    <col min="11848" max="11848" width="11" style="232"/>
    <col min="11849" max="11849" width="11" style="232"/>
    <col min="11850" max="11850" width="11" style="232"/>
    <col min="11851" max="11851" width="11" style="232"/>
    <col min="11852" max="11852" width="11" style="232"/>
    <col min="11853" max="11853" width="11" style="232"/>
    <col min="11854" max="11854" width="11" style="232"/>
    <col min="11855" max="11855" width="11" style="232"/>
    <col min="11856" max="11856" width="11" style="232"/>
    <col min="11857" max="11857" width="11" style="232"/>
    <col min="11858" max="11858" width="11" style="232"/>
    <col min="11859" max="11859" width="11" style="232"/>
    <col min="11860" max="11860" width="11" style="232"/>
    <col min="11861" max="11861" width="11" style="232"/>
    <col min="11862" max="11862" width="11" style="232"/>
    <col min="11863" max="11863" width="11" style="232"/>
    <col min="11864" max="11864" width="11" style="232"/>
    <col min="11865" max="11865" width="11" style="232"/>
    <col min="11866" max="11866" width="11" style="232"/>
    <col min="11867" max="11867" width="11" style="232"/>
    <col min="11868" max="11868" width="11" style="232"/>
    <col min="11869" max="11869" width="11" style="232"/>
    <col min="11870" max="11870" width="11" style="232"/>
    <col min="11871" max="11871" width="11" style="232"/>
    <col min="11872" max="11872" width="11" style="232"/>
    <col min="11873" max="11873" width="11" style="232"/>
    <col min="11874" max="11874" width="11" style="232"/>
    <col min="11875" max="11875" width="11" style="232"/>
    <col min="11876" max="11876" width="11" style="232"/>
    <col min="11877" max="11877" width="11" style="232"/>
    <col min="11878" max="11878" width="11" style="232"/>
    <col min="11879" max="11879" width="11" style="232"/>
    <col min="11880" max="11880" width="11" style="232"/>
    <col min="11881" max="11881" width="11" style="232"/>
    <col min="11882" max="11882" width="11" style="232"/>
    <col min="11883" max="11883" width="11" style="232"/>
    <col min="11884" max="11884" width="11" style="232"/>
    <col min="11885" max="11885" width="11" style="232"/>
    <col min="11886" max="11886" width="11" style="232"/>
    <col min="11887" max="11887" width="11" style="232"/>
    <col min="11888" max="11888" width="11" style="232"/>
    <col min="11889" max="11889" width="11" style="232"/>
    <col min="11890" max="11890" width="11" style="232"/>
    <col min="11891" max="11891" width="11" style="232"/>
    <col min="11892" max="11892" width="11" style="232"/>
    <col min="11893" max="11893" width="11" style="232"/>
    <col min="11894" max="11894" width="11" style="232"/>
    <col min="11895" max="11895" width="11" style="232"/>
    <col min="11896" max="11896" width="11" style="232"/>
    <col min="11897" max="11897" width="11" style="232"/>
    <col min="11898" max="11898" width="11" style="232"/>
    <col min="11899" max="11899" width="11" style="232"/>
    <col min="11900" max="11900" width="11" style="232"/>
    <col min="11901" max="11901" width="11" style="232"/>
    <col min="11902" max="11902" width="11" style="232"/>
    <col min="11903" max="11903" width="11" style="232"/>
    <col min="11904" max="11904" width="11" style="232"/>
    <col min="11905" max="11905" width="11" style="232"/>
    <col min="11906" max="11906" width="11" style="232"/>
    <col min="11907" max="11907" width="11" style="232"/>
    <col min="11908" max="11908" width="11" style="232"/>
    <col min="11909" max="11909" width="11" style="232"/>
    <col min="11910" max="11910" width="11" style="232"/>
    <col min="11911" max="11911" width="11" style="232"/>
    <col min="11912" max="11912" width="11" style="232"/>
    <col min="11913" max="11913" width="11" style="232"/>
    <col min="11914" max="11914" width="11" style="232"/>
    <col min="11915" max="11915" width="11" style="232"/>
    <col min="11916" max="11916" width="11" style="232"/>
    <col min="11917" max="11917" width="11" style="232"/>
    <col min="11918" max="11918" width="11" style="232"/>
    <col min="11919" max="11919" width="11" style="232"/>
    <col min="11920" max="11920" width="11" style="232"/>
    <col min="11921" max="11921" width="11" style="232"/>
    <col min="11922" max="11922" width="11" style="232"/>
    <col min="11923" max="11923" width="11" style="232"/>
    <col min="11924" max="11924" width="11" style="232"/>
    <col min="11925" max="11925" width="11" style="232"/>
    <col min="11926" max="11926" width="11" style="232"/>
    <col min="11927" max="11927" width="11" style="232"/>
    <col min="11928" max="11928" width="11" style="232"/>
    <col min="11929" max="11929" width="11" style="232"/>
    <col min="11930" max="11930" width="11" style="232"/>
    <col min="11931" max="11931" width="11" style="232"/>
    <col min="11932" max="11932" width="11" style="232"/>
    <col min="11933" max="11933" width="11" style="232"/>
    <col min="11934" max="11934" width="11" style="232"/>
    <col min="11935" max="11935" width="11" style="232"/>
    <col min="11936" max="11936" width="11" style="232"/>
    <col min="11937" max="11937" width="11" style="232"/>
    <col min="11938" max="11938" width="11" style="232"/>
    <col min="11939" max="11939" width="11" style="232"/>
    <col min="11940" max="11940" width="11" style="232"/>
    <col min="11941" max="11941" width="11" style="232"/>
    <col min="11942" max="11942" width="11" style="232"/>
    <col min="11943" max="11943" width="11" style="232"/>
    <col min="11944" max="11944" width="11" style="232"/>
    <col min="11945" max="11945" width="11" style="232"/>
    <col min="11946" max="11946" width="11" style="232"/>
    <col min="11947" max="11947" width="11" style="232"/>
    <col min="11948" max="11948" width="11" style="232"/>
    <col min="11949" max="11949" width="11" style="232"/>
    <col min="11950" max="11950" width="11" style="232"/>
    <col min="11951" max="11951" width="11" style="232"/>
    <col min="11952" max="11952" width="11" style="232"/>
    <col min="11953" max="11953" width="11" style="232"/>
    <col min="11954" max="11954" width="11" style="232"/>
    <col min="11955" max="11955" width="11" style="232"/>
    <col min="11956" max="11956" width="11" style="232"/>
    <col min="11957" max="11957" width="11" style="232"/>
    <col min="11958" max="11958" width="11" style="232"/>
    <col min="11959" max="11959" width="11" style="232"/>
    <col min="11960" max="11960" width="11" style="232"/>
    <col min="11961" max="11961" width="11" style="232"/>
    <col min="11962" max="11962" width="11" style="232"/>
    <col min="11963" max="11963" width="11" style="232"/>
    <col min="11964" max="11964" width="11" style="232"/>
    <col min="11965" max="11965" width="11" style="232"/>
    <col min="11966" max="11966" width="11" style="232"/>
    <col min="11967" max="11967" width="11" style="232"/>
    <col min="11968" max="11968" width="11" style="232"/>
    <col min="11969" max="11969" width="11" style="232"/>
    <col min="11970" max="11970" width="11" style="232"/>
    <col min="11971" max="11971" width="11" style="232"/>
    <col min="11972" max="11972" width="11" style="232"/>
    <col min="11973" max="11973" width="11" style="232"/>
    <col min="11974" max="11974" width="11" style="232"/>
    <col min="11975" max="11975" width="11" style="232"/>
    <col min="11976" max="11976" width="11" style="232"/>
    <col min="11977" max="11977" width="11" style="232"/>
    <col min="11978" max="11978" width="11" style="232"/>
    <col min="11979" max="11979" width="11" style="232"/>
    <col min="11980" max="11980" width="11" style="232"/>
    <col min="11981" max="11981" width="11" style="232"/>
    <col min="11982" max="11982" width="11" style="232"/>
    <col min="11983" max="11983" width="11" style="232"/>
    <col min="11984" max="11984" width="11" style="232"/>
    <col min="11985" max="11985" width="11" style="232"/>
    <col min="11986" max="11986" width="11" style="232"/>
    <col min="11987" max="11987" width="11" style="232"/>
    <col min="11988" max="11988" width="11" style="232"/>
    <col min="11989" max="11989" width="11" style="232"/>
    <col min="11990" max="11990" width="11" style="232"/>
    <col min="11991" max="11991" width="11" style="232"/>
    <col min="11992" max="11992" width="11" style="232"/>
    <col min="11993" max="11993" width="11" style="232"/>
    <col min="11994" max="11994" width="11" style="232"/>
    <col min="11995" max="11995" width="11" style="232"/>
    <col min="11996" max="11996" width="11" style="232"/>
    <col min="11997" max="11997" width="11" style="232"/>
    <col min="11998" max="11998" width="11" style="232"/>
    <col min="11999" max="11999" width="11" style="232"/>
    <col min="12000" max="12000" width="11" style="232"/>
    <col min="12001" max="12001" width="11" style="232"/>
    <col min="12002" max="12002" width="11" style="232"/>
    <col min="12003" max="12003" width="11" style="232"/>
    <col min="12004" max="12004" width="11" style="232"/>
    <col min="12005" max="12005" width="11" style="232"/>
    <col min="12006" max="12006" width="11" style="232"/>
    <col min="12007" max="12007" width="11" style="232"/>
    <col min="12008" max="12008" width="11" style="232"/>
    <col min="12009" max="12009" width="11" style="232"/>
    <col min="12010" max="12010" width="11" style="232"/>
    <col min="12011" max="12011" width="11" style="232"/>
    <col min="12012" max="12012" width="11" style="232"/>
    <col min="12013" max="12013" width="11" style="232"/>
    <col min="12014" max="12014" width="11" style="232"/>
    <col min="12015" max="12015" width="11" style="232"/>
    <col min="12016" max="12016" width="11" style="232"/>
    <col min="12017" max="12017" width="11" style="232"/>
    <col min="12018" max="12018" width="11" style="232"/>
    <col min="12019" max="12019" width="11" style="232"/>
    <col min="12020" max="12020" width="11" style="232"/>
    <col min="12021" max="12021" width="10.140625" customWidth="true" style="232"/>
    <col min="12022" max="12022" width="10.140625" customWidth="true" style="232"/>
    <col min="12023" max="12023" width="10.140625" customWidth="true" style="232"/>
    <col min="12024" max="12024" width="10.140625" customWidth="true" style="232"/>
    <col min="12025" max="12025" width="10.140625" customWidth="true" style="232"/>
    <col min="12026" max="12026" width="10.140625" customWidth="true" style="232"/>
    <col min="12027" max="12027" width="10.140625" customWidth="true" style="232"/>
    <col min="12028" max="12028" width="10.140625" customWidth="true" style="232"/>
    <col min="12029" max="12029" width="10.140625" customWidth="true" style="232"/>
    <col min="12030" max="12030" width="11" style="232"/>
    <col min="12031" max="12031" width="11" style="232"/>
    <col min="12032" max="12032" width="11" style="232"/>
    <col min="12033" max="12033" width="11" style="232"/>
    <col min="12034" max="12034" width="11" style="232"/>
    <col min="12035" max="12035" width="11" style="232"/>
    <col min="12036" max="12036" width="11" style="232"/>
    <col min="12037" max="12037" width="11" style="232"/>
    <col min="12038" max="12038" width="11" style="232"/>
    <col min="12039" max="12039" width="11" style="232"/>
    <col min="12040" max="12040" width="11" style="232"/>
    <col min="12041" max="12041" width="11" style="232"/>
    <col min="12042" max="12042" width="11" style="232"/>
    <col min="12043" max="12043" width="11" style="232"/>
    <col min="12044" max="12044" width="11" style="232"/>
    <col min="12045" max="12045" width="11" style="232"/>
    <col min="12046" max="12046" width="11" style="232"/>
    <col min="12047" max="12047" width="11" style="232"/>
    <col min="12048" max="12048" width="11" style="232"/>
    <col min="12049" max="12049" width="11" style="232"/>
    <col min="12050" max="12050" width="11" style="232"/>
    <col min="12051" max="12051" width="11" style="232"/>
    <col min="12052" max="12052" width="11" style="232"/>
    <col min="12053" max="12053" width="11" style="232"/>
    <col min="12054" max="12054" width="11" style="232"/>
    <col min="12055" max="12055" width="11" style="232"/>
    <col min="12056" max="12056" width="11" style="232"/>
    <col min="12057" max="12057" width="11" style="232"/>
    <col min="12058" max="12058" width="11" style="232"/>
    <col min="12059" max="12059" width="11" style="232"/>
    <col min="12060" max="12060" width="11" style="232"/>
    <col min="12061" max="12061" width="11" style="232"/>
    <col min="12062" max="12062" width="11" style="232"/>
    <col min="12063" max="12063" width="11" style="232"/>
    <col min="12064" max="12064" width="11" style="232"/>
    <col min="12065" max="12065" width="11" style="232"/>
    <col min="12066" max="12066" width="11" style="232"/>
    <col min="12067" max="12067" width="11" style="232"/>
    <col min="12068" max="12068" width="11" style="232"/>
    <col min="12069" max="12069" width="11" style="232"/>
    <col min="12070" max="12070" width="11" style="232"/>
    <col min="12071" max="12071" width="11" style="232"/>
    <col min="12072" max="12072" width="11" style="232"/>
    <col min="12073" max="12073" width="11" style="232"/>
    <col min="12074" max="12074" width="11" style="232"/>
    <col min="12075" max="12075" width="11" style="232"/>
    <col min="12076" max="12076" width="11" style="232"/>
    <col min="12077" max="12077" width="11" style="232"/>
    <col min="12078" max="12078" width="11" style="232"/>
    <col min="12079" max="12079" width="11" style="232"/>
    <col min="12080" max="12080" width="11" style="232"/>
    <col min="12081" max="12081" width="11" style="232"/>
    <col min="12082" max="12082" width="11" style="232"/>
    <col min="12083" max="12083" width="11" style="232"/>
    <col min="12084" max="12084" width="11" style="232"/>
    <col min="12085" max="12085" width="11" style="232"/>
    <col min="12086" max="12086" width="11" style="232"/>
    <col min="12087" max="12087" width="11" style="232"/>
    <col min="12088" max="12088" width="11" style="232"/>
    <col min="12089" max="12089" width="11" style="232"/>
    <col min="12090" max="12090" width="11" style="232"/>
    <col min="12091" max="12091" width="11" style="232"/>
    <col min="12092" max="12092" width="11" style="232"/>
    <col min="12093" max="12093" width="11" style="232"/>
    <col min="12094" max="12094" width="11" style="232"/>
    <col min="12095" max="12095" width="11" style="232"/>
    <col min="12096" max="12096" width="11" style="232"/>
    <col min="12097" max="12097" width="11" style="232"/>
    <col min="12098" max="12098" width="11" style="232"/>
    <col min="12099" max="12099" width="11" style="232"/>
    <col min="12100" max="12100" width="11" style="232"/>
    <col min="12101" max="12101" width="11" style="232"/>
    <col min="12102" max="12102" width="11" style="232"/>
    <col min="12103" max="12103" width="11" style="232"/>
    <col min="12104" max="12104" width="11" style="232"/>
    <col min="12105" max="12105" width="11" style="232"/>
    <col min="12106" max="12106" width="11" style="232"/>
    <col min="12107" max="12107" width="11" style="232"/>
    <col min="12108" max="12108" width="11" style="232"/>
    <col min="12109" max="12109" width="11" style="232"/>
    <col min="12110" max="12110" width="11" style="232"/>
    <col min="12111" max="12111" width="11" style="232"/>
    <col min="12112" max="12112" width="11" style="232"/>
    <col min="12113" max="12113" width="11" style="232"/>
    <col min="12114" max="12114" width="11" style="232"/>
    <col min="12115" max="12115" width="11" style="232"/>
    <col min="12116" max="12116" width="11" style="232"/>
    <col min="12117" max="12117" width="11" style="232"/>
    <col min="12118" max="12118" width="11" style="232"/>
    <col min="12119" max="12119" width="11" style="232"/>
    <col min="12120" max="12120" width="11" style="232"/>
    <col min="12121" max="12121" width="11" style="232"/>
    <col min="12122" max="12122" width="11" style="232"/>
    <col min="12123" max="12123" width="11" style="232"/>
    <col min="12124" max="12124" width="11" style="232"/>
    <col min="12125" max="12125" width="11" style="232"/>
    <col min="12126" max="12126" width="11" style="232"/>
    <col min="12127" max="12127" width="11" style="232"/>
    <col min="12128" max="12128" width="11" style="232"/>
    <col min="12129" max="12129" width="11" style="232"/>
    <col min="12130" max="12130" width="11" style="232"/>
    <col min="12131" max="12131" width="11" style="232"/>
    <col min="12132" max="12132" width="11" style="232"/>
    <col min="12133" max="12133" width="11" style="232"/>
    <col min="12134" max="12134" width="11" style="232"/>
    <col min="12135" max="12135" width="11" style="232"/>
    <col min="12136" max="12136" width="11" style="232"/>
    <col min="12137" max="12137" width="11" style="232"/>
    <col min="12138" max="12138" width="11" style="232"/>
    <col min="12139" max="12139" width="11" style="232"/>
    <col min="12140" max="12140" width="11" style="232"/>
    <col min="12141" max="12141" width="11" style="232"/>
    <col min="12142" max="12142" width="11" style="232"/>
    <col min="12143" max="12143" width="11" style="232"/>
    <col min="12144" max="12144" width="11" style="232"/>
    <col min="12145" max="12145" width="11" style="232"/>
    <col min="12146" max="12146" width="11" style="232"/>
    <col min="12147" max="12147" width="11" style="232"/>
    <col min="12148" max="12148" width="11" style="232"/>
    <col min="12149" max="12149" width="11" style="232"/>
    <col min="12150" max="12150" width="11" style="232"/>
    <col min="12151" max="12151" width="11" style="232"/>
    <col min="12152" max="12152" width="11" style="232"/>
    <col min="12153" max="12153" width="11" style="232"/>
    <col min="12154" max="12154" width="11" style="232"/>
    <col min="12155" max="12155" width="11" style="232"/>
    <col min="12156" max="12156" width="11" style="232"/>
    <col min="12157" max="12157" width="11" style="232"/>
    <col min="12158" max="12158" width="11" style="232"/>
    <col min="12159" max="12159" width="11" style="232"/>
    <col min="12160" max="12160" width="11" style="232"/>
    <col min="12161" max="12161" width="11" style="232"/>
    <col min="12162" max="12162" width="11" style="232"/>
    <col min="12163" max="12163" width="11" style="232"/>
    <col min="12164" max="12164" width="11" style="232"/>
    <col min="12165" max="12165" width="11" style="232"/>
    <col min="12166" max="12166" width="11" style="232"/>
    <col min="12167" max="12167" width="11" style="232"/>
    <col min="12168" max="12168" width="11" style="232"/>
    <col min="12169" max="12169" width="11" style="232"/>
    <col min="12170" max="12170" width="11" style="232"/>
    <col min="12171" max="12171" width="11" style="232"/>
    <col min="12172" max="12172" width="11" style="232"/>
    <col min="12173" max="12173" width="11" style="232"/>
    <col min="12174" max="12174" width="11" style="232"/>
    <col min="12175" max="12175" width="11" style="232"/>
    <col min="12176" max="12176" width="11" style="232"/>
    <col min="12177" max="12177" width="11" style="232"/>
    <col min="12178" max="12178" width="11" style="232"/>
    <col min="12179" max="12179" width="11" style="232"/>
    <col min="12180" max="12180" width="11" style="232"/>
    <col min="12181" max="12181" width="11" style="232"/>
    <col min="12182" max="12182" width="11" style="232"/>
    <col min="12183" max="12183" width="11" style="232"/>
    <col min="12184" max="12184" width="11" style="232"/>
    <col min="12185" max="12185" width="11" style="232"/>
    <col min="12186" max="12186" width="11" style="232"/>
    <col min="12187" max="12187" width="11" style="232"/>
    <col min="12188" max="12188" width="11" style="232"/>
    <col min="12189" max="12189" width="11" style="232"/>
    <col min="12190" max="12190" width="11" style="232"/>
    <col min="12191" max="12191" width="11" style="232"/>
    <col min="12192" max="12192" width="11" style="232"/>
    <col min="12193" max="12193" width="11" style="232"/>
    <col min="12194" max="12194" width="11" style="232"/>
    <col min="12195" max="12195" width="11" style="232"/>
    <col min="12196" max="12196" width="11" style="232"/>
    <col min="12197" max="12197" width="11" style="232"/>
    <col min="12198" max="12198" width="11" style="232"/>
    <col min="12199" max="12199" width="11" style="232"/>
    <col min="12200" max="12200" width="11" style="232"/>
    <col min="12201" max="12201" width="11" style="232"/>
    <col min="12202" max="12202" width="11" style="232"/>
    <col min="12203" max="12203" width="11" style="232"/>
    <col min="12204" max="12204" width="11" style="232"/>
    <col min="12205" max="12205" width="11" style="232"/>
    <col min="12206" max="12206" width="11" style="232"/>
    <col min="12207" max="12207" width="11" style="232"/>
    <col min="12208" max="12208" width="11" style="232"/>
    <col min="12209" max="12209" width="11" style="232"/>
    <col min="12210" max="12210" width="11" style="232"/>
    <col min="12211" max="12211" width="11" style="232"/>
    <col min="12212" max="12212" width="11" style="232"/>
    <col min="12213" max="12213" width="11" style="232"/>
    <col min="12214" max="12214" width="11" style="232"/>
    <col min="12215" max="12215" width="11" style="232"/>
    <col min="12216" max="12216" width="11" style="232"/>
    <col min="12217" max="12217" width="11" style="232"/>
    <col min="12218" max="12218" width="11" style="232"/>
    <col min="12219" max="12219" width="11" style="232"/>
    <col min="12220" max="12220" width="11" style="232"/>
    <col min="12221" max="12221" width="11" style="232"/>
    <col min="12222" max="12222" width="11" style="232"/>
    <col min="12223" max="12223" width="11" style="232"/>
    <col min="12224" max="12224" width="11" style="232"/>
    <col min="12225" max="12225" width="11" style="232"/>
    <col min="12226" max="12226" width="11" style="232"/>
    <col min="12227" max="12227" width="11" style="232"/>
    <col min="12228" max="12228" width="11" style="232"/>
    <col min="12229" max="12229" width="11" style="232"/>
    <col min="12230" max="12230" width="11" style="232"/>
    <col min="12231" max="12231" width="11" style="232"/>
    <col min="12232" max="12232" width="11" style="232"/>
    <col min="12233" max="12233" width="11" style="232"/>
    <col min="12234" max="12234" width="11" style="232"/>
    <col min="12235" max="12235" width="11" style="232"/>
    <col min="12236" max="12236" width="11" style="232"/>
    <col min="12237" max="12237" width="11" style="232"/>
    <col min="12238" max="12238" width="11" style="232"/>
    <col min="12239" max="12239" width="11" style="232"/>
    <col min="12240" max="12240" width="11" style="232"/>
    <col min="12241" max="12241" width="11" style="232"/>
    <col min="12242" max="12242" width="11" style="232"/>
    <col min="12243" max="12243" width="11" style="232"/>
    <col min="12244" max="12244" width="11" style="232"/>
    <col min="12245" max="12245" width="11" style="232"/>
    <col min="12246" max="12246" width="11" style="232"/>
    <col min="12247" max="12247" width="11" style="232"/>
    <col min="12248" max="12248" width="11" style="232"/>
    <col min="12249" max="12249" width="11" style="232"/>
    <col min="12250" max="12250" width="11" style="232"/>
    <col min="12251" max="12251" width="11" style="232"/>
    <col min="12252" max="12252" width="11" style="232"/>
    <col min="12253" max="12253" width="11" style="232"/>
    <col min="12254" max="12254" width="11" style="232"/>
    <col min="12255" max="12255" width="11" style="232"/>
    <col min="12256" max="12256" width="11" style="232"/>
    <col min="12257" max="12257" width="11" style="232"/>
    <col min="12258" max="12258" width="11" style="232"/>
    <col min="12259" max="12259" width="11" style="232"/>
    <col min="12260" max="12260" width="11" style="232"/>
    <col min="12261" max="12261" width="11" style="232"/>
    <col min="12262" max="12262" width="11" style="232"/>
    <col min="12263" max="12263" width="11" style="232"/>
    <col min="12264" max="12264" width="11" style="232"/>
    <col min="12265" max="12265" width="11" style="232"/>
    <col min="12266" max="12266" width="11" style="232"/>
    <col min="12267" max="12267" width="11" style="232"/>
    <col min="12268" max="12268" width="11" style="232"/>
    <col min="12269" max="12269" width="11" style="232"/>
    <col min="12270" max="12270" width="11" style="232"/>
    <col min="12271" max="12271" width="11" style="232"/>
    <col min="12272" max="12272" width="11" style="232"/>
    <col min="12273" max="12273" width="11" style="232"/>
    <col min="12274" max="12274" width="11" style="232"/>
    <col min="12275" max="12275" width="11" style="232"/>
    <col min="12276" max="12276" width="11" style="232"/>
    <col min="12277" max="12277" width="10.140625" customWidth="true" style="232"/>
    <col min="12278" max="12278" width="10.140625" customWidth="true" style="232"/>
    <col min="12279" max="12279" width="10.140625" customWidth="true" style="232"/>
    <col min="12280" max="12280" width="10.140625" customWidth="true" style="232"/>
    <col min="12281" max="12281" width="10.140625" customWidth="true" style="232"/>
    <col min="12282" max="12282" width="10.140625" customWidth="true" style="232"/>
    <col min="12283" max="12283" width="10.140625" customWidth="true" style="232"/>
    <col min="12284" max="12284" width="10.140625" customWidth="true" style="232"/>
    <col min="12285" max="12285" width="10.140625" customWidth="true" style="232"/>
    <col min="12286" max="12286" width="11" style="232"/>
    <col min="12287" max="12287" width="11" style="232"/>
    <col min="12288" max="12288" width="11" style="232"/>
    <col min="12289" max="12289" width="11" style="232"/>
    <col min="12290" max="12290" width="11" style="232"/>
    <col min="12291" max="12291" width="11" style="232"/>
    <col min="12292" max="12292" width="11" style="232"/>
    <col min="12293" max="12293" width="11" style="232"/>
    <col min="12294" max="12294" width="11" style="232"/>
    <col min="12295" max="12295" width="11" style="232"/>
    <col min="12296" max="12296" width="11" style="232"/>
    <col min="12297" max="12297" width="11" style="232"/>
    <col min="12298" max="12298" width="11" style="232"/>
    <col min="12299" max="12299" width="11" style="232"/>
    <col min="12300" max="12300" width="11" style="232"/>
    <col min="12301" max="12301" width="11" style="232"/>
    <col min="12302" max="12302" width="11" style="232"/>
    <col min="12303" max="12303" width="11" style="232"/>
    <col min="12304" max="12304" width="11" style="232"/>
    <col min="12305" max="12305" width="11" style="232"/>
    <col min="12306" max="12306" width="11" style="232"/>
    <col min="12307" max="12307" width="11" style="232"/>
    <col min="12308" max="12308" width="11" style="232"/>
    <col min="12309" max="12309" width="11" style="232"/>
    <col min="12310" max="12310" width="11" style="232"/>
    <col min="12311" max="12311" width="11" style="232"/>
    <col min="12312" max="12312" width="11" style="232"/>
    <col min="12313" max="12313" width="11" style="232"/>
    <col min="12314" max="12314" width="11" style="232"/>
    <col min="12315" max="12315" width="11" style="232"/>
    <col min="12316" max="12316" width="11" style="232"/>
    <col min="12317" max="12317" width="11" style="232"/>
    <col min="12318" max="12318" width="11" style="232"/>
    <col min="12319" max="12319" width="11" style="232"/>
    <col min="12320" max="12320" width="11" style="232"/>
    <col min="12321" max="12321" width="11" style="232"/>
    <col min="12322" max="12322" width="11" style="232"/>
    <col min="12323" max="12323" width="11" style="232"/>
    <col min="12324" max="12324" width="11" style="232"/>
    <col min="12325" max="12325" width="11" style="232"/>
    <col min="12326" max="12326" width="11" style="232"/>
    <col min="12327" max="12327" width="11" style="232"/>
    <col min="12328" max="12328" width="11" style="232"/>
    <col min="12329" max="12329" width="11" style="232"/>
    <col min="12330" max="12330" width="11" style="232"/>
    <col min="12331" max="12331" width="11" style="232"/>
    <col min="12332" max="12332" width="11" style="232"/>
    <col min="12333" max="12333" width="11" style="232"/>
    <col min="12334" max="12334" width="11" style="232"/>
    <col min="12335" max="12335" width="11" style="232"/>
    <col min="12336" max="12336" width="11" style="232"/>
    <col min="12337" max="12337" width="11" style="232"/>
    <col min="12338" max="12338" width="11" style="232"/>
    <col min="12339" max="12339" width="11" style="232"/>
    <col min="12340" max="12340" width="11" style="232"/>
    <col min="12341" max="12341" width="11" style="232"/>
    <col min="12342" max="12342" width="11" style="232"/>
    <col min="12343" max="12343" width="11" style="232"/>
    <col min="12344" max="12344" width="11" style="232"/>
    <col min="12345" max="12345" width="11" style="232"/>
    <col min="12346" max="12346" width="11" style="232"/>
    <col min="12347" max="12347" width="11" style="232"/>
    <col min="12348" max="12348" width="11" style="232"/>
    <col min="12349" max="12349" width="11" style="232"/>
    <col min="12350" max="12350" width="11" style="232"/>
    <col min="12351" max="12351" width="11" style="232"/>
    <col min="12352" max="12352" width="11" style="232"/>
    <col min="12353" max="12353" width="11" style="232"/>
    <col min="12354" max="12354" width="11" style="232"/>
    <col min="12355" max="12355" width="11" style="232"/>
    <col min="12356" max="12356" width="11" style="232"/>
    <col min="12357" max="12357" width="11" style="232"/>
    <col min="12358" max="12358" width="11" style="232"/>
    <col min="12359" max="12359" width="11" style="232"/>
    <col min="12360" max="12360" width="11" style="232"/>
    <col min="12361" max="12361" width="11" style="232"/>
    <col min="12362" max="12362" width="11" style="232"/>
    <col min="12363" max="12363" width="11" style="232"/>
    <col min="12364" max="12364" width="11" style="232"/>
    <col min="12365" max="12365" width="11" style="232"/>
    <col min="12366" max="12366" width="11" style="232"/>
    <col min="12367" max="12367" width="11" style="232"/>
    <col min="12368" max="12368" width="11" style="232"/>
    <col min="12369" max="12369" width="11" style="232"/>
    <col min="12370" max="12370" width="11" style="232"/>
    <col min="12371" max="12371" width="11" style="232"/>
    <col min="12372" max="12372" width="11" style="232"/>
    <col min="12373" max="12373" width="11" style="232"/>
    <col min="12374" max="12374" width="11" style="232"/>
    <col min="12375" max="12375" width="11" style="232"/>
    <col min="12376" max="12376" width="11" style="232"/>
    <col min="12377" max="12377" width="11" style="232"/>
    <col min="12378" max="12378" width="11" style="232"/>
    <col min="12379" max="12379" width="11" style="232"/>
    <col min="12380" max="12380" width="11" style="232"/>
    <col min="12381" max="12381" width="11" style="232"/>
    <col min="12382" max="12382" width="11" style="232"/>
    <col min="12383" max="12383" width="11" style="232"/>
    <col min="12384" max="12384" width="11" style="232"/>
    <col min="12385" max="12385" width="11" style="232"/>
    <col min="12386" max="12386" width="11" style="232"/>
    <col min="12387" max="12387" width="11" style="232"/>
    <col min="12388" max="12388" width="11" style="232"/>
    <col min="12389" max="12389" width="11" style="232"/>
    <col min="12390" max="12390" width="11" style="232"/>
    <col min="12391" max="12391" width="11" style="232"/>
    <col min="12392" max="12392" width="11" style="232"/>
    <col min="12393" max="12393" width="11" style="232"/>
    <col min="12394" max="12394" width="11" style="232"/>
    <col min="12395" max="12395" width="11" style="232"/>
    <col min="12396" max="12396" width="11" style="232"/>
    <col min="12397" max="12397" width="11" style="232"/>
    <col min="12398" max="12398" width="11" style="232"/>
    <col min="12399" max="12399" width="11" style="232"/>
    <col min="12400" max="12400" width="11" style="232"/>
    <col min="12401" max="12401" width="11" style="232"/>
    <col min="12402" max="12402" width="11" style="232"/>
    <col min="12403" max="12403" width="11" style="232"/>
    <col min="12404" max="12404" width="11" style="232"/>
    <col min="12405" max="12405" width="11" style="232"/>
    <col min="12406" max="12406" width="11" style="232"/>
    <col min="12407" max="12407" width="11" style="232"/>
    <col min="12408" max="12408" width="11" style="232"/>
    <col min="12409" max="12409" width="11" style="232"/>
    <col min="12410" max="12410" width="11" style="232"/>
    <col min="12411" max="12411" width="11" style="232"/>
    <col min="12412" max="12412" width="11" style="232"/>
    <col min="12413" max="12413" width="11" style="232"/>
    <col min="12414" max="12414" width="11" style="232"/>
    <col min="12415" max="12415" width="11" style="232"/>
    <col min="12416" max="12416" width="11" style="232"/>
    <col min="12417" max="12417" width="11" style="232"/>
    <col min="12418" max="12418" width="11" style="232"/>
    <col min="12419" max="12419" width="11" style="232"/>
    <col min="12420" max="12420" width="11" style="232"/>
    <col min="12421" max="12421" width="11" style="232"/>
    <col min="12422" max="12422" width="11" style="232"/>
    <col min="12423" max="12423" width="11" style="232"/>
    <col min="12424" max="12424" width="11" style="232"/>
    <col min="12425" max="12425" width="11" style="232"/>
    <col min="12426" max="12426" width="11" style="232"/>
    <col min="12427" max="12427" width="11" style="232"/>
    <col min="12428" max="12428" width="11" style="232"/>
    <col min="12429" max="12429" width="11" style="232"/>
    <col min="12430" max="12430" width="11" style="232"/>
    <col min="12431" max="12431" width="11" style="232"/>
    <col min="12432" max="12432" width="11" style="232"/>
    <col min="12433" max="12433" width="11" style="232"/>
    <col min="12434" max="12434" width="11" style="232"/>
    <col min="12435" max="12435" width="11" style="232"/>
    <col min="12436" max="12436" width="11" style="232"/>
    <col min="12437" max="12437" width="11" style="232"/>
    <col min="12438" max="12438" width="11" style="232"/>
    <col min="12439" max="12439" width="11" style="232"/>
    <col min="12440" max="12440" width="11" style="232"/>
    <col min="12441" max="12441" width="11" style="232"/>
    <col min="12442" max="12442" width="11" style="232"/>
    <col min="12443" max="12443" width="11" style="232"/>
    <col min="12444" max="12444" width="11" style="232"/>
    <col min="12445" max="12445" width="11" style="232"/>
    <col min="12446" max="12446" width="11" style="232"/>
    <col min="12447" max="12447" width="11" style="232"/>
    <col min="12448" max="12448" width="11" style="232"/>
    <col min="12449" max="12449" width="11" style="232"/>
    <col min="12450" max="12450" width="11" style="232"/>
    <col min="12451" max="12451" width="11" style="232"/>
    <col min="12452" max="12452" width="11" style="232"/>
    <col min="12453" max="12453" width="11" style="232"/>
    <col min="12454" max="12454" width="11" style="232"/>
    <col min="12455" max="12455" width="11" style="232"/>
    <col min="12456" max="12456" width="11" style="232"/>
    <col min="12457" max="12457" width="11" style="232"/>
    <col min="12458" max="12458" width="11" style="232"/>
    <col min="12459" max="12459" width="11" style="232"/>
    <col min="12460" max="12460" width="11" style="232"/>
    <col min="12461" max="12461" width="11" style="232"/>
    <col min="12462" max="12462" width="11" style="232"/>
    <col min="12463" max="12463" width="11" style="232"/>
    <col min="12464" max="12464" width="11" style="232"/>
    <col min="12465" max="12465" width="11" style="232"/>
    <col min="12466" max="12466" width="11" style="232"/>
    <col min="12467" max="12467" width="11" style="232"/>
    <col min="12468" max="12468" width="11" style="232"/>
    <col min="12469" max="12469" width="11" style="232"/>
    <col min="12470" max="12470" width="11" style="232"/>
    <col min="12471" max="12471" width="11" style="232"/>
    <col min="12472" max="12472" width="11" style="232"/>
    <col min="12473" max="12473" width="11" style="232"/>
    <col min="12474" max="12474" width="11" style="232"/>
    <col min="12475" max="12475" width="11" style="232"/>
    <col min="12476" max="12476" width="11" style="232"/>
    <col min="12477" max="12477" width="11" style="232"/>
    <col min="12478" max="12478" width="11" style="232"/>
    <col min="12479" max="12479" width="11" style="232"/>
    <col min="12480" max="12480" width="11" style="232"/>
    <col min="12481" max="12481" width="11" style="232"/>
    <col min="12482" max="12482" width="11" style="232"/>
    <col min="12483" max="12483" width="11" style="232"/>
    <col min="12484" max="12484" width="11" style="232"/>
    <col min="12485" max="12485" width="11" style="232"/>
    <col min="12486" max="12486" width="11" style="232"/>
    <col min="12487" max="12487" width="11" style="232"/>
    <col min="12488" max="12488" width="11" style="232"/>
    <col min="12489" max="12489" width="11" style="232"/>
    <col min="12490" max="12490" width="11" style="232"/>
    <col min="12491" max="12491" width="11" style="232"/>
    <col min="12492" max="12492" width="11" style="232"/>
    <col min="12493" max="12493" width="11" style="232"/>
    <col min="12494" max="12494" width="11" style="232"/>
    <col min="12495" max="12495" width="11" style="232"/>
    <col min="12496" max="12496" width="11" style="232"/>
    <col min="12497" max="12497" width="11" style="232"/>
    <col min="12498" max="12498" width="11" style="232"/>
    <col min="12499" max="12499" width="11" style="232"/>
    <col min="12500" max="12500" width="11" style="232"/>
    <col min="12501" max="12501" width="11" style="232"/>
    <col min="12502" max="12502" width="11" style="232"/>
    <col min="12503" max="12503" width="11" style="232"/>
    <col min="12504" max="12504" width="11" style="232"/>
    <col min="12505" max="12505" width="11" style="232"/>
    <col min="12506" max="12506" width="11" style="232"/>
    <col min="12507" max="12507" width="11" style="232"/>
    <col min="12508" max="12508" width="11" style="232"/>
    <col min="12509" max="12509" width="11" style="232"/>
    <col min="12510" max="12510" width="11" style="232"/>
    <col min="12511" max="12511" width="11" style="232"/>
    <col min="12512" max="12512" width="11" style="232"/>
    <col min="12513" max="12513" width="11" style="232"/>
    <col min="12514" max="12514" width="11" style="232"/>
    <col min="12515" max="12515" width="11" style="232"/>
    <col min="12516" max="12516" width="11" style="232"/>
    <col min="12517" max="12517" width="11" style="232"/>
    <col min="12518" max="12518" width="11" style="232"/>
    <col min="12519" max="12519" width="11" style="232"/>
    <col min="12520" max="12520" width="11" style="232"/>
    <col min="12521" max="12521" width="11" style="232"/>
    <col min="12522" max="12522" width="11" style="232"/>
    <col min="12523" max="12523" width="11" style="232"/>
    <col min="12524" max="12524" width="11" style="232"/>
    <col min="12525" max="12525" width="11" style="232"/>
    <col min="12526" max="12526" width="11" style="232"/>
    <col min="12527" max="12527" width="11" style="232"/>
    <col min="12528" max="12528" width="11" style="232"/>
    <col min="12529" max="12529" width="11" style="232"/>
    <col min="12530" max="12530" width="11" style="232"/>
    <col min="12531" max="12531" width="11" style="232"/>
    <col min="12532" max="12532" width="11" style="232"/>
    <col min="12533" max="12533" width="10.140625" customWidth="true" style="232"/>
    <col min="12534" max="12534" width="10.140625" customWidth="true" style="232"/>
    <col min="12535" max="12535" width="10.140625" customWidth="true" style="232"/>
    <col min="12536" max="12536" width="10.140625" customWidth="true" style="232"/>
    <col min="12537" max="12537" width="10.140625" customWidth="true" style="232"/>
    <col min="12538" max="12538" width="10.140625" customWidth="true" style="232"/>
    <col min="12539" max="12539" width="10.140625" customWidth="true" style="232"/>
    <col min="12540" max="12540" width="10.140625" customWidth="true" style="232"/>
    <col min="12541" max="12541" width="10.140625" customWidth="true" style="232"/>
    <col min="12542" max="12542" width="11" style="232"/>
    <col min="12543" max="12543" width="11" style="232"/>
    <col min="12544" max="12544" width="11" style="232"/>
    <col min="12545" max="12545" width="11" style="232"/>
    <col min="12546" max="12546" width="11" style="232"/>
    <col min="12547" max="12547" width="11" style="232"/>
    <col min="12548" max="12548" width="11" style="232"/>
    <col min="12549" max="12549" width="11" style="232"/>
    <col min="12550" max="12550" width="11" style="232"/>
    <col min="12551" max="12551" width="11" style="232"/>
    <col min="12552" max="12552" width="11" style="232"/>
    <col min="12553" max="12553" width="11" style="232"/>
    <col min="12554" max="12554" width="11" style="232"/>
    <col min="12555" max="12555" width="11" style="232"/>
    <col min="12556" max="12556" width="11" style="232"/>
    <col min="12557" max="12557" width="11" style="232"/>
    <col min="12558" max="12558" width="11" style="232"/>
    <col min="12559" max="12559" width="11" style="232"/>
    <col min="12560" max="12560" width="11" style="232"/>
    <col min="12561" max="12561" width="11" style="232"/>
    <col min="12562" max="12562" width="11" style="232"/>
    <col min="12563" max="12563" width="11" style="232"/>
    <col min="12564" max="12564" width="11" style="232"/>
    <col min="12565" max="12565" width="11" style="232"/>
    <col min="12566" max="12566" width="11" style="232"/>
    <col min="12567" max="12567" width="11" style="232"/>
    <col min="12568" max="12568" width="11" style="232"/>
    <col min="12569" max="12569" width="11" style="232"/>
    <col min="12570" max="12570" width="11" style="232"/>
    <col min="12571" max="12571" width="11" style="232"/>
    <col min="12572" max="12572" width="11" style="232"/>
    <col min="12573" max="12573" width="11" style="232"/>
    <col min="12574" max="12574" width="11" style="232"/>
    <col min="12575" max="12575" width="11" style="232"/>
    <col min="12576" max="12576" width="11" style="232"/>
    <col min="12577" max="12577" width="11" style="232"/>
    <col min="12578" max="12578" width="11" style="232"/>
    <col min="12579" max="12579" width="11" style="232"/>
    <col min="12580" max="12580" width="11" style="232"/>
    <col min="12581" max="12581" width="11" style="232"/>
    <col min="12582" max="12582" width="11" style="232"/>
    <col min="12583" max="12583" width="11" style="232"/>
    <col min="12584" max="12584" width="11" style="232"/>
    <col min="12585" max="12585" width="11" style="232"/>
    <col min="12586" max="12586" width="11" style="232"/>
    <col min="12587" max="12587" width="11" style="232"/>
    <col min="12588" max="12588" width="11" style="232"/>
    <col min="12589" max="12589" width="11" style="232"/>
    <col min="12590" max="12590" width="11" style="232"/>
    <col min="12591" max="12591" width="11" style="232"/>
    <col min="12592" max="12592" width="11" style="232"/>
    <col min="12593" max="12593" width="11" style="232"/>
    <col min="12594" max="12594" width="11" style="232"/>
    <col min="12595" max="12595" width="11" style="232"/>
    <col min="12596" max="12596" width="11" style="232"/>
    <col min="12597" max="12597" width="11" style="232"/>
    <col min="12598" max="12598" width="11" style="232"/>
    <col min="12599" max="12599" width="11" style="232"/>
    <col min="12600" max="12600" width="11" style="232"/>
    <col min="12601" max="12601" width="11" style="232"/>
    <col min="12602" max="12602" width="11" style="232"/>
    <col min="12603" max="12603" width="11" style="232"/>
    <col min="12604" max="12604" width="11" style="232"/>
    <col min="12605" max="12605" width="11" style="232"/>
    <col min="12606" max="12606" width="11" style="232"/>
    <col min="12607" max="12607" width="11" style="232"/>
    <col min="12608" max="12608" width="11" style="232"/>
    <col min="12609" max="12609" width="11" style="232"/>
    <col min="12610" max="12610" width="11" style="232"/>
    <col min="12611" max="12611" width="11" style="232"/>
    <col min="12612" max="12612" width="11" style="232"/>
    <col min="12613" max="12613" width="11" style="232"/>
    <col min="12614" max="12614" width="11" style="232"/>
    <col min="12615" max="12615" width="11" style="232"/>
    <col min="12616" max="12616" width="11" style="232"/>
    <col min="12617" max="12617" width="11" style="232"/>
    <col min="12618" max="12618" width="11" style="232"/>
    <col min="12619" max="12619" width="11" style="232"/>
    <col min="12620" max="12620" width="11" style="232"/>
    <col min="12621" max="12621" width="11" style="232"/>
    <col min="12622" max="12622" width="11" style="232"/>
    <col min="12623" max="12623" width="11" style="232"/>
    <col min="12624" max="12624" width="11" style="232"/>
    <col min="12625" max="12625" width="11" style="232"/>
    <col min="12626" max="12626" width="11" style="232"/>
    <col min="12627" max="12627" width="11" style="232"/>
    <col min="12628" max="12628" width="11" style="232"/>
    <col min="12629" max="12629" width="11" style="232"/>
    <col min="12630" max="12630" width="11" style="232"/>
    <col min="12631" max="12631" width="11" style="232"/>
    <col min="12632" max="12632" width="11" style="232"/>
    <col min="12633" max="12633" width="11" style="232"/>
    <col min="12634" max="12634" width="11" style="232"/>
    <col min="12635" max="12635" width="11" style="232"/>
    <col min="12636" max="12636" width="11" style="232"/>
    <col min="12637" max="12637" width="11" style="232"/>
    <col min="12638" max="12638" width="11" style="232"/>
    <col min="12639" max="12639" width="11" style="232"/>
    <col min="12640" max="12640" width="11" style="232"/>
    <col min="12641" max="12641" width="11" style="232"/>
    <col min="12642" max="12642" width="11" style="232"/>
    <col min="12643" max="12643" width="11" style="232"/>
    <col min="12644" max="12644" width="11" style="232"/>
    <col min="12645" max="12645" width="11" style="232"/>
    <col min="12646" max="12646" width="11" style="232"/>
    <col min="12647" max="12647" width="11" style="232"/>
    <col min="12648" max="12648" width="11" style="232"/>
    <col min="12649" max="12649" width="11" style="232"/>
    <col min="12650" max="12650" width="11" style="232"/>
    <col min="12651" max="12651" width="11" style="232"/>
    <col min="12652" max="12652" width="11" style="232"/>
    <col min="12653" max="12653" width="11" style="232"/>
    <col min="12654" max="12654" width="11" style="232"/>
    <col min="12655" max="12655" width="11" style="232"/>
    <col min="12656" max="12656" width="11" style="232"/>
    <col min="12657" max="12657" width="11" style="232"/>
    <col min="12658" max="12658" width="11" style="232"/>
    <col min="12659" max="12659" width="11" style="232"/>
    <col min="12660" max="12660" width="11" style="232"/>
    <col min="12661" max="12661" width="11" style="232"/>
    <col min="12662" max="12662" width="11" style="232"/>
    <col min="12663" max="12663" width="11" style="232"/>
    <col min="12664" max="12664" width="11" style="232"/>
    <col min="12665" max="12665" width="11" style="232"/>
    <col min="12666" max="12666" width="11" style="232"/>
    <col min="12667" max="12667" width="11" style="232"/>
    <col min="12668" max="12668" width="11" style="232"/>
    <col min="12669" max="12669" width="11" style="232"/>
    <col min="12670" max="12670" width="11" style="232"/>
    <col min="12671" max="12671" width="11" style="232"/>
    <col min="12672" max="12672" width="11" style="232"/>
    <col min="12673" max="12673" width="11" style="232"/>
    <col min="12674" max="12674" width="11" style="232"/>
    <col min="12675" max="12675" width="11" style="232"/>
    <col min="12676" max="12676" width="11" style="232"/>
    <col min="12677" max="12677" width="11" style="232"/>
    <col min="12678" max="12678" width="11" style="232"/>
    <col min="12679" max="12679" width="11" style="232"/>
    <col min="12680" max="12680" width="11" style="232"/>
    <col min="12681" max="12681" width="11" style="232"/>
    <col min="12682" max="12682" width="11" style="232"/>
    <col min="12683" max="12683" width="11" style="232"/>
    <col min="12684" max="12684" width="11" style="232"/>
    <col min="12685" max="12685" width="11" style="232"/>
    <col min="12686" max="12686" width="11" style="232"/>
    <col min="12687" max="12687" width="11" style="232"/>
    <col min="12688" max="12688" width="11" style="232"/>
    <col min="12689" max="12689" width="11" style="232"/>
    <col min="12690" max="12690" width="11" style="232"/>
    <col min="12691" max="12691" width="11" style="232"/>
    <col min="12692" max="12692" width="11" style="232"/>
    <col min="12693" max="12693" width="11" style="232"/>
    <col min="12694" max="12694" width="11" style="232"/>
    <col min="12695" max="12695" width="11" style="232"/>
    <col min="12696" max="12696" width="11" style="232"/>
    <col min="12697" max="12697" width="11" style="232"/>
    <col min="12698" max="12698" width="11" style="232"/>
    <col min="12699" max="12699" width="11" style="232"/>
    <col min="12700" max="12700" width="11" style="232"/>
    <col min="12701" max="12701" width="11" style="232"/>
    <col min="12702" max="12702" width="11" style="232"/>
    <col min="12703" max="12703" width="11" style="232"/>
    <col min="12704" max="12704" width="11" style="232"/>
    <col min="12705" max="12705" width="11" style="232"/>
    <col min="12706" max="12706" width="11" style="232"/>
    <col min="12707" max="12707" width="11" style="232"/>
    <col min="12708" max="12708" width="11" style="232"/>
    <col min="12709" max="12709" width="11" style="232"/>
    <col min="12710" max="12710" width="11" style="232"/>
    <col min="12711" max="12711" width="11" style="232"/>
    <col min="12712" max="12712" width="11" style="232"/>
    <col min="12713" max="12713" width="11" style="232"/>
    <col min="12714" max="12714" width="11" style="232"/>
    <col min="12715" max="12715" width="11" style="232"/>
    <col min="12716" max="12716" width="11" style="232"/>
    <col min="12717" max="12717" width="11" style="232"/>
    <col min="12718" max="12718" width="11" style="232"/>
    <col min="12719" max="12719" width="11" style="232"/>
    <col min="12720" max="12720" width="11" style="232"/>
    <col min="12721" max="12721" width="11" style="232"/>
    <col min="12722" max="12722" width="11" style="232"/>
    <col min="12723" max="12723" width="11" style="232"/>
    <col min="12724" max="12724" width="11" style="232"/>
    <col min="12725" max="12725" width="11" style="232"/>
    <col min="12726" max="12726" width="11" style="232"/>
    <col min="12727" max="12727" width="11" style="232"/>
    <col min="12728" max="12728" width="11" style="232"/>
    <col min="12729" max="12729" width="11" style="232"/>
    <col min="12730" max="12730" width="11" style="232"/>
    <col min="12731" max="12731" width="11" style="232"/>
    <col min="12732" max="12732" width="11" style="232"/>
    <col min="12733" max="12733" width="11" style="232"/>
    <col min="12734" max="12734" width="11" style="232"/>
    <col min="12735" max="12735" width="11" style="232"/>
    <col min="12736" max="12736" width="11" style="232"/>
    <col min="12737" max="12737" width="11" style="232"/>
    <col min="12738" max="12738" width="11" style="232"/>
    <col min="12739" max="12739" width="11" style="232"/>
    <col min="12740" max="12740" width="11" style="232"/>
    <col min="12741" max="12741" width="11" style="232"/>
    <col min="12742" max="12742" width="11" style="232"/>
    <col min="12743" max="12743" width="11" style="232"/>
    <col min="12744" max="12744" width="11" style="232"/>
    <col min="12745" max="12745" width="11" style="232"/>
    <col min="12746" max="12746" width="11" style="232"/>
    <col min="12747" max="12747" width="11" style="232"/>
    <col min="12748" max="12748" width="11" style="232"/>
    <col min="12749" max="12749" width="11" style="232"/>
    <col min="12750" max="12750" width="11" style="232"/>
    <col min="12751" max="12751" width="11" style="232"/>
    <col min="12752" max="12752" width="11" style="232"/>
    <col min="12753" max="12753" width="11" style="232"/>
    <col min="12754" max="12754" width="11" style="232"/>
    <col min="12755" max="12755" width="11" style="232"/>
    <col min="12756" max="12756" width="11" style="232"/>
    <col min="12757" max="12757" width="11" style="232"/>
    <col min="12758" max="12758" width="11" style="232"/>
    <col min="12759" max="12759" width="11" style="232"/>
    <col min="12760" max="12760" width="11" style="232"/>
    <col min="12761" max="12761" width="11" style="232"/>
    <col min="12762" max="12762" width="11" style="232"/>
    <col min="12763" max="12763" width="11" style="232"/>
    <col min="12764" max="12764" width="11" style="232"/>
    <col min="12765" max="12765" width="11" style="232"/>
    <col min="12766" max="12766" width="11" style="232"/>
    <col min="12767" max="12767" width="11" style="232"/>
    <col min="12768" max="12768" width="11" style="232"/>
    <col min="12769" max="12769" width="11" style="232"/>
    <col min="12770" max="12770" width="11" style="232"/>
    <col min="12771" max="12771" width="11" style="232"/>
    <col min="12772" max="12772" width="11" style="232"/>
    <col min="12773" max="12773" width="11" style="232"/>
    <col min="12774" max="12774" width="11" style="232"/>
    <col min="12775" max="12775" width="11" style="232"/>
    <col min="12776" max="12776" width="11" style="232"/>
    <col min="12777" max="12777" width="11" style="232"/>
    <col min="12778" max="12778" width="11" style="232"/>
    <col min="12779" max="12779" width="11" style="232"/>
    <col min="12780" max="12780" width="11" style="232"/>
    <col min="12781" max="12781" width="11" style="232"/>
    <col min="12782" max="12782" width="11" style="232"/>
    <col min="12783" max="12783" width="11" style="232"/>
    <col min="12784" max="12784" width="11" style="232"/>
    <col min="12785" max="12785" width="11" style="232"/>
    <col min="12786" max="12786" width="11" style="232"/>
    <col min="12787" max="12787" width="11" style="232"/>
    <col min="12788" max="12788" width="11" style="232"/>
    <col min="12789" max="12789" width="10.140625" customWidth="true" style="232"/>
    <col min="12790" max="12790" width="10.140625" customWidth="true" style="232"/>
    <col min="12791" max="12791" width="10.140625" customWidth="true" style="232"/>
    <col min="12792" max="12792" width="10.140625" customWidth="true" style="232"/>
    <col min="12793" max="12793" width="10.140625" customWidth="true" style="232"/>
    <col min="12794" max="12794" width="10.140625" customWidth="true" style="232"/>
    <col min="12795" max="12795" width="10.140625" customWidth="true" style="232"/>
    <col min="12796" max="12796" width="10.140625" customWidth="true" style="232"/>
    <col min="12797" max="12797" width="10.140625" customWidth="true" style="232"/>
    <col min="12798" max="12798" width="11" style="232"/>
    <col min="12799" max="12799" width="11" style="232"/>
    <col min="12800" max="12800" width="11" style="232"/>
    <col min="12801" max="12801" width="11" style="232"/>
    <col min="12802" max="12802" width="11" style="232"/>
    <col min="12803" max="12803" width="11" style="232"/>
    <col min="12804" max="12804" width="11" style="232"/>
    <col min="12805" max="12805" width="11" style="232"/>
    <col min="12806" max="12806" width="11" style="232"/>
    <col min="12807" max="12807" width="11" style="232"/>
    <col min="12808" max="12808" width="11" style="232"/>
    <col min="12809" max="12809" width="11" style="232"/>
    <col min="12810" max="12810" width="11" style="232"/>
    <col min="12811" max="12811" width="11" style="232"/>
    <col min="12812" max="12812" width="11" style="232"/>
    <col min="12813" max="12813" width="11" style="232"/>
    <col min="12814" max="12814" width="11" style="232"/>
    <col min="12815" max="12815" width="11" style="232"/>
    <col min="12816" max="12816" width="11" style="232"/>
    <col min="12817" max="12817" width="11" style="232"/>
    <col min="12818" max="12818" width="11" style="232"/>
    <col min="12819" max="12819" width="11" style="232"/>
    <col min="12820" max="12820" width="11" style="232"/>
    <col min="12821" max="12821" width="11" style="232"/>
    <col min="12822" max="12822" width="11" style="232"/>
    <col min="12823" max="12823" width="11" style="232"/>
    <col min="12824" max="12824" width="11" style="232"/>
    <col min="12825" max="12825" width="11" style="232"/>
    <col min="12826" max="12826" width="11" style="232"/>
    <col min="12827" max="12827" width="11" style="232"/>
    <col min="12828" max="12828" width="11" style="232"/>
    <col min="12829" max="12829" width="11" style="232"/>
    <col min="12830" max="12830" width="11" style="232"/>
    <col min="12831" max="12831" width="11" style="232"/>
    <col min="12832" max="12832" width="11" style="232"/>
    <col min="12833" max="12833" width="11" style="232"/>
    <col min="12834" max="12834" width="11" style="232"/>
    <col min="12835" max="12835" width="11" style="232"/>
    <col min="12836" max="12836" width="11" style="232"/>
    <col min="12837" max="12837" width="11" style="232"/>
    <col min="12838" max="12838" width="11" style="232"/>
    <col min="12839" max="12839" width="11" style="232"/>
    <col min="12840" max="12840" width="11" style="232"/>
    <col min="12841" max="12841" width="11" style="232"/>
    <col min="12842" max="12842" width="11" style="232"/>
    <col min="12843" max="12843" width="11" style="232"/>
    <col min="12844" max="12844" width="11" style="232"/>
    <col min="12845" max="12845" width="11" style="232"/>
    <col min="12846" max="12846" width="11" style="232"/>
    <col min="12847" max="12847" width="11" style="232"/>
    <col min="12848" max="12848" width="11" style="232"/>
    <col min="12849" max="12849" width="11" style="232"/>
    <col min="12850" max="12850" width="11" style="232"/>
    <col min="12851" max="12851" width="11" style="232"/>
    <col min="12852" max="12852" width="11" style="232"/>
    <col min="12853" max="12853" width="11" style="232"/>
    <col min="12854" max="12854" width="11" style="232"/>
    <col min="12855" max="12855" width="11" style="232"/>
    <col min="12856" max="12856" width="11" style="232"/>
    <col min="12857" max="12857" width="11" style="232"/>
    <col min="12858" max="12858" width="11" style="232"/>
    <col min="12859" max="12859" width="11" style="232"/>
    <col min="12860" max="12860" width="11" style="232"/>
    <col min="12861" max="12861" width="11" style="232"/>
    <col min="12862" max="12862" width="11" style="232"/>
    <col min="12863" max="12863" width="11" style="232"/>
    <col min="12864" max="12864" width="11" style="232"/>
    <col min="12865" max="12865" width="11" style="232"/>
    <col min="12866" max="12866" width="11" style="232"/>
    <col min="12867" max="12867" width="11" style="232"/>
    <col min="12868" max="12868" width="11" style="232"/>
    <col min="12869" max="12869" width="11" style="232"/>
    <col min="12870" max="12870" width="11" style="232"/>
    <col min="12871" max="12871" width="11" style="232"/>
    <col min="12872" max="12872" width="11" style="232"/>
    <col min="12873" max="12873" width="11" style="232"/>
    <col min="12874" max="12874" width="11" style="232"/>
    <col min="12875" max="12875" width="11" style="232"/>
    <col min="12876" max="12876" width="11" style="232"/>
    <col min="12877" max="12877" width="11" style="232"/>
    <col min="12878" max="12878" width="11" style="232"/>
    <col min="12879" max="12879" width="11" style="232"/>
    <col min="12880" max="12880" width="11" style="232"/>
    <col min="12881" max="12881" width="11" style="232"/>
    <col min="12882" max="12882" width="11" style="232"/>
    <col min="12883" max="12883" width="11" style="232"/>
    <col min="12884" max="12884" width="11" style="232"/>
    <col min="12885" max="12885" width="11" style="232"/>
    <col min="12886" max="12886" width="11" style="232"/>
    <col min="12887" max="12887" width="11" style="232"/>
    <col min="12888" max="12888" width="11" style="232"/>
    <col min="12889" max="12889" width="11" style="232"/>
    <col min="12890" max="12890" width="11" style="232"/>
    <col min="12891" max="12891" width="11" style="232"/>
    <col min="12892" max="12892" width="11" style="232"/>
    <col min="12893" max="12893" width="11" style="232"/>
    <col min="12894" max="12894" width="11" style="232"/>
    <col min="12895" max="12895" width="11" style="232"/>
    <col min="12896" max="12896" width="11" style="232"/>
    <col min="12897" max="12897" width="11" style="232"/>
    <col min="12898" max="12898" width="11" style="232"/>
    <col min="12899" max="12899" width="11" style="232"/>
    <col min="12900" max="12900" width="11" style="232"/>
    <col min="12901" max="12901" width="11" style="232"/>
    <col min="12902" max="12902" width="11" style="232"/>
    <col min="12903" max="12903" width="11" style="232"/>
    <col min="12904" max="12904" width="11" style="232"/>
    <col min="12905" max="12905" width="11" style="232"/>
    <col min="12906" max="12906" width="11" style="232"/>
    <col min="12907" max="12907" width="11" style="232"/>
    <col min="12908" max="12908" width="11" style="232"/>
    <col min="12909" max="12909" width="11" style="232"/>
    <col min="12910" max="12910" width="11" style="232"/>
    <col min="12911" max="12911" width="11" style="232"/>
    <col min="12912" max="12912" width="11" style="232"/>
    <col min="12913" max="12913" width="11" style="232"/>
    <col min="12914" max="12914" width="11" style="232"/>
    <col min="12915" max="12915" width="11" style="232"/>
    <col min="12916" max="12916" width="11" style="232"/>
    <col min="12917" max="12917" width="11" style="232"/>
    <col min="12918" max="12918" width="11" style="232"/>
    <col min="12919" max="12919" width="11" style="232"/>
    <col min="12920" max="12920" width="11" style="232"/>
    <col min="12921" max="12921" width="11" style="232"/>
    <col min="12922" max="12922" width="11" style="232"/>
    <col min="12923" max="12923" width="11" style="232"/>
    <col min="12924" max="12924" width="11" style="232"/>
    <col min="12925" max="12925" width="11" style="232"/>
    <col min="12926" max="12926" width="11" style="232"/>
    <col min="12927" max="12927" width="11" style="232"/>
    <col min="12928" max="12928" width="11" style="232"/>
    <col min="12929" max="12929" width="11" style="232"/>
    <col min="12930" max="12930" width="11" style="232"/>
    <col min="12931" max="12931" width="11" style="232"/>
    <col min="12932" max="12932" width="11" style="232"/>
    <col min="12933" max="12933" width="11" style="232"/>
    <col min="12934" max="12934" width="11" style="232"/>
    <col min="12935" max="12935" width="11" style="232"/>
    <col min="12936" max="12936" width="11" style="232"/>
    <col min="12937" max="12937" width="11" style="232"/>
    <col min="12938" max="12938" width="11" style="232"/>
    <col min="12939" max="12939" width="11" style="232"/>
    <col min="12940" max="12940" width="11" style="232"/>
    <col min="12941" max="12941" width="11" style="232"/>
    <col min="12942" max="12942" width="11" style="232"/>
    <col min="12943" max="12943" width="11" style="232"/>
    <col min="12944" max="12944" width="11" style="232"/>
    <col min="12945" max="12945" width="11" style="232"/>
    <col min="12946" max="12946" width="11" style="232"/>
    <col min="12947" max="12947" width="11" style="232"/>
    <col min="12948" max="12948" width="11" style="232"/>
    <col min="12949" max="12949" width="11" style="232"/>
    <col min="12950" max="12950" width="11" style="232"/>
    <col min="12951" max="12951" width="11" style="232"/>
    <col min="12952" max="12952" width="11" style="232"/>
    <col min="12953" max="12953" width="11" style="232"/>
    <col min="12954" max="12954" width="11" style="232"/>
    <col min="12955" max="12955" width="11" style="232"/>
    <col min="12956" max="12956" width="11" style="232"/>
    <col min="12957" max="12957" width="11" style="232"/>
    <col min="12958" max="12958" width="11" style="232"/>
    <col min="12959" max="12959" width="11" style="232"/>
    <col min="12960" max="12960" width="11" style="232"/>
    <col min="12961" max="12961" width="11" style="232"/>
    <col min="12962" max="12962" width="11" style="232"/>
    <col min="12963" max="12963" width="11" style="232"/>
    <col min="12964" max="12964" width="11" style="232"/>
    <col min="12965" max="12965" width="11" style="232"/>
    <col min="12966" max="12966" width="11" style="232"/>
    <col min="12967" max="12967" width="11" style="232"/>
    <col min="12968" max="12968" width="11" style="232"/>
    <col min="12969" max="12969" width="11" style="232"/>
    <col min="12970" max="12970" width="11" style="232"/>
    <col min="12971" max="12971" width="11" style="232"/>
    <col min="12972" max="12972" width="11" style="232"/>
    <col min="12973" max="12973" width="11" style="232"/>
    <col min="12974" max="12974" width="11" style="232"/>
    <col min="12975" max="12975" width="11" style="232"/>
    <col min="12976" max="12976" width="11" style="232"/>
    <col min="12977" max="12977" width="11" style="232"/>
    <col min="12978" max="12978" width="11" style="232"/>
    <col min="12979" max="12979" width="11" style="232"/>
    <col min="12980" max="12980" width="11" style="232"/>
    <col min="12981" max="12981" width="11" style="232"/>
    <col min="12982" max="12982" width="11" style="232"/>
    <col min="12983" max="12983" width="11" style="232"/>
    <col min="12984" max="12984" width="11" style="232"/>
    <col min="12985" max="12985" width="11" style="232"/>
    <col min="12986" max="12986" width="11" style="232"/>
    <col min="12987" max="12987" width="11" style="232"/>
    <col min="12988" max="12988" width="11" style="232"/>
    <col min="12989" max="12989" width="11" style="232"/>
    <col min="12990" max="12990" width="11" style="232"/>
    <col min="12991" max="12991" width="11" style="232"/>
    <col min="12992" max="12992" width="11" style="232"/>
    <col min="12993" max="12993" width="11" style="232"/>
    <col min="12994" max="12994" width="11" style="232"/>
    <col min="12995" max="12995" width="11" style="232"/>
    <col min="12996" max="12996" width="11" style="232"/>
    <col min="12997" max="12997" width="11" style="232"/>
    <col min="12998" max="12998" width="11" style="232"/>
    <col min="12999" max="12999" width="11" style="232"/>
    <col min="13000" max="13000" width="11" style="232"/>
    <col min="13001" max="13001" width="11" style="232"/>
    <col min="13002" max="13002" width="11" style="232"/>
    <col min="13003" max="13003" width="11" style="232"/>
    <col min="13004" max="13004" width="11" style="232"/>
    <col min="13005" max="13005" width="11" style="232"/>
    <col min="13006" max="13006" width="11" style="232"/>
    <col min="13007" max="13007" width="11" style="232"/>
    <col min="13008" max="13008" width="11" style="232"/>
    <col min="13009" max="13009" width="11" style="232"/>
    <col min="13010" max="13010" width="11" style="232"/>
    <col min="13011" max="13011" width="11" style="232"/>
    <col min="13012" max="13012" width="11" style="232"/>
    <col min="13013" max="13013" width="11" style="232"/>
    <col min="13014" max="13014" width="11" style="232"/>
    <col min="13015" max="13015" width="11" style="232"/>
    <col min="13016" max="13016" width="11" style="232"/>
    <col min="13017" max="13017" width="11" style="232"/>
    <col min="13018" max="13018" width="11" style="232"/>
    <col min="13019" max="13019" width="11" style="232"/>
    <col min="13020" max="13020" width="11" style="232"/>
    <col min="13021" max="13021" width="11" style="232"/>
    <col min="13022" max="13022" width="11" style="232"/>
    <col min="13023" max="13023" width="11" style="232"/>
    <col min="13024" max="13024" width="11" style="232"/>
    <col min="13025" max="13025" width="11" style="232"/>
    <col min="13026" max="13026" width="11" style="232"/>
    <col min="13027" max="13027" width="11" style="232"/>
    <col min="13028" max="13028" width="11" style="232"/>
    <col min="13029" max="13029" width="11" style="232"/>
    <col min="13030" max="13030" width="11" style="232"/>
    <col min="13031" max="13031" width="11" style="232"/>
    <col min="13032" max="13032" width="11" style="232"/>
    <col min="13033" max="13033" width="11" style="232"/>
    <col min="13034" max="13034" width="11" style="232"/>
    <col min="13035" max="13035" width="11" style="232"/>
    <col min="13036" max="13036" width="11" style="232"/>
    <col min="13037" max="13037" width="11" style="232"/>
    <col min="13038" max="13038" width="11" style="232"/>
    <col min="13039" max="13039" width="11" style="232"/>
    <col min="13040" max="13040" width="11" style="232"/>
    <col min="13041" max="13041" width="11" style="232"/>
    <col min="13042" max="13042" width="11" style="232"/>
    <col min="13043" max="13043" width="11" style="232"/>
    <col min="13044" max="13044" width="11" style="232"/>
    <col min="13045" max="13045" width="10.140625" customWidth="true" style="232"/>
    <col min="13046" max="13046" width="10.140625" customWidth="true" style="232"/>
    <col min="13047" max="13047" width="10.140625" customWidth="true" style="232"/>
    <col min="13048" max="13048" width="10.140625" customWidth="true" style="232"/>
    <col min="13049" max="13049" width="10.140625" customWidth="true" style="232"/>
    <col min="13050" max="13050" width="10.140625" customWidth="true" style="232"/>
    <col min="13051" max="13051" width="10.140625" customWidth="true" style="232"/>
    <col min="13052" max="13052" width="10.140625" customWidth="true" style="232"/>
    <col min="13053" max="13053" width="10.140625" customWidth="true" style="232"/>
    <col min="13054" max="13054" width="11" style="232"/>
    <col min="13055" max="13055" width="11" style="232"/>
    <col min="13056" max="13056" width="11" style="232"/>
    <col min="13057" max="13057" width="11" style="232"/>
    <col min="13058" max="13058" width="11" style="232"/>
    <col min="13059" max="13059" width="11" style="232"/>
    <col min="13060" max="13060" width="11" style="232"/>
    <col min="13061" max="13061" width="11" style="232"/>
    <col min="13062" max="13062" width="11" style="232"/>
    <col min="13063" max="13063" width="11" style="232"/>
    <col min="13064" max="13064" width="11" style="232"/>
    <col min="13065" max="13065" width="11" style="232"/>
    <col min="13066" max="13066" width="11" style="232"/>
    <col min="13067" max="13067" width="11" style="232"/>
    <col min="13068" max="13068" width="11" style="232"/>
    <col min="13069" max="13069" width="11" style="232"/>
    <col min="13070" max="13070" width="11" style="232"/>
    <col min="13071" max="13071" width="11" style="232"/>
    <col min="13072" max="13072" width="11" style="232"/>
    <col min="13073" max="13073" width="11" style="232"/>
    <col min="13074" max="13074" width="11" style="232"/>
    <col min="13075" max="13075" width="11" style="232"/>
    <col min="13076" max="13076" width="11" style="232"/>
    <col min="13077" max="13077" width="11" style="232"/>
    <col min="13078" max="13078" width="11" style="232"/>
    <col min="13079" max="13079" width="11" style="232"/>
    <col min="13080" max="13080" width="11" style="232"/>
    <col min="13081" max="13081" width="11" style="232"/>
    <col min="13082" max="13082" width="11" style="232"/>
    <col min="13083" max="13083" width="11" style="232"/>
    <col min="13084" max="13084" width="11" style="232"/>
    <col min="13085" max="13085" width="11" style="232"/>
    <col min="13086" max="13086" width="11" style="232"/>
    <col min="13087" max="13087" width="11" style="232"/>
    <col min="13088" max="13088" width="11" style="232"/>
    <col min="13089" max="13089" width="11" style="232"/>
    <col min="13090" max="13090" width="11" style="232"/>
    <col min="13091" max="13091" width="11" style="232"/>
    <col min="13092" max="13092" width="11" style="232"/>
    <col min="13093" max="13093" width="11" style="232"/>
    <col min="13094" max="13094" width="11" style="232"/>
    <col min="13095" max="13095" width="11" style="232"/>
    <col min="13096" max="13096" width="11" style="232"/>
    <col min="13097" max="13097" width="11" style="232"/>
    <col min="13098" max="13098" width="11" style="232"/>
    <col min="13099" max="13099" width="11" style="232"/>
    <col min="13100" max="13100" width="11" style="232"/>
    <col min="13101" max="13101" width="11" style="232"/>
    <col min="13102" max="13102" width="11" style="232"/>
    <col min="13103" max="13103" width="11" style="232"/>
    <col min="13104" max="13104" width="11" style="232"/>
    <col min="13105" max="13105" width="11" style="232"/>
    <col min="13106" max="13106" width="11" style="232"/>
    <col min="13107" max="13107" width="11" style="232"/>
    <col min="13108" max="13108" width="11" style="232"/>
    <col min="13109" max="13109" width="11" style="232"/>
    <col min="13110" max="13110" width="11" style="232"/>
    <col min="13111" max="13111" width="11" style="232"/>
    <col min="13112" max="13112" width="11" style="232"/>
    <col min="13113" max="13113" width="11" style="232"/>
    <col min="13114" max="13114" width="11" style="232"/>
    <col min="13115" max="13115" width="11" style="232"/>
    <col min="13116" max="13116" width="11" style="232"/>
    <col min="13117" max="13117" width="11" style="232"/>
    <col min="13118" max="13118" width="11" style="232"/>
    <col min="13119" max="13119" width="11" style="232"/>
    <col min="13120" max="13120" width="11" style="232"/>
    <col min="13121" max="13121" width="11" style="232"/>
    <col min="13122" max="13122" width="11" style="232"/>
    <col min="13123" max="13123" width="11" style="232"/>
    <col min="13124" max="13124" width="11" style="232"/>
    <col min="13125" max="13125" width="11" style="232"/>
    <col min="13126" max="13126" width="11" style="232"/>
    <col min="13127" max="13127" width="11" style="232"/>
    <col min="13128" max="13128" width="11" style="232"/>
    <col min="13129" max="13129" width="11" style="232"/>
    <col min="13130" max="13130" width="11" style="232"/>
    <col min="13131" max="13131" width="11" style="232"/>
    <col min="13132" max="13132" width="11" style="232"/>
    <col min="13133" max="13133" width="11" style="232"/>
    <col min="13134" max="13134" width="11" style="232"/>
    <col min="13135" max="13135" width="11" style="232"/>
    <col min="13136" max="13136" width="11" style="232"/>
    <col min="13137" max="13137" width="11" style="232"/>
    <col min="13138" max="13138" width="11" style="232"/>
    <col min="13139" max="13139" width="11" style="232"/>
    <col min="13140" max="13140" width="11" style="232"/>
    <col min="13141" max="13141" width="11" style="232"/>
    <col min="13142" max="13142" width="11" style="232"/>
    <col min="13143" max="13143" width="11" style="232"/>
    <col min="13144" max="13144" width="11" style="232"/>
    <col min="13145" max="13145" width="11" style="232"/>
    <col min="13146" max="13146" width="11" style="232"/>
    <col min="13147" max="13147" width="11" style="232"/>
    <col min="13148" max="13148" width="11" style="232"/>
    <col min="13149" max="13149" width="11" style="232"/>
    <col min="13150" max="13150" width="11" style="232"/>
    <col min="13151" max="13151" width="11" style="232"/>
    <col min="13152" max="13152" width="11" style="232"/>
    <col min="13153" max="13153" width="11" style="232"/>
    <col min="13154" max="13154" width="11" style="232"/>
    <col min="13155" max="13155" width="11" style="232"/>
    <col min="13156" max="13156" width="11" style="232"/>
    <col min="13157" max="13157" width="11" style="232"/>
    <col min="13158" max="13158" width="11" style="232"/>
    <col min="13159" max="13159" width="11" style="232"/>
    <col min="13160" max="13160" width="11" style="232"/>
    <col min="13161" max="13161" width="11" style="232"/>
    <col min="13162" max="13162" width="11" style="232"/>
    <col min="13163" max="13163" width="11" style="232"/>
    <col min="13164" max="13164" width="11" style="232"/>
    <col min="13165" max="13165" width="11" style="232"/>
    <col min="13166" max="13166" width="11" style="232"/>
    <col min="13167" max="13167" width="11" style="232"/>
    <col min="13168" max="13168" width="11" style="232"/>
    <col min="13169" max="13169" width="11" style="232"/>
    <col min="13170" max="13170" width="11" style="232"/>
    <col min="13171" max="13171" width="11" style="232"/>
    <col min="13172" max="13172" width="11" style="232"/>
    <col min="13173" max="13173" width="11" style="232"/>
    <col min="13174" max="13174" width="11" style="232"/>
    <col min="13175" max="13175" width="11" style="232"/>
    <col min="13176" max="13176" width="11" style="232"/>
    <col min="13177" max="13177" width="11" style="232"/>
    <col min="13178" max="13178" width="11" style="232"/>
    <col min="13179" max="13179" width="11" style="232"/>
    <col min="13180" max="13180" width="11" style="232"/>
    <col min="13181" max="13181" width="11" style="232"/>
    <col min="13182" max="13182" width="11" style="232"/>
    <col min="13183" max="13183" width="11" style="232"/>
    <col min="13184" max="13184" width="11" style="232"/>
    <col min="13185" max="13185" width="11" style="232"/>
    <col min="13186" max="13186" width="11" style="232"/>
    <col min="13187" max="13187" width="11" style="232"/>
    <col min="13188" max="13188" width="11" style="232"/>
    <col min="13189" max="13189" width="11" style="232"/>
    <col min="13190" max="13190" width="11" style="232"/>
    <col min="13191" max="13191" width="11" style="232"/>
    <col min="13192" max="13192" width="11" style="232"/>
    <col min="13193" max="13193" width="11" style="232"/>
    <col min="13194" max="13194" width="11" style="232"/>
    <col min="13195" max="13195" width="11" style="232"/>
    <col min="13196" max="13196" width="11" style="232"/>
    <col min="13197" max="13197" width="11" style="232"/>
    <col min="13198" max="13198" width="11" style="232"/>
    <col min="13199" max="13199" width="11" style="232"/>
    <col min="13200" max="13200" width="11" style="232"/>
    <col min="13201" max="13201" width="11" style="232"/>
    <col min="13202" max="13202" width="11" style="232"/>
    <col min="13203" max="13203" width="11" style="232"/>
    <col min="13204" max="13204" width="11" style="232"/>
    <col min="13205" max="13205" width="11" style="232"/>
    <col min="13206" max="13206" width="11" style="232"/>
    <col min="13207" max="13207" width="11" style="232"/>
    <col min="13208" max="13208" width="11" style="232"/>
    <col min="13209" max="13209" width="11" style="232"/>
    <col min="13210" max="13210" width="11" style="232"/>
    <col min="13211" max="13211" width="11" style="232"/>
    <col min="13212" max="13212" width="11" style="232"/>
    <col min="13213" max="13213" width="11" style="232"/>
    <col min="13214" max="13214" width="11" style="232"/>
    <col min="13215" max="13215" width="11" style="232"/>
    <col min="13216" max="13216" width="11" style="232"/>
    <col min="13217" max="13217" width="11" style="232"/>
    <col min="13218" max="13218" width="11" style="232"/>
    <col min="13219" max="13219" width="11" style="232"/>
    <col min="13220" max="13220" width="11" style="232"/>
    <col min="13221" max="13221" width="11" style="232"/>
    <col min="13222" max="13222" width="11" style="232"/>
    <col min="13223" max="13223" width="11" style="232"/>
    <col min="13224" max="13224" width="11" style="232"/>
    <col min="13225" max="13225" width="11" style="232"/>
    <col min="13226" max="13226" width="11" style="232"/>
    <col min="13227" max="13227" width="11" style="232"/>
    <col min="13228" max="13228" width="11" style="232"/>
    <col min="13229" max="13229" width="11" style="232"/>
    <col min="13230" max="13230" width="11" style="232"/>
    <col min="13231" max="13231" width="11" style="232"/>
    <col min="13232" max="13232" width="11" style="232"/>
    <col min="13233" max="13233" width="11" style="232"/>
    <col min="13234" max="13234" width="11" style="232"/>
    <col min="13235" max="13235" width="11" style="232"/>
    <col min="13236" max="13236" width="11" style="232"/>
    <col min="13237" max="13237" width="11" style="232"/>
    <col min="13238" max="13238" width="11" style="232"/>
    <col min="13239" max="13239" width="11" style="232"/>
    <col min="13240" max="13240" width="11" style="232"/>
    <col min="13241" max="13241" width="11" style="232"/>
    <col min="13242" max="13242" width="11" style="232"/>
    <col min="13243" max="13243" width="11" style="232"/>
    <col min="13244" max="13244" width="11" style="232"/>
    <col min="13245" max="13245" width="11" style="232"/>
    <col min="13246" max="13246" width="11" style="232"/>
    <col min="13247" max="13247" width="11" style="232"/>
    <col min="13248" max="13248" width="11" style="232"/>
    <col min="13249" max="13249" width="11" style="232"/>
    <col min="13250" max="13250" width="11" style="232"/>
    <col min="13251" max="13251" width="11" style="232"/>
    <col min="13252" max="13252" width="11" style="232"/>
    <col min="13253" max="13253" width="11" style="232"/>
    <col min="13254" max="13254" width="11" style="232"/>
    <col min="13255" max="13255" width="11" style="232"/>
    <col min="13256" max="13256" width="11" style="232"/>
    <col min="13257" max="13257" width="11" style="232"/>
    <col min="13258" max="13258" width="11" style="232"/>
    <col min="13259" max="13259" width="11" style="232"/>
    <col min="13260" max="13260" width="11" style="232"/>
    <col min="13261" max="13261" width="11" style="232"/>
    <col min="13262" max="13262" width="11" style="232"/>
    <col min="13263" max="13263" width="11" style="232"/>
    <col min="13264" max="13264" width="11" style="232"/>
    <col min="13265" max="13265" width="11" style="232"/>
    <col min="13266" max="13266" width="11" style="232"/>
    <col min="13267" max="13267" width="11" style="232"/>
    <col min="13268" max="13268" width="11" style="232"/>
    <col min="13269" max="13269" width="11" style="232"/>
    <col min="13270" max="13270" width="11" style="232"/>
    <col min="13271" max="13271" width="11" style="232"/>
    <col min="13272" max="13272" width="11" style="232"/>
    <col min="13273" max="13273" width="11" style="232"/>
    <col min="13274" max="13274" width="11" style="232"/>
    <col min="13275" max="13275" width="11" style="232"/>
    <col min="13276" max="13276" width="11" style="232"/>
    <col min="13277" max="13277" width="11" style="232"/>
    <col min="13278" max="13278" width="11" style="232"/>
    <col min="13279" max="13279" width="11" style="232"/>
    <col min="13280" max="13280" width="11" style="232"/>
    <col min="13281" max="13281" width="11" style="232"/>
    <col min="13282" max="13282" width="11" style="232"/>
    <col min="13283" max="13283" width="11" style="232"/>
    <col min="13284" max="13284" width="11" style="232"/>
    <col min="13285" max="13285" width="11" style="232"/>
    <col min="13286" max="13286" width="11" style="232"/>
    <col min="13287" max="13287" width="11" style="232"/>
    <col min="13288" max="13288" width="11" style="232"/>
    <col min="13289" max="13289" width="11" style="232"/>
    <col min="13290" max="13290" width="11" style="232"/>
    <col min="13291" max="13291" width="11" style="232"/>
    <col min="13292" max="13292" width="11" style="232"/>
    <col min="13293" max="13293" width="11" style="232"/>
    <col min="13294" max="13294" width="11" style="232"/>
    <col min="13295" max="13295" width="11" style="232"/>
    <col min="13296" max="13296" width="11" style="232"/>
    <col min="13297" max="13297" width="11" style="232"/>
    <col min="13298" max="13298" width="11" style="232"/>
    <col min="13299" max="13299" width="11" style="232"/>
    <col min="13300" max="13300" width="11" style="232"/>
    <col min="13301" max="13301" width="10.140625" customWidth="true" style="232"/>
    <col min="13302" max="13302" width="10.140625" customWidth="true" style="232"/>
    <col min="13303" max="13303" width="10.140625" customWidth="true" style="232"/>
    <col min="13304" max="13304" width="10.140625" customWidth="true" style="232"/>
    <col min="13305" max="13305" width="10.140625" customWidth="true" style="232"/>
    <col min="13306" max="13306" width="10.140625" customWidth="true" style="232"/>
    <col min="13307" max="13307" width="10.140625" customWidth="true" style="232"/>
    <col min="13308" max="13308" width="10.140625" customWidth="true" style="232"/>
    <col min="13309" max="13309" width="10.140625" customWidth="true" style="232"/>
    <col min="13310" max="13310" width="11" style="232"/>
    <col min="13311" max="13311" width="11" style="232"/>
    <col min="13312" max="13312" width="11" style="232"/>
    <col min="13313" max="13313" width="11" style="232"/>
    <col min="13314" max="13314" width="11" style="232"/>
    <col min="13315" max="13315" width="11" style="232"/>
    <col min="13316" max="13316" width="11" style="232"/>
    <col min="13317" max="13317" width="11" style="232"/>
    <col min="13318" max="13318" width="11" style="232"/>
    <col min="13319" max="13319" width="11" style="232"/>
    <col min="13320" max="13320" width="11" style="232"/>
    <col min="13321" max="13321" width="11" style="232"/>
    <col min="13322" max="13322" width="11" style="232"/>
    <col min="13323" max="13323" width="11" style="232"/>
    <col min="13324" max="13324" width="11" style="232"/>
    <col min="13325" max="13325" width="11" style="232"/>
    <col min="13326" max="13326" width="11" style="232"/>
    <col min="13327" max="13327" width="11" style="232"/>
    <col min="13328" max="13328" width="11" style="232"/>
    <col min="13329" max="13329" width="11" style="232"/>
    <col min="13330" max="13330" width="11" style="232"/>
    <col min="13331" max="13331" width="11" style="232"/>
    <col min="13332" max="13332" width="11" style="232"/>
    <col min="13333" max="13333" width="11" style="232"/>
    <col min="13334" max="13334" width="11" style="232"/>
    <col min="13335" max="13335" width="11" style="232"/>
    <col min="13336" max="13336" width="11" style="232"/>
    <col min="13337" max="13337" width="11" style="232"/>
    <col min="13338" max="13338" width="11" style="232"/>
    <col min="13339" max="13339" width="11" style="232"/>
    <col min="13340" max="13340" width="11" style="232"/>
    <col min="13341" max="13341" width="11" style="232"/>
    <col min="13342" max="13342" width="11" style="232"/>
    <col min="13343" max="13343" width="11" style="232"/>
    <col min="13344" max="13344" width="11" style="232"/>
    <col min="13345" max="13345" width="11" style="232"/>
    <col min="13346" max="13346" width="11" style="232"/>
    <col min="13347" max="13347" width="11" style="232"/>
    <col min="13348" max="13348" width="11" style="232"/>
    <col min="13349" max="13349" width="11" style="232"/>
    <col min="13350" max="13350" width="11" style="232"/>
    <col min="13351" max="13351" width="11" style="232"/>
    <col min="13352" max="13352" width="11" style="232"/>
    <col min="13353" max="13353" width="11" style="232"/>
    <col min="13354" max="13354" width="11" style="232"/>
    <col min="13355" max="13355" width="11" style="232"/>
    <col min="13356" max="13356" width="11" style="232"/>
    <col min="13357" max="13357" width="11" style="232"/>
    <col min="13358" max="13358" width="11" style="232"/>
    <col min="13359" max="13359" width="11" style="232"/>
    <col min="13360" max="13360" width="11" style="232"/>
    <col min="13361" max="13361" width="11" style="232"/>
    <col min="13362" max="13362" width="11" style="232"/>
    <col min="13363" max="13363" width="11" style="232"/>
    <col min="13364" max="13364" width="11" style="232"/>
    <col min="13365" max="13365" width="11" style="232"/>
    <col min="13366" max="13366" width="11" style="232"/>
    <col min="13367" max="13367" width="11" style="232"/>
    <col min="13368" max="13368" width="11" style="232"/>
    <col min="13369" max="13369" width="11" style="232"/>
    <col min="13370" max="13370" width="11" style="232"/>
    <col min="13371" max="13371" width="11" style="232"/>
    <col min="13372" max="13372" width="11" style="232"/>
    <col min="13373" max="13373" width="11" style="232"/>
    <col min="13374" max="13374" width="11" style="232"/>
    <col min="13375" max="13375" width="11" style="232"/>
    <col min="13376" max="13376" width="11" style="232"/>
    <col min="13377" max="13377" width="11" style="232"/>
    <col min="13378" max="13378" width="11" style="232"/>
    <col min="13379" max="13379" width="11" style="232"/>
    <col min="13380" max="13380" width="11" style="232"/>
    <col min="13381" max="13381" width="11" style="232"/>
    <col min="13382" max="13382" width="11" style="232"/>
    <col min="13383" max="13383" width="11" style="232"/>
    <col min="13384" max="13384" width="11" style="232"/>
    <col min="13385" max="13385" width="11" style="232"/>
    <col min="13386" max="13386" width="11" style="232"/>
    <col min="13387" max="13387" width="11" style="232"/>
    <col min="13388" max="13388" width="11" style="232"/>
    <col min="13389" max="13389" width="11" style="232"/>
    <col min="13390" max="13390" width="11" style="232"/>
    <col min="13391" max="13391" width="11" style="232"/>
    <col min="13392" max="13392" width="11" style="232"/>
    <col min="13393" max="13393" width="11" style="232"/>
    <col min="13394" max="13394" width="11" style="232"/>
    <col min="13395" max="13395" width="11" style="232"/>
    <col min="13396" max="13396" width="11" style="232"/>
    <col min="13397" max="13397" width="11" style="232"/>
    <col min="13398" max="13398" width="11" style="232"/>
    <col min="13399" max="13399" width="11" style="232"/>
    <col min="13400" max="13400" width="11" style="232"/>
    <col min="13401" max="13401" width="11" style="232"/>
    <col min="13402" max="13402" width="11" style="232"/>
    <col min="13403" max="13403" width="11" style="232"/>
    <col min="13404" max="13404" width="11" style="232"/>
    <col min="13405" max="13405" width="11" style="232"/>
    <col min="13406" max="13406" width="11" style="232"/>
    <col min="13407" max="13407" width="11" style="232"/>
    <col min="13408" max="13408" width="11" style="232"/>
    <col min="13409" max="13409" width="11" style="232"/>
    <col min="13410" max="13410" width="11" style="232"/>
    <col min="13411" max="13411" width="11" style="232"/>
    <col min="13412" max="13412" width="11" style="232"/>
    <col min="13413" max="13413" width="11" style="232"/>
    <col min="13414" max="13414" width="11" style="232"/>
    <col min="13415" max="13415" width="11" style="232"/>
    <col min="13416" max="13416" width="11" style="232"/>
    <col min="13417" max="13417" width="11" style="232"/>
    <col min="13418" max="13418" width="11" style="232"/>
    <col min="13419" max="13419" width="11" style="232"/>
    <col min="13420" max="13420" width="11" style="232"/>
    <col min="13421" max="13421" width="11" style="232"/>
    <col min="13422" max="13422" width="11" style="232"/>
    <col min="13423" max="13423" width="11" style="232"/>
    <col min="13424" max="13424" width="11" style="232"/>
    <col min="13425" max="13425" width="11" style="232"/>
    <col min="13426" max="13426" width="11" style="232"/>
    <col min="13427" max="13427" width="11" style="232"/>
    <col min="13428" max="13428" width="11" style="232"/>
    <col min="13429" max="13429" width="11" style="232"/>
    <col min="13430" max="13430" width="11" style="232"/>
    <col min="13431" max="13431" width="11" style="232"/>
    <col min="13432" max="13432" width="11" style="232"/>
    <col min="13433" max="13433" width="11" style="232"/>
    <col min="13434" max="13434" width="11" style="232"/>
    <col min="13435" max="13435" width="11" style="232"/>
    <col min="13436" max="13436" width="11" style="232"/>
    <col min="13437" max="13437" width="11" style="232"/>
    <col min="13438" max="13438" width="11" style="232"/>
    <col min="13439" max="13439" width="11" style="232"/>
    <col min="13440" max="13440" width="11" style="232"/>
    <col min="13441" max="13441" width="11" style="232"/>
    <col min="13442" max="13442" width="11" style="232"/>
    <col min="13443" max="13443" width="11" style="232"/>
    <col min="13444" max="13444" width="11" style="232"/>
    <col min="13445" max="13445" width="11" style="232"/>
    <col min="13446" max="13446" width="11" style="232"/>
    <col min="13447" max="13447" width="11" style="232"/>
    <col min="13448" max="13448" width="11" style="232"/>
    <col min="13449" max="13449" width="11" style="232"/>
    <col min="13450" max="13450" width="11" style="232"/>
    <col min="13451" max="13451" width="11" style="232"/>
    <col min="13452" max="13452" width="11" style="232"/>
    <col min="13453" max="13453" width="11" style="232"/>
    <col min="13454" max="13454" width="11" style="232"/>
    <col min="13455" max="13455" width="11" style="232"/>
    <col min="13456" max="13456" width="11" style="232"/>
    <col min="13457" max="13457" width="11" style="232"/>
    <col min="13458" max="13458" width="11" style="232"/>
    <col min="13459" max="13459" width="11" style="232"/>
    <col min="13460" max="13460" width="11" style="232"/>
    <col min="13461" max="13461" width="11" style="232"/>
    <col min="13462" max="13462" width="11" style="232"/>
    <col min="13463" max="13463" width="11" style="232"/>
    <col min="13464" max="13464" width="11" style="232"/>
    <col min="13465" max="13465" width="11" style="232"/>
    <col min="13466" max="13466" width="11" style="232"/>
    <col min="13467" max="13467" width="11" style="232"/>
    <col min="13468" max="13468" width="11" style="232"/>
    <col min="13469" max="13469" width="11" style="232"/>
    <col min="13470" max="13470" width="11" style="232"/>
    <col min="13471" max="13471" width="11" style="232"/>
    <col min="13472" max="13472" width="11" style="232"/>
    <col min="13473" max="13473" width="11" style="232"/>
    <col min="13474" max="13474" width="11" style="232"/>
    <col min="13475" max="13475" width="11" style="232"/>
    <col min="13476" max="13476" width="11" style="232"/>
    <col min="13477" max="13477" width="11" style="232"/>
    <col min="13478" max="13478" width="11" style="232"/>
    <col min="13479" max="13479" width="11" style="232"/>
    <col min="13480" max="13480" width="11" style="232"/>
    <col min="13481" max="13481" width="11" style="232"/>
    <col min="13482" max="13482" width="11" style="232"/>
    <col min="13483" max="13483" width="11" style="232"/>
    <col min="13484" max="13484" width="11" style="232"/>
    <col min="13485" max="13485" width="11" style="232"/>
    <col min="13486" max="13486" width="11" style="232"/>
    <col min="13487" max="13487" width="11" style="232"/>
    <col min="13488" max="13488" width="11" style="232"/>
    <col min="13489" max="13489" width="11" style="232"/>
    <col min="13490" max="13490" width="11" style="232"/>
    <col min="13491" max="13491" width="11" style="232"/>
    <col min="13492" max="13492" width="11" style="232"/>
    <col min="13493" max="13493" width="11" style="232"/>
    <col min="13494" max="13494" width="11" style="232"/>
    <col min="13495" max="13495" width="11" style="232"/>
    <col min="13496" max="13496" width="11" style="232"/>
    <col min="13497" max="13497" width="11" style="232"/>
    <col min="13498" max="13498" width="11" style="232"/>
    <col min="13499" max="13499" width="11" style="232"/>
    <col min="13500" max="13500" width="11" style="232"/>
    <col min="13501" max="13501" width="11" style="232"/>
    <col min="13502" max="13502" width="11" style="232"/>
    <col min="13503" max="13503" width="11" style="232"/>
    <col min="13504" max="13504" width="11" style="232"/>
    <col min="13505" max="13505" width="11" style="232"/>
    <col min="13506" max="13506" width="11" style="232"/>
    <col min="13507" max="13507" width="11" style="232"/>
    <col min="13508" max="13508" width="11" style="232"/>
    <col min="13509" max="13509" width="11" style="232"/>
    <col min="13510" max="13510" width="11" style="232"/>
    <col min="13511" max="13511" width="11" style="232"/>
    <col min="13512" max="13512" width="11" style="232"/>
    <col min="13513" max="13513" width="11" style="232"/>
    <col min="13514" max="13514" width="11" style="232"/>
    <col min="13515" max="13515" width="11" style="232"/>
    <col min="13516" max="13516" width="11" style="232"/>
    <col min="13517" max="13517" width="11" style="232"/>
    <col min="13518" max="13518" width="11" style="232"/>
    <col min="13519" max="13519" width="11" style="232"/>
    <col min="13520" max="13520" width="11" style="232"/>
    <col min="13521" max="13521" width="11" style="232"/>
    <col min="13522" max="13522" width="11" style="232"/>
    <col min="13523" max="13523" width="11" style="232"/>
    <col min="13524" max="13524" width="11" style="232"/>
    <col min="13525" max="13525" width="11" style="232"/>
    <col min="13526" max="13526" width="11" style="232"/>
    <col min="13527" max="13527" width="11" style="232"/>
    <col min="13528" max="13528" width="11" style="232"/>
    <col min="13529" max="13529" width="11" style="232"/>
    <col min="13530" max="13530" width="11" style="232"/>
    <col min="13531" max="13531" width="11" style="232"/>
    <col min="13532" max="13532" width="11" style="232"/>
    <col min="13533" max="13533" width="11" style="232"/>
    <col min="13534" max="13534" width="11" style="232"/>
    <col min="13535" max="13535" width="11" style="232"/>
    <col min="13536" max="13536" width="11" style="232"/>
    <col min="13537" max="13537" width="11" style="232"/>
    <col min="13538" max="13538" width="11" style="232"/>
    <col min="13539" max="13539" width="11" style="232"/>
    <col min="13540" max="13540" width="11" style="232"/>
    <col min="13541" max="13541" width="11" style="232"/>
    <col min="13542" max="13542" width="11" style="232"/>
    <col min="13543" max="13543" width="11" style="232"/>
    <col min="13544" max="13544" width="11" style="232"/>
    <col min="13545" max="13545" width="11" style="232"/>
    <col min="13546" max="13546" width="11" style="232"/>
    <col min="13547" max="13547" width="11" style="232"/>
    <col min="13548" max="13548" width="11" style="232"/>
    <col min="13549" max="13549" width="11" style="232"/>
    <col min="13550" max="13550" width="11" style="232"/>
    <col min="13551" max="13551" width="11" style="232"/>
    <col min="13552" max="13552" width="11" style="232"/>
    <col min="13553" max="13553" width="11" style="232"/>
    <col min="13554" max="13554" width="11" style="232"/>
    <col min="13555" max="13555" width="11" style="232"/>
    <col min="13556" max="13556" width="11" style="232"/>
    <col min="13557" max="13557" width="10.140625" customWidth="true" style="232"/>
    <col min="13558" max="13558" width="10.140625" customWidth="true" style="232"/>
    <col min="13559" max="13559" width="10.140625" customWidth="true" style="232"/>
    <col min="13560" max="13560" width="10.140625" customWidth="true" style="232"/>
    <col min="13561" max="13561" width="10.140625" customWidth="true" style="232"/>
    <col min="13562" max="13562" width="10.140625" customWidth="true" style="232"/>
    <col min="13563" max="13563" width="10.140625" customWidth="true" style="232"/>
    <col min="13564" max="13564" width="10.140625" customWidth="true" style="232"/>
    <col min="13565" max="13565" width="10.140625" customWidth="true" style="232"/>
    <col min="13566" max="13566" width="11" style="232"/>
    <col min="13567" max="13567" width="11" style="232"/>
    <col min="13568" max="13568" width="11" style="232"/>
    <col min="13569" max="13569" width="11" style="232"/>
    <col min="13570" max="13570" width="11" style="232"/>
    <col min="13571" max="13571" width="11" style="232"/>
    <col min="13572" max="13572" width="11" style="232"/>
    <col min="13573" max="13573" width="11" style="232"/>
    <col min="13574" max="13574" width="11" style="232"/>
    <col min="13575" max="13575" width="11" style="232"/>
    <col min="13576" max="13576" width="11" style="232"/>
    <col min="13577" max="13577" width="11" style="232"/>
    <col min="13578" max="13578" width="11" style="232"/>
    <col min="13579" max="13579" width="11" style="232"/>
    <col min="13580" max="13580" width="11" style="232"/>
    <col min="13581" max="13581" width="11" style="232"/>
    <col min="13582" max="13582" width="11" style="232"/>
    <col min="13583" max="13583" width="11" style="232"/>
    <col min="13584" max="13584" width="11" style="232"/>
    <col min="13585" max="13585" width="11" style="232"/>
    <col min="13586" max="13586" width="11" style="232"/>
    <col min="13587" max="13587" width="11" style="232"/>
    <col min="13588" max="13588" width="11" style="232"/>
    <col min="13589" max="13589" width="11" style="232"/>
    <col min="13590" max="13590" width="11" style="232"/>
    <col min="13591" max="13591" width="11" style="232"/>
    <col min="13592" max="13592" width="11" style="232"/>
    <col min="13593" max="13593" width="11" style="232"/>
    <col min="13594" max="13594" width="11" style="232"/>
    <col min="13595" max="13595" width="11" style="232"/>
    <col min="13596" max="13596" width="11" style="232"/>
    <col min="13597" max="13597" width="11" style="232"/>
    <col min="13598" max="13598" width="11" style="232"/>
    <col min="13599" max="13599" width="11" style="232"/>
    <col min="13600" max="13600" width="11" style="232"/>
    <col min="13601" max="13601" width="11" style="232"/>
    <col min="13602" max="13602" width="11" style="232"/>
    <col min="13603" max="13603" width="11" style="232"/>
    <col min="13604" max="13604" width="11" style="232"/>
    <col min="13605" max="13605" width="11" style="232"/>
    <col min="13606" max="13606" width="11" style="232"/>
    <col min="13607" max="13607" width="11" style="232"/>
    <col min="13608" max="13608" width="11" style="232"/>
    <col min="13609" max="13609" width="11" style="232"/>
    <col min="13610" max="13610" width="11" style="232"/>
    <col min="13611" max="13611" width="11" style="232"/>
    <col min="13612" max="13612" width="11" style="232"/>
    <col min="13613" max="13613" width="11" style="232"/>
    <col min="13614" max="13614" width="11" style="232"/>
    <col min="13615" max="13615" width="11" style="232"/>
    <col min="13616" max="13616" width="11" style="232"/>
    <col min="13617" max="13617" width="11" style="232"/>
    <col min="13618" max="13618" width="11" style="232"/>
    <col min="13619" max="13619" width="11" style="232"/>
    <col min="13620" max="13620" width="11" style="232"/>
    <col min="13621" max="13621" width="11" style="232"/>
    <col min="13622" max="13622" width="11" style="232"/>
    <col min="13623" max="13623" width="11" style="232"/>
    <col min="13624" max="13624" width="11" style="232"/>
    <col min="13625" max="13625" width="11" style="232"/>
    <col min="13626" max="13626" width="11" style="232"/>
    <col min="13627" max="13627" width="11" style="232"/>
    <col min="13628" max="13628" width="11" style="232"/>
    <col min="13629" max="13629" width="11" style="232"/>
    <col min="13630" max="13630" width="11" style="232"/>
    <col min="13631" max="13631" width="11" style="232"/>
    <col min="13632" max="13632" width="11" style="232"/>
    <col min="13633" max="13633" width="11" style="232"/>
    <col min="13634" max="13634" width="11" style="232"/>
    <col min="13635" max="13635" width="11" style="232"/>
    <col min="13636" max="13636" width="11" style="232"/>
    <col min="13637" max="13637" width="11" style="232"/>
    <col min="13638" max="13638" width="11" style="232"/>
    <col min="13639" max="13639" width="11" style="232"/>
    <col min="13640" max="13640" width="11" style="232"/>
    <col min="13641" max="13641" width="11" style="232"/>
    <col min="13642" max="13642" width="11" style="232"/>
    <col min="13643" max="13643" width="11" style="232"/>
    <col min="13644" max="13644" width="11" style="232"/>
    <col min="13645" max="13645" width="11" style="232"/>
    <col min="13646" max="13646" width="11" style="232"/>
    <col min="13647" max="13647" width="11" style="232"/>
    <col min="13648" max="13648" width="11" style="232"/>
    <col min="13649" max="13649" width="11" style="232"/>
    <col min="13650" max="13650" width="11" style="232"/>
    <col min="13651" max="13651" width="11" style="232"/>
    <col min="13652" max="13652" width="11" style="232"/>
    <col min="13653" max="13653" width="11" style="232"/>
    <col min="13654" max="13654" width="11" style="232"/>
    <col min="13655" max="13655" width="11" style="232"/>
    <col min="13656" max="13656" width="11" style="232"/>
    <col min="13657" max="13657" width="11" style="232"/>
    <col min="13658" max="13658" width="11" style="232"/>
    <col min="13659" max="13659" width="11" style="232"/>
    <col min="13660" max="13660" width="11" style="232"/>
    <col min="13661" max="13661" width="11" style="232"/>
    <col min="13662" max="13662" width="11" style="232"/>
    <col min="13663" max="13663" width="11" style="232"/>
    <col min="13664" max="13664" width="11" style="232"/>
    <col min="13665" max="13665" width="11" style="232"/>
    <col min="13666" max="13666" width="11" style="232"/>
    <col min="13667" max="13667" width="11" style="232"/>
    <col min="13668" max="13668" width="11" style="232"/>
    <col min="13669" max="13669" width="11" style="232"/>
    <col min="13670" max="13670" width="11" style="232"/>
    <col min="13671" max="13671" width="11" style="232"/>
    <col min="13672" max="13672" width="11" style="232"/>
    <col min="13673" max="13673" width="11" style="232"/>
    <col min="13674" max="13674" width="11" style="232"/>
    <col min="13675" max="13675" width="11" style="232"/>
    <col min="13676" max="13676" width="11" style="232"/>
    <col min="13677" max="13677" width="11" style="232"/>
    <col min="13678" max="13678" width="11" style="232"/>
    <col min="13679" max="13679" width="11" style="232"/>
    <col min="13680" max="13680" width="11" style="232"/>
    <col min="13681" max="13681" width="11" style="232"/>
    <col min="13682" max="13682" width="11" style="232"/>
    <col min="13683" max="13683" width="11" style="232"/>
    <col min="13684" max="13684" width="11" style="232"/>
    <col min="13685" max="13685" width="11" style="232"/>
    <col min="13686" max="13686" width="11" style="232"/>
    <col min="13687" max="13687" width="11" style="232"/>
    <col min="13688" max="13688" width="11" style="232"/>
    <col min="13689" max="13689" width="11" style="232"/>
    <col min="13690" max="13690" width="11" style="232"/>
    <col min="13691" max="13691" width="11" style="232"/>
    <col min="13692" max="13692" width="11" style="232"/>
    <col min="13693" max="13693" width="11" style="232"/>
    <col min="13694" max="13694" width="11" style="232"/>
    <col min="13695" max="13695" width="11" style="232"/>
    <col min="13696" max="13696" width="11" style="232"/>
    <col min="13697" max="13697" width="11" style="232"/>
    <col min="13698" max="13698" width="11" style="232"/>
    <col min="13699" max="13699" width="11" style="232"/>
    <col min="13700" max="13700" width="11" style="232"/>
    <col min="13701" max="13701" width="11" style="232"/>
    <col min="13702" max="13702" width="11" style="232"/>
    <col min="13703" max="13703" width="11" style="232"/>
    <col min="13704" max="13704" width="11" style="232"/>
    <col min="13705" max="13705" width="11" style="232"/>
    <col min="13706" max="13706" width="11" style="232"/>
    <col min="13707" max="13707" width="11" style="232"/>
    <col min="13708" max="13708" width="11" style="232"/>
    <col min="13709" max="13709" width="11" style="232"/>
    <col min="13710" max="13710" width="11" style="232"/>
    <col min="13711" max="13711" width="11" style="232"/>
    <col min="13712" max="13712" width="11" style="232"/>
    <col min="13713" max="13713" width="11" style="232"/>
    <col min="13714" max="13714" width="11" style="232"/>
    <col min="13715" max="13715" width="11" style="232"/>
    <col min="13716" max="13716" width="11" style="232"/>
    <col min="13717" max="13717" width="11" style="232"/>
    <col min="13718" max="13718" width="11" style="232"/>
    <col min="13719" max="13719" width="11" style="232"/>
    <col min="13720" max="13720" width="11" style="232"/>
    <col min="13721" max="13721" width="11" style="232"/>
    <col min="13722" max="13722" width="11" style="232"/>
    <col min="13723" max="13723" width="11" style="232"/>
    <col min="13724" max="13724" width="11" style="232"/>
    <col min="13725" max="13725" width="11" style="232"/>
    <col min="13726" max="13726" width="11" style="232"/>
    <col min="13727" max="13727" width="11" style="232"/>
    <col min="13728" max="13728" width="11" style="232"/>
    <col min="13729" max="13729" width="11" style="232"/>
    <col min="13730" max="13730" width="11" style="232"/>
    <col min="13731" max="13731" width="11" style="232"/>
    <col min="13732" max="13732" width="11" style="232"/>
    <col min="13733" max="13733" width="11" style="232"/>
    <col min="13734" max="13734" width="11" style="232"/>
    <col min="13735" max="13735" width="11" style="232"/>
    <col min="13736" max="13736" width="11" style="232"/>
    <col min="13737" max="13737" width="11" style="232"/>
    <col min="13738" max="13738" width="11" style="232"/>
    <col min="13739" max="13739" width="11" style="232"/>
    <col min="13740" max="13740" width="11" style="232"/>
    <col min="13741" max="13741" width="11" style="232"/>
    <col min="13742" max="13742" width="11" style="232"/>
    <col min="13743" max="13743" width="11" style="232"/>
    <col min="13744" max="13744" width="11" style="232"/>
    <col min="13745" max="13745" width="11" style="232"/>
    <col min="13746" max="13746" width="11" style="232"/>
    <col min="13747" max="13747" width="11" style="232"/>
    <col min="13748" max="13748" width="11" style="232"/>
    <col min="13749" max="13749" width="11" style="232"/>
    <col min="13750" max="13750" width="11" style="232"/>
    <col min="13751" max="13751" width="11" style="232"/>
    <col min="13752" max="13752" width="11" style="232"/>
    <col min="13753" max="13753" width="11" style="232"/>
    <col min="13754" max="13754" width="11" style="232"/>
    <col min="13755" max="13755" width="11" style="232"/>
    <col min="13756" max="13756" width="11" style="232"/>
    <col min="13757" max="13757" width="11" style="232"/>
    <col min="13758" max="13758" width="11" style="232"/>
    <col min="13759" max="13759" width="11" style="232"/>
    <col min="13760" max="13760" width="11" style="232"/>
    <col min="13761" max="13761" width="11" style="232"/>
    <col min="13762" max="13762" width="11" style="232"/>
    <col min="13763" max="13763" width="11" style="232"/>
    <col min="13764" max="13764" width="11" style="232"/>
    <col min="13765" max="13765" width="11" style="232"/>
    <col min="13766" max="13766" width="11" style="232"/>
    <col min="13767" max="13767" width="11" style="232"/>
    <col min="13768" max="13768" width="11" style="232"/>
    <col min="13769" max="13769" width="11" style="232"/>
    <col min="13770" max="13770" width="11" style="232"/>
    <col min="13771" max="13771" width="11" style="232"/>
    <col min="13772" max="13772" width="11" style="232"/>
    <col min="13773" max="13773" width="11" style="232"/>
    <col min="13774" max="13774" width="11" style="232"/>
    <col min="13775" max="13775" width="11" style="232"/>
    <col min="13776" max="13776" width="11" style="232"/>
    <col min="13777" max="13777" width="11" style="232"/>
    <col min="13778" max="13778" width="11" style="232"/>
    <col min="13779" max="13779" width="11" style="232"/>
    <col min="13780" max="13780" width="11" style="232"/>
    <col min="13781" max="13781" width="11" style="232"/>
    <col min="13782" max="13782" width="11" style="232"/>
    <col min="13783" max="13783" width="11" style="232"/>
    <col min="13784" max="13784" width="11" style="232"/>
    <col min="13785" max="13785" width="11" style="232"/>
    <col min="13786" max="13786" width="11" style="232"/>
    <col min="13787" max="13787" width="11" style="232"/>
    <col min="13788" max="13788" width="11" style="232"/>
    <col min="13789" max="13789" width="11" style="232"/>
    <col min="13790" max="13790" width="11" style="232"/>
    <col min="13791" max="13791" width="11" style="232"/>
    <col min="13792" max="13792" width="11" style="232"/>
    <col min="13793" max="13793" width="11" style="232"/>
    <col min="13794" max="13794" width="11" style="232"/>
    <col min="13795" max="13795" width="11" style="232"/>
    <col min="13796" max="13796" width="11" style="232"/>
    <col min="13797" max="13797" width="11" style="232"/>
    <col min="13798" max="13798" width="11" style="232"/>
    <col min="13799" max="13799" width="11" style="232"/>
    <col min="13800" max="13800" width="11" style="232"/>
    <col min="13801" max="13801" width="11" style="232"/>
    <col min="13802" max="13802" width="11" style="232"/>
    <col min="13803" max="13803" width="11" style="232"/>
    <col min="13804" max="13804" width="11" style="232"/>
    <col min="13805" max="13805" width="11" style="232"/>
    <col min="13806" max="13806" width="11" style="232"/>
    <col min="13807" max="13807" width="11" style="232"/>
    <col min="13808" max="13808" width="11" style="232"/>
    <col min="13809" max="13809" width="11" style="232"/>
    <col min="13810" max="13810" width="11" style="232"/>
    <col min="13811" max="13811" width="11" style="232"/>
    <col min="13812" max="13812" width="11" style="232"/>
    <col min="13813" max="13813" width="10.140625" customWidth="true" style="232"/>
    <col min="13814" max="13814" width="10.140625" customWidth="true" style="232"/>
    <col min="13815" max="13815" width="10.140625" customWidth="true" style="232"/>
    <col min="13816" max="13816" width="10.140625" customWidth="true" style="232"/>
    <col min="13817" max="13817" width="10.140625" customWidth="true" style="232"/>
    <col min="13818" max="13818" width="10.140625" customWidth="true" style="232"/>
    <col min="13819" max="13819" width="10.140625" customWidth="true" style="232"/>
    <col min="13820" max="13820" width="10.140625" customWidth="true" style="232"/>
    <col min="13821" max="13821" width="10.140625" customWidth="true" style="232"/>
    <col min="13822" max="13822" width="11" style="232"/>
    <col min="13823" max="13823" width="11" style="232"/>
    <col min="13824" max="13824" width="11" style="232"/>
    <col min="13825" max="13825" width="11" style="232"/>
    <col min="13826" max="13826" width="11" style="232"/>
    <col min="13827" max="13827" width="11" style="232"/>
    <col min="13828" max="13828" width="11" style="232"/>
    <col min="13829" max="13829" width="11" style="232"/>
    <col min="13830" max="13830" width="11" style="232"/>
    <col min="13831" max="13831" width="11" style="232"/>
    <col min="13832" max="13832" width="11" style="232"/>
    <col min="13833" max="13833" width="11" style="232"/>
    <col min="13834" max="13834" width="11" style="232"/>
    <col min="13835" max="13835" width="11" style="232"/>
    <col min="13836" max="13836" width="11" style="232"/>
    <col min="13837" max="13837" width="11" style="232"/>
    <col min="13838" max="13838" width="11" style="232"/>
    <col min="13839" max="13839" width="11" style="232"/>
    <col min="13840" max="13840" width="11" style="232"/>
    <col min="13841" max="13841" width="11" style="232"/>
    <col min="13842" max="13842" width="11" style="232"/>
    <col min="13843" max="13843" width="11" style="232"/>
    <col min="13844" max="13844" width="11" style="232"/>
    <col min="13845" max="13845" width="11" style="232"/>
    <col min="13846" max="13846" width="11" style="232"/>
    <col min="13847" max="13847" width="11" style="232"/>
    <col min="13848" max="13848" width="11" style="232"/>
    <col min="13849" max="13849" width="11" style="232"/>
    <col min="13850" max="13850" width="11" style="232"/>
    <col min="13851" max="13851" width="11" style="232"/>
    <col min="13852" max="13852" width="11" style="232"/>
    <col min="13853" max="13853" width="11" style="232"/>
    <col min="13854" max="13854" width="11" style="232"/>
    <col min="13855" max="13855" width="11" style="232"/>
    <col min="13856" max="13856" width="11" style="232"/>
    <col min="13857" max="13857" width="11" style="232"/>
    <col min="13858" max="13858" width="11" style="232"/>
    <col min="13859" max="13859" width="11" style="232"/>
    <col min="13860" max="13860" width="11" style="232"/>
    <col min="13861" max="13861" width="11" style="232"/>
    <col min="13862" max="13862" width="11" style="232"/>
    <col min="13863" max="13863" width="11" style="232"/>
    <col min="13864" max="13864" width="11" style="232"/>
    <col min="13865" max="13865" width="11" style="232"/>
    <col min="13866" max="13866" width="11" style="232"/>
    <col min="13867" max="13867" width="11" style="232"/>
    <col min="13868" max="13868" width="11" style="232"/>
    <col min="13869" max="13869" width="11" style="232"/>
    <col min="13870" max="13870" width="11" style="232"/>
    <col min="13871" max="13871" width="11" style="232"/>
    <col min="13872" max="13872" width="11" style="232"/>
    <col min="13873" max="13873" width="11" style="232"/>
    <col min="13874" max="13874" width="11" style="232"/>
    <col min="13875" max="13875" width="11" style="232"/>
    <col min="13876" max="13876" width="11" style="232"/>
    <col min="13877" max="13877" width="11" style="232"/>
    <col min="13878" max="13878" width="11" style="232"/>
    <col min="13879" max="13879" width="11" style="232"/>
    <col min="13880" max="13880" width="11" style="232"/>
    <col min="13881" max="13881" width="11" style="232"/>
    <col min="13882" max="13882" width="11" style="232"/>
    <col min="13883" max="13883" width="11" style="232"/>
    <col min="13884" max="13884" width="11" style="232"/>
    <col min="13885" max="13885" width="11" style="232"/>
    <col min="13886" max="13886" width="11" style="232"/>
    <col min="13887" max="13887" width="11" style="232"/>
    <col min="13888" max="13888" width="11" style="232"/>
    <col min="13889" max="13889" width="11" style="232"/>
    <col min="13890" max="13890" width="11" style="232"/>
    <col min="13891" max="13891" width="11" style="232"/>
    <col min="13892" max="13892" width="11" style="232"/>
    <col min="13893" max="13893" width="11" style="232"/>
    <col min="13894" max="13894" width="11" style="232"/>
    <col min="13895" max="13895" width="11" style="232"/>
    <col min="13896" max="13896" width="11" style="232"/>
    <col min="13897" max="13897" width="11" style="232"/>
    <col min="13898" max="13898" width="11" style="232"/>
    <col min="13899" max="13899" width="11" style="232"/>
    <col min="13900" max="13900" width="11" style="232"/>
    <col min="13901" max="13901" width="11" style="232"/>
    <col min="13902" max="13902" width="11" style="232"/>
    <col min="13903" max="13903" width="11" style="232"/>
    <col min="13904" max="13904" width="11" style="232"/>
    <col min="13905" max="13905" width="11" style="232"/>
    <col min="13906" max="13906" width="11" style="232"/>
    <col min="13907" max="13907" width="11" style="232"/>
    <col min="13908" max="13908" width="11" style="232"/>
    <col min="13909" max="13909" width="11" style="232"/>
    <col min="13910" max="13910" width="11" style="232"/>
    <col min="13911" max="13911" width="11" style="232"/>
    <col min="13912" max="13912" width="11" style="232"/>
    <col min="13913" max="13913" width="11" style="232"/>
    <col min="13914" max="13914" width="11" style="232"/>
    <col min="13915" max="13915" width="11" style="232"/>
    <col min="13916" max="13916" width="11" style="232"/>
    <col min="13917" max="13917" width="11" style="232"/>
    <col min="13918" max="13918" width="11" style="232"/>
    <col min="13919" max="13919" width="11" style="232"/>
    <col min="13920" max="13920" width="11" style="232"/>
    <col min="13921" max="13921" width="11" style="232"/>
    <col min="13922" max="13922" width="11" style="232"/>
    <col min="13923" max="13923" width="11" style="232"/>
    <col min="13924" max="13924" width="11" style="232"/>
    <col min="13925" max="13925" width="11" style="232"/>
    <col min="13926" max="13926" width="11" style="232"/>
    <col min="13927" max="13927" width="11" style="232"/>
    <col min="13928" max="13928" width="11" style="232"/>
    <col min="13929" max="13929" width="11" style="232"/>
    <col min="13930" max="13930" width="11" style="232"/>
    <col min="13931" max="13931" width="11" style="232"/>
    <col min="13932" max="13932" width="11" style="232"/>
    <col min="13933" max="13933" width="11" style="232"/>
    <col min="13934" max="13934" width="11" style="232"/>
    <col min="13935" max="13935" width="11" style="232"/>
    <col min="13936" max="13936" width="11" style="232"/>
    <col min="13937" max="13937" width="11" style="232"/>
    <col min="13938" max="13938" width="11" style="232"/>
    <col min="13939" max="13939" width="11" style="232"/>
    <col min="13940" max="13940" width="11" style="232"/>
    <col min="13941" max="13941" width="11" style="232"/>
    <col min="13942" max="13942" width="11" style="232"/>
    <col min="13943" max="13943" width="11" style="232"/>
    <col min="13944" max="13944" width="11" style="232"/>
    <col min="13945" max="13945" width="11" style="232"/>
    <col min="13946" max="13946" width="11" style="232"/>
    <col min="13947" max="13947" width="11" style="232"/>
    <col min="13948" max="13948" width="11" style="232"/>
    <col min="13949" max="13949" width="11" style="232"/>
    <col min="13950" max="13950" width="11" style="232"/>
    <col min="13951" max="13951" width="11" style="232"/>
    <col min="13952" max="13952" width="11" style="232"/>
    <col min="13953" max="13953" width="11" style="232"/>
    <col min="13954" max="13954" width="11" style="232"/>
    <col min="13955" max="13955" width="11" style="232"/>
    <col min="13956" max="13956" width="11" style="232"/>
    <col min="13957" max="13957" width="11" style="232"/>
    <col min="13958" max="13958" width="11" style="232"/>
    <col min="13959" max="13959" width="11" style="232"/>
    <col min="13960" max="13960" width="11" style="232"/>
    <col min="13961" max="13961" width="11" style="232"/>
    <col min="13962" max="13962" width="11" style="232"/>
    <col min="13963" max="13963" width="11" style="232"/>
    <col min="13964" max="13964" width="11" style="232"/>
    <col min="13965" max="13965" width="11" style="232"/>
    <col min="13966" max="13966" width="11" style="232"/>
    <col min="13967" max="13967" width="11" style="232"/>
    <col min="13968" max="13968" width="11" style="232"/>
    <col min="13969" max="13969" width="11" style="232"/>
    <col min="13970" max="13970" width="11" style="232"/>
    <col min="13971" max="13971" width="11" style="232"/>
    <col min="13972" max="13972" width="11" style="232"/>
    <col min="13973" max="13973" width="11" style="232"/>
    <col min="13974" max="13974" width="11" style="232"/>
    <col min="13975" max="13975" width="11" style="232"/>
    <col min="13976" max="13976" width="11" style="232"/>
    <col min="13977" max="13977" width="11" style="232"/>
    <col min="13978" max="13978" width="11" style="232"/>
    <col min="13979" max="13979" width="11" style="232"/>
    <col min="13980" max="13980" width="11" style="232"/>
    <col min="13981" max="13981" width="11" style="232"/>
    <col min="13982" max="13982" width="11" style="232"/>
    <col min="13983" max="13983" width="11" style="232"/>
    <col min="13984" max="13984" width="11" style="232"/>
    <col min="13985" max="13985" width="11" style="232"/>
    <col min="13986" max="13986" width="11" style="232"/>
    <col min="13987" max="13987" width="11" style="232"/>
    <col min="13988" max="13988" width="11" style="232"/>
    <col min="13989" max="13989" width="11" style="232"/>
    <col min="13990" max="13990" width="11" style="232"/>
    <col min="13991" max="13991" width="11" style="232"/>
    <col min="13992" max="13992" width="11" style="232"/>
    <col min="13993" max="13993" width="11" style="232"/>
    <col min="13994" max="13994" width="11" style="232"/>
    <col min="13995" max="13995" width="11" style="232"/>
    <col min="13996" max="13996" width="11" style="232"/>
    <col min="13997" max="13997" width="11" style="232"/>
    <col min="13998" max="13998" width="11" style="232"/>
    <col min="13999" max="13999" width="11" style="232"/>
    <col min="14000" max="14000" width="11" style="232"/>
    <col min="14001" max="14001" width="11" style="232"/>
    <col min="14002" max="14002" width="11" style="232"/>
    <col min="14003" max="14003" width="11" style="232"/>
    <col min="14004" max="14004" width="11" style="232"/>
    <col min="14005" max="14005" width="11" style="232"/>
    <col min="14006" max="14006" width="11" style="232"/>
    <col min="14007" max="14007" width="11" style="232"/>
    <col min="14008" max="14008" width="11" style="232"/>
    <col min="14009" max="14009" width="11" style="232"/>
    <col min="14010" max="14010" width="11" style="232"/>
    <col min="14011" max="14011" width="11" style="232"/>
    <col min="14012" max="14012" width="11" style="232"/>
    <col min="14013" max="14013" width="11" style="232"/>
    <col min="14014" max="14014" width="11" style="232"/>
    <col min="14015" max="14015" width="11" style="232"/>
    <col min="14016" max="14016" width="11" style="232"/>
    <col min="14017" max="14017" width="11" style="232"/>
    <col min="14018" max="14018" width="11" style="232"/>
    <col min="14019" max="14019" width="11" style="232"/>
    <col min="14020" max="14020" width="11" style="232"/>
    <col min="14021" max="14021" width="11" style="232"/>
    <col min="14022" max="14022" width="11" style="232"/>
    <col min="14023" max="14023" width="11" style="232"/>
    <col min="14024" max="14024" width="11" style="232"/>
    <col min="14025" max="14025" width="11" style="232"/>
    <col min="14026" max="14026" width="11" style="232"/>
    <col min="14027" max="14027" width="11" style="232"/>
    <col min="14028" max="14028" width="11" style="232"/>
    <col min="14029" max="14029" width="11" style="232"/>
    <col min="14030" max="14030" width="11" style="232"/>
    <col min="14031" max="14031" width="11" style="232"/>
    <col min="14032" max="14032" width="11" style="232"/>
    <col min="14033" max="14033" width="11" style="232"/>
    <col min="14034" max="14034" width="11" style="232"/>
    <col min="14035" max="14035" width="11" style="232"/>
    <col min="14036" max="14036" width="11" style="232"/>
    <col min="14037" max="14037" width="11" style="232"/>
    <col min="14038" max="14038" width="11" style="232"/>
    <col min="14039" max="14039" width="11" style="232"/>
    <col min="14040" max="14040" width="11" style="232"/>
    <col min="14041" max="14041" width="11" style="232"/>
    <col min="14042" max="14042" width="11" style="232"/>
    <col min="14043" max="14043" width="11" style="232"/>
    <col min="14044" max="14044" width="11" style="232"/>
    <col min="14045" max="14045" width="11" style="232"/>
    <col min="14046" max="14046" width="11" style="232"/>
    <col min="14047" max="14047" width="11" style="232"/>
    <col min="14048" max="14048" width="11" style="232"/>
    <col min="14049" max="14049" width="11" style="232"/>
    <col min="14050" max="14050" width="11" style="232"/>
    <col min="14051" max="14051" width="11" style="232"/>
    <col min="14052" max="14052" width="11" style="232"/>
    <col min="14053" max="14053" width="11" style="232"/>
    <col min="14054" max="14054" width="11" style="232"/>
    <col min="14055" max="14055" width="11" style="232"/>
    <col min="14056" max="14056" width="11" style="232"/>
    <col min="14057" max="14057" width="11" style="232"/>
    <col min="14058" max="14058" width="11" style="232"/>
    <col min="14059" max="14059" width="11" style="232"/>
    <col min="14060" max="14060" width="11" style="232"/>
    <col min="14061" max="14061" width="11" style="232"/>
    <col min="14062" max="14062" width="11" style="232"/>
    <col min="14063" max="14063" width="11" style="232"/>
    <col min="14064" max="14064" width="11" style="232"/>
    <col min="14065" max="14065" width="11" style="232"/>
    <col min="14066" max="14066" width="11" style="232"/>
    <col min="14067" max="14067" width="11" style="232"/>
    <col min="14068" max="14068" width="11" style="232"/>
    <col min="14069" max="14069" width="10.140625" customWidth="true" style="232"/>
    <col min="14070" max="14070" width="10.140625" customWidth="true" style="232"/>
    <col min="14071" max="14071" width="10.140625" customWidth="true" style="232"/>
    <col min="14072" max="14072" width="10.140625" customWidth="true" style="232"/>
    <col min="14073" max="14073" width="10.140625" customWidth="true" style="232"/>
    <col min="14074" max="14074" width="10.140625" customWidth="true" style="232"/>
    <col min="14075" max="14075" width="10.140625" customWidth="true" style="232"/>
    <col min="14076" max="14076" width="10.140625" customWidth="true" style="232"/>
    <col min="14077" max="14077" width="10.140625" customWidth="true" style="232"/>
    <col min="14078" max="14078" width="11" style="232"/>
    <col min="14079" max="14079" width="11" style="232"/>
    <col min="14080" max="14080" width="11" style="232"/>
    <col min="14081" max="14081" width="11" style="232"/>
    <col min="14082" max="14082" width="11" style="232"/>
    <col min="14083" max="14083" width="11" style="232"/>
    <col min="14084" max="14084" width="11" style="232"/>
    <col min="14085" max="14085" width="11" style="232"/>
    <col min="14086" max="14086" width="11" style="232"/>
    <col min="14087" max="14087" width="11" style="232"/>
    <col min="14088" max="14088" width="11" style="232"/>
    <col min="14089" max="14089" width="11" style="232"/>
    <col min="14090" max="14090" width="11" style="232"/>
    <col min="14091" max="14091" width="11" style="232"/>
    <col min="14092" max="14092" width="11" style="232"/>
    <col min="14093" max="14093" width="11" style="232"/>
    <col min="14094" max="14094" width="11" style="232"/>
    <col min="14095" max="14095" width="11" style="232"/>
    <col min="14096" max="14096" width="11" style="232"/>
    <col min="14097" max="14097" width="11" style="232"/>
    <col min="14098" max="14098" width="11" style="232"/>
    <col min="14099" max="14099" width="11" style="232"/>
    <col min="14100" max="14100" width="11" style="232"/>
    <col min="14101" max="14101" width="11" style="232"/>
    <col min="14102" max="14102" width="11" style="232"/>
    <col min="14103" max="14103" width="11" style="232"/>
    <col min="14104" max="14104" width="11" style="232"/>
    <col min="14105" max="14105" width="11" style="232"/>
    <col min="14106" max="14106" width="11" style="232"/>
    <col min="14107" max="14107" width="11" style="232"/>
    <col min="14108" max="14108" width="11" style="232"/>
    <col min="14109" max="14109" width="11" style="232"/>
    <col min="14110" max="14110" width="11" style="232"/>
    <col min="14111" max="14111" width="11" style="232"/>
    <col min="14112" max="14112" width="11" style="232"/>
    <col min="14113" max="14113" width="11" style="232"/>
    <col min="14114" max="14114" width="11" style="232"/>
    <col min="14115" max="14115" width="11" style="232"/>
    <col min="14116" max="14116" width="11" style="232"/>
    <col min="14117" max="14117" width="11" style="232"/>
    <col min="14118" max="14118" width="11" style="232"/>
    <col min="14119" max="14119" width="11" style="232"/>
    <col min="14120" max="14120" width="11" style="232"/>
    <col min="14121" max="14121" width="11" style="232"/>
    <col min="14122" max="14122" width="11" style="232"/>
    <col min="14123" max="14123" width="11" style="232"/>
    <col min="14124" max="14124" width="11" style="232"/>
    <col min="14125" max="14125" width="11" style="232"/>
    <col min="14126" max="14126" width="11" style="232"/>
    <col min="14127" max="14127" width="11" style="232"/>
    <col min="14128" max="14128" width="11" style="232"/>
    <col min="14129" max="14129" width="11" style="232"/>
    <col min="14130" max="14130" width="11" style="232"/>
    <col min="14131" max="14131" width="11" style="232"/>
    <col min="14132" max="14132" width="11" style="232"/>
    <col min="14133" max="14133" width="11" style="232"/>
    <col min="14134" max="14134" width="11" style="232"/>
    <col min="14135" max="14135" width="11" style="232"/>
    <col min="14136" max="14136" width="11" style="232"/>
    <col min="14137" max="14137" width="11" style="232"/>
    <col min="14138" max="14138" width="11" style="232"/>
    <col min="14139" max="14139" width="11" style="232"/>
    <col min="14140" max="14140" width="11" style="232"/>
    <col min="14141" max="14141" width="11" style="232"/>
    <col min="14142" max="14142" width="11" style="232"/>
    <col min="14143" max="14143" width="11" style="232"/>
    <col min="14144" max="14144" width="11" style="232"/>
    <col min="14145" max="14145" width="11" style="232"/>
    <col min="14146" max="14146" width="11" style="232"/>
    <col min="14147" max="14147" width="11" style="232"/>
    <col min="14148" max="14148" width="11" style="232"/>
    <col min="14149" max="14149" width="11" style="232"/>
    <col min="14150" max="14150" width="11" style="232"/>
    <col min="14151" max="14151" width="11" style="232"/>
    <col min="14152" max="14152" width="11" style="232"/>
    <col min="14153" max="14153" width="11" style="232"/>
    <col min="14154" max="14154" width="11" style="232"/>
    <col min="14155" max="14155" width="11" style="232"/>
    <col min="14156" max="14156" width="11" style="232"/>
    <col min="14157" max="14157" width="11" style="232"/>
    <col min="14158" max="14158" width="11" style="232"/>
    <col min="14159" max="14159" width="11" style="232"/>
    <col min="14160" max="14160" width="11" style="232"/>
    <col min="14161" max="14161" width="11" style="232"/>
    <col min="14162" max="14162" width="11" style="232"/>
    <col min="14163" max="14163" width="11" style="232"/>
    <col min="14164" max="14164" width="11" style="232"/>
    <col min="14165" max="14165" width="11" style="232"/>
    <col min="14166" max="14166" width="11" style="232"/>
    <col min="14167" max="14167" width="11" style="232"/>
    <col min="14168" max="14168" width="11" style="232"/>
    <col min="14169" max="14169" width="11" style="232"/>
    <col min="14170" max="14170" width="11" style="232"/>
    <col min="14171" max="14171" width="11" style="232"/>
    <col min="14172" max="14172" width="11" style="232"/>
    <col min="14173" max="14173" width="11" style="232"/>
    <col min="14174" max="14174" width="11" style="232"/>
    <col min="14175" max="14175" width="11" style="232"/>
    <col min="14176" max="14176" width="11" style="232"/>
    <col min="14177" max="14177" width="11" style="232"/>
    <col min="14178" max="14178" width="11" style="232"/>
    <col min="14179" max="14179" width="11" style="232"/>
    <col min="14180" max="14180" width="11" style="232"/>
    <col min="14181" max="14181" width="11" style="232"/>
    <col min="14182" max="14182" width="11" style="232"/>
    <col min="14183" max="14183" width="11" style="232"/>
    <col min="14184" max="14184" width="11" style="232"/>
    <col min="14185" max="14185" width="11" style="232"/>
    <col min="14186" max="14186" width="11" style="232"/>
    <col min="14187" max="14187" width="11" style="232"/>
    <col min="14188" max="14188" width="11" style="232"/>
    <col min="14189" max="14189" width="11" style="232"/>
    <col min="14190" max="14190" width="11" style="232"/>
    <col min="14191" max="14191" width="11" style="232"/>
    <col min="14192" max="14192" width="11" style="232"/>
    <col min="14193" max="14193" width="11" style="232"/>
    <col min="14194" max="14194" width="11" style="232"/>
    <col min="14195" max="14195" width="11" style="232"/>
    <col min="14196" max="14196" width="11" style="232"/>
    <col min="14197" max="14197" width="11" style="232"/>
    <col min="14198" max="14198" width="11" style="232"/>
    <col min="14199" max="14199" width="11" style="232"/>
    <col min="14200" max="14200" width="11" style="232"/>
    <col min="14201" max="14201" width="11" style="232"/>
    <col min="14202" max="14202" width="11" style="232"/>
    <col min="14203" max="14203" width="11" style="232"/>
    <col min="14204" max="14204" width="11" style="232"/>
    <col min="14205" max="14205" width="11" style="232"/>
    <col min="14206" max="14206" width="11" style="232"/>
    <col min="14207" max="14207" width="11" style="232"/>
    <col min="14208" max="14208" width="11" style="232"/>
    <col min="14209" max="14209" width="11" style="232"/>
    <col min="14210" max="14210" width="11" style="232"/>
    <col min="14211" max="14211" width="11" style="232"/>
    <col min="14212" max="14212" width="11" style="232"/>
    <col min="14213" max="14213" width="11" style="232"/>
    <col min="14214" max="14214" width="11" style="232"/>
    <col min="14215" max="14215" width="11" style="232"/>
    <col min="14216" max="14216" width="11" style="232"/>
    <col min="14217" max="14217" width="11" style="232"/>
    <col min="14218" max="14218" width="11" style="232"/>
    <col min="14219" max="14219" width="11" style="232"/>
    <col min="14220" max="14220" width="11" style="232"/>
    <col min="14221" max="14221" width="11" style="232"/>
    <col min="14222" max="14222" width="11" style="232"/>
    <col min="14223" max="14223" width="11" style="232"/>
    <col min="14224" max="14224" width="11" style="232"/>
    <col min="14225" max="14225" width="11" style="232"/>
    <col min="14226" max="14226" width="11" style="232"/>
    <col min="14227" max="14227" width="11" style="232"/>
    <col min="14228" max="14228" width="11" style="232"/>
    <col min="14229" max="14229" width="11" style="232"/>
    <col min="14230" max="14230" width="11" style="232"/>
    <col min="14231" max="14231" width="11" style="232"/>
    <col min="14232" max="14232" width="11" style="232"/>
    <col min="14233" max="14233" width="11" style="232"/>
    <col min="14234" max="14234" width="11" style="232"/>
    <col min="14235" max="14235" width="11" style="232"/>
    <col min="14236" max="14236" width="11" style="232"/>
    <col min="14237" max="14237" width="11" style="232"/>
    <col min="14238" max="14238" width="11" style="232"/>
    <col min="14239" max="14239" width="11" style="232"/>
    <col min="14240" max="14240" width="11" style="232"/>
    <col min="14241" max="14241" width="11" style="232"/>
    <col min="14242" max="14242" width="11" style="232"/>
    <col min="14243" max="14243" width="11" style="232"/>
    <col min="14244" max="14244" width="11" style="232"/>
    <col min="14245" max="14245" width="11" style="232"/>
    <col min="14246" max="14246" width="11" style="232"/>
    <col min="14247" max="14247" width="11" style="232"/>
    <col min="14248" max="14248" width="11" style="232"/>
    <col min="14249" max="14249" width="11" style="232"/>
    <col min="14250" max="14250" width="11" style="232"/>
    <col min="14251" max="14251" width="11" style="232"/>
    <col min="14252" max="14252" width="11" style="232"/>
    <col min="14253" max="14253" width="11" style="232"/>
    <col min="14254" max="14254" width="11" style="232"/>
    <col min="14255" max="14255" width="11" style="232"/>
    <col min="14256" max="14256" width="11" style="232"/>
    <col min="14257" max="14257" width="11" style="232"/>
    <col min="14258" max="14258" width="11" style="232"/>
    <col min="14259" max="14259" width="11" style="232"/>
    <col min="14260" max="14260" width="11" style="232"/>
    <col min="14261" max="14261" width="11" style="232"/>
    <col min="14262" max="14262" width="11" style="232"/>
    <col min="14263" max="14263" width="11" style="232"/>
    <col min="14264" max="14264" width="11" style="232"/>
    <col min="14265" max="14265" width="11" style="232"/>
    <col min="14266" max="14266" width="11" style="232"/>
    <col min="14267" max="14267" width="11" style="232"/>
    <col min="14268" max="14268" width="11" style="232"/>
    <col min="14269" max="14269" width="11" style="232"/>
    <col min="14270" max="14270" width="11" style="232"/>
    <col min="14271" max="14271" width="11" style="232"/>
    <col min="14272" max="14272" width="11" style="232"/>
    <col min="14273" max="14273" width="11" style="232"/>
    <col min="14274" max="14274" width="11" style="232"/>
    <col min="14275" max="14275" width="11" style="232"/>
    <col min="14276" max="14276" width="11" style="232"/>
    <col min="14277" max="14277" width="11" style="232"/>
    <col min="14278" max="14278" width="11" style="232"/>
    <col min="14279" max="14279" width="11" style="232"/>
    <col min="14280" max="14280" width="11" style="232"/>
    <col min="14281" max="14281" width="11" style="232"/>
    <col min="14282" max="14282" width="11" style="232"/>
    <col min="14283" max="14283" width="11" style="232"/>
    <col min="14284" max="14284" width="11" style="232"/>
    <col min="14285" max="14285" width="11" style="232"/>
    <col min="14286" max="14286" width="11" style="232"/>
    <col min="14287" max="14287" width="11" style="232"/>
    <col min="14288" max="14288" width="11" style="232"/>
    <col min="14289" max="14289" width="11" style="232"/>
    <col min="14290" max="14290" width="11" style="232"/>
    <col min="14291" max="14291" width="11" style="232"/>
    <col min="14292" max="14292" width="11" style="232"/>
    <col min="14293" max="14293" width="11" style="232"/>
    <col min="14294" max="14294" width="11" style="232"/>
    <col min="14295" max="14295" width="11" style="232"/>
    <col min="14296" max="14296" width="11" style="232"/>
    <col min="14297" max="14297" width="11" style="232"/>
    <col min="14298" max="14298" width="11" style="232"/>
    <col min="14299" max="14299" width="11" style="232"/>
    <col min="14300" max="14300" width="11" style="232"/>
    <col min="14301" max="14301" width="11" style="232"/>
    <col min="14302" max="14302" width="11" style="232"/>
    <col min="14303" max="14303" width="11" style="232"/>
    <col min="14304" max="14304" width="11" style="232"/>
    <col min="14305" max="14305" width="11" style="232"/>
    <col min="14306" max="14306" width="11" style="232"/>
    <col min="14307" max="14307" width="11" style="232"/>
    <col min="14308" max="14308" width="11" style="232"/>
    <col min="14309" max="14309" width="11" style="232"/>
    <col min="14310" max="14310" width="11" style="232"/>
    <col min="14311" max="14311" width="11" style="232"/>
    <col min="14312" max="14312" width="11" style="232"/>
    <col min="14313" max="14313" width="11" style="232"/>
    <col min="14314" max="14314" width="11" style="232"/>
    <col min="14315" max="14315" width="11" style="232"/>
    <col min="14316" max="14316" width="11" style="232"/>
    <col min="14317" max="14317" width="11" style="232"/>
    <col min="14318" max="14318" width="11" style="232"/>
    <col min="14319" max="14319" width="11" style="232"/>
    <col min="14320" max="14320" width="11" style="232"/>
    <col min="14321" max="14321" width="11" style="232"/>
    <col min="14322" max="14322" width="11" style="232"/>
    <col min="14323" max="14323" width="11" style="232"/>
    <col min="14324" max="14324" width="11" style="232"/>
    <col min="14325" max="14325" width="10.140625" customWidth="true" style="232"/>
    <col min="14326" max="14326" width="10.140625" customWidth="true" style="232"/>
    <col min="14327" max="14327" width="10.140625" customWidth="true" style="232"/>
    <col min="14328" max="14328" width="10.140625" customWidth="true" style="232"/>
    <col min="14329" max="14329" width="10.140625" customWidth="true" style="232"/>
    <col min="14330" max="14330" width="10.140625" customWidth="true" style="232"/>
    <col min="14331" max="14331" width="10.140625" customWidth="true" style="232"/>
    <col min="14332" max="14332" width="10.140625" customWidth="true" style="232"/>
    <col min="14333" max="14333" width="10.140625" customWidth="true" style="232"/>
    <col min="14334" max="14334" width="11" style="232"/>
    <col min="14335" max="14335" width="11" style="232"/>
    <col min="14336" max="14336" width="11" style="232"/>
    <col min="14337" max="14337" width="11" style="232"/>
    <col min="14338" max="14338" width="11" style="232"/>
    <col min="14339" max="14339" width="11" style="232"/>
    <col min="14340" max="14340" width="11" style="232"/>
    <col min="14341" max="14341" width="11" style="232"/>
    <col min="14342" max="14342" width="11" style="232"/>
    <col min="14343" max="14343" width="11" style="232"/>
    <col min="14344" max="14344" width="11" style="232"/>
    <col min="14345" max="14345" width="11" style="232"/>
    <col min="14346" max="14346" width="11" style="232"/>
    <col min="14347" max="14347" width="11" style="232"/>
    <col min="14348" max="14348" width="11" style="232"/>
    <col min="14349" max="14349" width="11" style="232"/>
    <col min="14350" max="14350" width="11" style="232"/>
    <col min="14351" max="14351" width="11" style="232"/>
    <col min="14352" max="14352" width="11" style="232"/>
    <col min="14353" max="14353" width="11" style="232"/>
    <col min="14354" max="14354" width="11" style="232"/>
    <col min="14355" max="14355" width="11" style="232"/>
    <col min="14356" max="14356" width="11" style="232"/>
    <col min="14357" max="14357" width="11" style="232"/>
    <col min="14358" max="14358" width="11" style="232"/>
    <col min="14359" max="14359" width="11" style="232"/>
    <col min="14360" max="14360" width="11" style="232"/>
    <col min="14361" max="14361" width="11" style="232"/>
    <col min="14362" max="14362" width="11" style="232"/>
    <col min="14363" max="14363" width="11" style="232"/>
    <col min="14364" max="14364" width="11" style="232"/>
    <col min="14365" max="14365" width="11" style="232"/>
    <col min="14366" max="14366" width="11" style="232"/>
    <col min="14367" max="14367" width="11" style="232"/>
    <col min="14368" max="14368" width="11" style="232"/>
    <col min="14369" max="14369" width="11" style="232"/>
    <col min="14370" max="14370" width="11" style="232"/>
    <col min="14371" max="14371" width="11" style="232"/>
    <col min="14372" max="14372" width="11" style="232"/>
    <col min="14373" max="14373" width="11" style="232"/>
    <col min="14374" max="14374" width="11" style="232"/>
    <col min="14375" max="14375" width="11" style="232"/>
    <col min="14376" max="14376" width="11" style="232"/>
    <col min="14377" max="14377" width="11" style="232"/>
    <col min="14378" max="14378" width="11" style="232"/>
    <col min="14379" max="14379" width="11" style="232"/>
    <col min="14380" max="14380" width="11" style="232"/>
    <col min="14381" max="14381" width="11" style="232"/>
    <col min="14382" max="14382" width="11" style="232"/>
    <col min="14383" max="14383" width="11" style="232"/>
    <col min="14384" max="14384" width="11" style="232"/>
    <col min="14385" max="14385" width="11" style="232"/>
    <col min="14386" max="14386" width="11" style="232"/>
    <col min="14387" max="14387" width="11" style="232"/>
    <col min="14388" max="14388" width="11" style="232"/>
    <col min="14389" max="14389" width="11" style="232"/>
    <col min="14390" max="14390" width="11" style="232"/>
    <col min="14391" max="14391" width="11" style="232"/>
    <col min="14392" max="14392" width="11" style="232"/>
    <col min="14393" max="14393" width="11" style="232"/>
    <col min="14394" max="14394" width="11" style="232"/>
    <col min="14395" max="14395" width="11" style="232"/>
    <col min="14396" max="14396" width="11" style="232"/>
    <col min="14397" max="14397" width="11" style="232"/>
    <col min="14398" max="14398" width="11" style="232"/>
    <col min="14399" max="14399" width="11" style="232"/>
    <col min="14400" max="14400" width="11" style="232"/>
    <col min="14401" max="14401" width="11" style="232"/>
    <col min="14402" max="14402" width="11" style="232"/>
    <col min="14403" max="14403" width="11" style="232"/>
    <col min="14404" max="14404" width="11" style="232"/>
    <col min="14405" max="14405" width="11" style="232"/>
    <col min="14406" max="14406" width="11" style="232"/>
    <col min="14407" max="14407" width="11" style="232"/>
    <col min="14408" max="14408" width="11" style="232"/>
    <col min="14409" max="14409" width="11" style="232"/>
    <col min="14410" max="14410" width="11" style="232"/>
    <col min="14411" max="14411" width="11" style="232"/>
    <col min="14412" max="14412" width="11" style="232"/>
    <col min="14413" max="14413" width="11" style="232"/>
    <col min="14414" max="14414" width="11" style="232"/>
    <col min="14415" max="14415" width="11" style="232"/>
    <col min="14416" max="14416" width="11" style="232"/>
    <col min="14417" max="14417" width="11" style="232"/>
    <col min="14418" max="14418" width="11" style="232"/>
    <col min="14419" max="14419" width="11" style="232"/>
    <col min="14420" max="14420" width="11" style="232"/>
    <col min="14421" max="14421" width="11" style="232"/>
    <col min="14422" max="14422" width="11" style="232"/>
    <col min="14423" max="14423" width="11" style="232"/>
    <col min="14424" max="14424" width="11" style="232"/>
    <col min="14425" max="14425" width="11" style="232"/>
    <col min="14426" max="14426" width="11" style="232"/>
    <col min="14427" max="14427" width="11" style="232"/>
    <col min="14428" max="14428" width="11" style="232"/>
    <col min="14429" max="14429" width="11" style="232"/>
    <col min="14430" max="14430" width="11" style="232"/>
    <col min="14431" max="14431" width="11" style="232"/>
    <col min="14432" max="14432" width="11" style="232"/>
    <col min="14433" max="14433" width="11" style="232"/>
    <col min="14434" max="14434" width="11" style="232"/>
    <col min="14435" max="14435" width="11" style="232"/>
    <col min="14436" max="14436" width="11" style="232"/>
    <col min="14437" max="14437" width="11" style="232"/>
    <col min="14438" max="14438" width="11" style="232"/>
    <col min="14439" max="14439" width="11" style="232"/>
    <col min="14440" max="14440" width="11" style="232"/>
    <col min="14441" max="14441" width="11" style="232"/>
    <col min="14442" max="14442" width="11" style="232"/>
    <col min="14443" max="14443" width="11" style="232"/>
    <col min="14444" max="14444" width="11" style="232"/>
    <col min="14445" max="14445" width="11" style="232"/>
    <col min="14446" max="14446" width="11" style="232"/>
    <col min="14447" max="14447" width="11" style="232"/>
    <col min="14448" max="14448" width="11" style="232"/>
    <col min="14449" max="14449" width="11" style="232"/>
    <col min="14450" max="14450" width="11" style="232"/>
    <col min="14451" max="14451" width="11" style="232"/>
    <col min="14452" max="14452" width="11" style="232"/>
    <col min="14453" max="14453" width="11" style="232"/>
    <col min="14454" max="14454" width="11" style="232"/>
    <col min="14455" max="14455" width="11" style="232"/>
    <col min="14456" max="14456" width="11" style="232"/>
    <col min="14457" max="14457" width="11" style="232"/>
    <col min="14458" max="14458" width="11" style="232"/>
    <col min="14459" max="14459" width="11" style="232"/>
    <col min="14460" max="14460" width="11" style="232"/>
    <col min="14461" max="14461" width="11" style="232"/>
    <col min="14462" max="14462" width="11" style="232"/>
    <col min="14463" max="14463" width="11" style="232"/>
    <col min="14464" max="14464" width="11" style="232"/>
    <col min="14465" max="14465" width="11" style="232"/>
    <col min="14466" max="14466" width="11" style="232"/>
    <col min="14467" max="14467" width="11" style="232"/>
    <col min="14468" max="14468" width="11" style="232"/>
    <col min="14469" max="14469" width="11" style="232"/>
    <col min="14470" max="14470" width="11" style="232"/>
    <col min="14471" max="14471" width="11" style="232"/>
    <col min="14472" max="14472" width="11" style="232"/>
    <col min="14473" max="14473" width="11" style="232"/>
    <col min="14474" max="14474" width="11" style="232"/>
    <col min="14475" max="14475" width="11" style="232"/>
    <col min="14476" max="14476" width="11" style="232"/>
    <col min="14477" max="14477" width="11" style="232"/>
    <col min="14478" max="14478" width="11" style="232"/>
    <col min="14479" max="14479" width="11" style="232"/>
    <col min="14480" max="14480" width="11" style="232"/>
    <col min="14481" max="14481" width="11" style="232"/>
    <col min="14482" max="14482" width="11" style="232"/>
    <col min="14483" max="14483" width="11" style="232"/>
    <col min="14484" max="14484" width="11" style="232"/>
    <col min="14485" max="14485" width="11" style="232"/>
    <col min="14486" max="14486" width="11" style="232"/>
    <col min="14487" max="14487" width="11" style="232"/>
    <col min="14488" max="14488" width="11" style="232"/>
    <col min="14489" max="14489" width="11" style="232"/>
    <col min="14490" max="14490" width="11" style="232"/>
    <col min="14491" max="14491" width="11" style="232"/>
    <col min="14492" max="14492" width="11" style="232"/>
    <col min="14493" max="14493" width="11" style="232"/>
    <col min="14494" max="14494" width="11" style="232"/>
    <col min="14495" max="14495" width="11" style="232"/>
    <col min="14496" max="14496" width="11" style="232"/>
    <col min="14497" max="14497" width="11" style="232"/>
    <col min="14498" max="14498" width="11" style="232"/>
    <col min="14499" max="14499" width="11" style="232"/>
    <col min="14500" max="14500" width="11" style="232"/>
    <col min="14501" max="14501" width="11" style="232"/>
    <col min="14502" max="14502" width="11" style="232"/>
    <col min="14503" max="14503" width="11" style="232"/>
    <col min="14504" max="14504" width="11" style="232"/>
    <col min="14505" max="14505" width="11" style="232"/>
    <col min="14506" max="14506" width="11" style="232"/>
    <col min="14507" max="14507" width="11" style="232"/>
    <col min="14508" max="14508" width="11" style="232"/>
    <col min="14509" max="14509" width="11" style="232"/>
    <col min="14510" max="14510" width="11" style="232"/>
    <col min="14511" max="14511" width="11" style="232"/>
    <col min="14512" max="14512" width="11" style="232"/>
    <col min="14513" max="14513" width="11" style="232"/>
    <col min="14514" max="14514" width="11" style="232"/>
    <col min="14515" max="14515" width="11" style="232"/>
    <col min="14516" max="14516" width="11" style="232"/>
    <col min="14517" max="14517" width="11" style="232"/>
    <col min="14518" max="14518" width="11" style="232"/>
    <col min="14519" max="14519" width="11" style="232"/>
    <col min="14520" max="14520" width="11" style="232"/>
    <col min="14521" max="14521" width="11" style="232"/>
    <col min="14522" max="14522" width="11" style="232"/>
    <col min="14523" max="14523" width="11" style="232"/>
    <col min="14524" max="14524" width="11" style="232"/>
    <col min="14525" max="14525" width="11" style="232"/>
    <col min="14526" max="14526" width="11" style="232"/>
    <col min="14527" max="14527" width="11" style="232"/>
    <col min="14528" max="14528" width="11" style="232"/>
    <col min="14529" max="14529" width="11" style="232"/>
    <col min="14530" max="14530" width="11" style="232"/>
    <col min="14531" max="14531" width="11" style="232"/>
    <col min="14532" max="14532" width="11" style="232"/>
    <col min="14533" max="14533" width="11" style="232"/>
    <col min="14534" max="14534" width="11" style="232"/>
    <col min="14535" max="14535" width="11" style="232"/>
    <col min="14536" max="14536" width="11" style="232"/>
    <col min="14537" max="14537" width="11" style="232"/>
    <col min="14538" max="14538" width="11" style="232"/>
    <col min="14539" max="14539" width="11" style="232"/>
    <col min="14540" max="14540" width="11" style="232"/>
    <col min="14541" max="14541" width="11" style="232"/>
    <col min="14542" max="14542" width="11" style="232"/>
    <col min="14543" max="14543" width="11" style="232"/>
    <col min="14544" max="14544" width="11" style="232"/>
    <col min="14545" max="14545" width="11" style="232"/>
    <col min="14546" max="14546" width="11" style="232"/>
    <col min="14547" max="14547" width="11" style="232"/>
    <col min="14548" max="14548" width="11" style="232"/>
    <col min="14549" max="14549" width="11" style="232"/>
    <col min="14550" max="14550" width="11" style="232"/>
    <col min="14551" max="14551" width="11" style="232"/>
    <col min="14552" max="14552" width="11" style="232"/>
    <col min="14553" max="14553" width="11" style="232"/>
    <col min="14554" max="14554" width="11" style="232"/>
    <col min="14555" max="14555" width="11" style="232"/>
    <col min="14556" max="14556" width="11" style="232"/>
    <col min="14557" max="14557" width="11" style="232"/>
    <col min="14558" max="14558" width="11" style="232"/>
    <col min="14559" max="14559" width="11" style="232"/>
    <col min="14560" max="14560" width="11" style="232"/>
    <col min="14561" max="14561" width="11" style="232"/>
    <col min="14562" max="14562" width="11" style="232"/>
    <col min="14563" max="14563" width="11" style="232"/>
    <col min="14564" max="14564" width="11" style="232"/>
    <col min="14565" max="14565" width="11" style="232"/>
    <col min="14566" max="14566" width="11" style="232"/>
    <col min="14567" max="14567" width="11" style="232"/>
    <col min="14568" max="14568" width="11" style="232"/>
    <col min="14569" max="14569" width="11" style="232"/>
    <col min="14570" max="14570" width="11" style="232"/>
    <col min="14571" max="14571" width="11" style="232"/>
    <col min="14572" max="14572" width="11" style="232"/>
    <col min="14573" max="14573" width="11" style="232"/>
    <col min="14574" max="14574" width="11" style="232"/>
    <col min="14575" max="14575" width="11" style="232"/>
    <col min="14576" max="14576" width="11" style="232"/>
    <col min="14577" max="14577" width="11" style="232"/>
    <col min="14578" max="14578" width="11" style="232"/>
    <col min="14579" max="14579" width="11" style="232"/>
    <col min="14580" max="14580" width="11" style="232"/>
    <col min="14581" max="14581" width="10.140625" customWidth="true" style="232"/>
    <col min="14582" max="14582" width="10.140625" customWidth="true" style="232"/>
    <col min="14583" max="14583" width="10.140625" customWidth="true" style="232"/>
    <col min="14584" max="14584" width="10.140625" customWidth="true" style="232"/>
    <col min="14585" max="14585" width="10.140625" customWidth="true" style="232"/>
    <col min="14586" max="14586" width="10.140625" customWidth="true" style="232"/>
    <col min="14587" max="14587" width="10.140625" customWidth="true" style="232"/>
    <col min="14588" max="14588" width="10.140625" customWidth="true" style="232"/>
    <col min="14589" max="14589" width="10.140625" customWidth="true" style="232"/>
    <col min="14590" max="14590" width="11" style="232"/>
    <col min="14591" max="14591" width="11" style="232"/>
    <col min="14592" max="14592" width="11" style="232"/>
    <col min="14593" max="14593" width="11" style="232"/>
    <col min="14594" max="14594" width="11" style="232"/>
    <col min="14595" max="14595" width="11" style="232"/>
    <col min="14596" max="14596" width="11" style="232"/>
    <col min="14597" max="14597" width="11" style="232"/>
    <col min="14598" max="14598" width="11" style="232"/>
    <col min="14599" max="14599" width="11" style="232"/>
    <col min="14600" max="14600" width="11" style="232"/>
    <col min="14601" max="14601" width="11" style="232"/>
    <col min="14602" max="14602" width="11" style="232"/>
    <col min="14603" max="14603" width="11" style="232"/>
    <col min="14604" max="14604" width="11" style="232"/>
    <col min="14605" max="14605" width="11" style="232"/>
    <col min="14606" max="14606" width="11" style="232"/>
    <col min="14607" max="14607" width="11" style="232"/>
    <col min="14608" max="14608" width="11" style="232"/>
    <col min="14609" max="14609" width="11" style="232"/>
    <col min="14610" max="14610" width="11" style="232"/>
    <col min="14611" max="14611" width="11" style="232"/>
    <col min="14612" max="14612" width="11" style="232"/>
    <col min="14613" max="14613" width="11" style="232"/>
    <col min="14614" max="14614" width="11" style="232"/>
    <col min="14615" max="14615" width="11" style="232"/>
    <col min="14616" max="14616" width="11" style="232"/>
    <col min="14617" max="14617" width="11" style="232"/>
    <col min="14618" max="14618" width="11" style="232"/>
    <col min="14619" max="14619" width="11" style="232"/>
    <col min="14620" max="14620" width="11" style="232"/>
    <col min="14621" max="14621" width="11" style="232"/>
    <col min="14622" max="14622" width="11" style="232"/>
    <col min="14623" max="14623" width="11" style="232"/>
    <col min="14624" max="14624" width="11" style="232"/>
    <col min="14625" max="14625" width="11" style="232"/>
    <col min="14626" max="14626" width="11" style="232"/>
    <col min="14627" max="14627" width="11" style="232"/>
    <col min="14628" max="14628" width="11" style="232"/>
    <col min="14629" max="14629" width="11" style="232"/>
    <col min="14630" max="14630" width="11" style="232"/>
    <col min="14631" max="14631" width="11" style="232"/>
    <col min="14632" max="14632" width="11" style="232"/>
    <col min="14633" max="14633" width="11" style="232"/>
    <col min="14634" max="14634" width="11" style="232"/>
    <col min="14635" max="14635" width="11" style="232"/>
    <col min="14636" max="14636" width="11" style="232"/>
    <col min="14637" max="14637" width="11" style="232"/>
    <col min="14638" max="14638" width="11" style="232"/>
    <col min="14639" max="14639" width="11" style="232"/>
    <col min="14640" max="14640" width="11" style="232"/>
    <col min="14641" max="14641" width="11" style="232"/>
    <col min="14642" max="14642" width="11" style="232"/>
    <col min="14643" max="14643" width="11" style="232"/>
    <col min="14644" max="14644" width="11" style="232"/>
    <col min="14645" max="14645" width="11" style="232"/>
    <col min="14646" max="14646" width="11" style="232"/>
    <col min="14647" max="14647" width="11" style="232"/>
    <col min="14648" max="14648" width="11" style="232"/>
    <col min="14649" max="14649" width="11" style="232"/>
    <col min="14650" max="14650" width="11" style="232"/>
    <col min="14651" max="14651" width="11" style="232"/>
    <col min="14652" max="14652" width="11" style="232"/>
    <col min="14653" max="14653" width="11" style="232"/>
    <col min="14654" max="14654" width="11" style="232"/>
    <col min="14655" max="14655" width="11" style="232"/>
    <col min="14656" max="14656" width="11" style="232"/>
    <col min="14657" max="14657" width="11" style="232"/>
    <col min="14658" max="14658" width="11" style="232"/>
    <col min="14659" max="14659" width="11" style="232"/>
    <col min="14660" max="14660" width="11" style="232"/>
    <col min="14661" max="14661" width="11" style="232"/>
    <col min="14662" max="14662" width="11" style="232"/>
    <col min="14663" max="14663" width="11" style="232"/>
    <col min="14664" max="14664" width="11" style="232"/>
    <col min="14665" max="14665" width="11" style="232"/>
    <col min="14666" max="14666" width="11" style="232"/>
    <col min="14667" max="14667" width="11" style="232"/>
    <col min="14668" max="14668" width="11" style="232"/>
    <col min="14669" max="14669" width="11" style="232"/>
    <col min="14670" max="14670" width="11" style="232"/>
    <col min="14671" max="14671" width="11" style="232"/>
    <col min="14672" max="14672" width="11" style="232"/>
    <col min="14673" max="14673" width="11" style="232"/>
    <col min="14674" max="14674" width="11" style="232"/>
    <col min="14675" max="14675" width="11" style="232"/>
    <col min="14676" max="14676" width="11" style="232"/>
    <col min="14677" max="14677" width="11" style="232"/>
    <col min="14678" max="14678" width="11" style="232"/>
    <col min="14679" max="14679" width="11" style="232"/>
    <col min="14680" max="14680" width="11" style="232"/>
    <col min="14681" max="14681" width="11" style="232"/>
    <col min="14682" max="14682" width="11" style="232"/>
    <col min="14683" max="14683" width="11" style="232"/>
    <col min="14684" max="14684" width="11" style="232"/>
    <col min="14685" max="14685" width="11" style="232"/>
    <col min="14686" max="14686" width="11" style="232"/>
    <col min="14687" max="14687" width="11" style="232"/>
    <col min="14688" max="14688" width="11" style="232"/>
    <col min="14689" max="14689" width="11" style="232"/>
    <col min="14690" max="14690" width="11" style="232"/>
    <col min="14691" max="14691" width="11" style="232"/>
    <col min="14692" max="14692" width="11" style="232"/>
    <col min="14693" max="14693" width="11" style="232"/>
    <col min="14694" max="14694" width="11" style="232"/>
    <col min="14695" max="14695" width="11" style="232"/>
    <col min="14696" max="14696" width="11" style="232"/>
    <col min="14697" max="14697" width="11" style="232"/>
    <col min="14698" max="14698" width="11" style="232"/>
    <col min="14699" max="14699" width="11" style="232"/>
    <col min="14700" max="14700" width="11" style="232"/>
    <col min="14701" max="14701" width="11" style="232"/>
    <col min="14702" max="14702" width="11" style="232"/>
    <col min="14703" max="14703" width="11" style="232"/>
    <col min="14704" max="14704" width="11" style="232"/>
    <col min="14705" max="14705" width="11" style="232"/>
    <col min="14706" max="14706" width="11" style="232"/>
    <col min="14707" max="14707" width="11" style="232"/>
    <col min="14708" max="14708" width="11" style="232"/>
    <col min="14709" max="14709" width="11" style="232"/>
    <col min="14710" max="14710" width="11" style="232"/>
    <col min="14711" max="14711" width="11" style="232"/>
    <col min="14712" max="14712" width="11" style="232"/>
    <col min="14713" max="14713" width="11" style="232"/>
    <col min="14714" max="14714" width="11" style="232"/>
    <col min="14715" max="14715" width="11" style="232"/>
    <col min="14716" max="14716" width="11" style="232"/>
    <col min="14717" max="14717" width="11" style="232"/>
    <col min="14718" max="14718" width="11" style="232"/>
    <col min="14719" max="14719" width="11" style="232"/>
    <col min="14720" max="14720" width="11" style="232"/>
    <col min="14721" max="14721" width="11" style="232"/>
    <col min="14722" max="14722" width="11" style="232"/>
    <col min="14723" max="14723" width="11" style="232"/>
    <col min="14724" max="14724" width="11" style="232"/>
    <col min="14725" max="14725" width="11" style="232"/>
    <col min="14726" max="14726" width="11" style="232"/>
    <col min="14727" max="14727" width="11" style="232"/>
    <col min="14728" max="14728" width="11" style="232"/>
    <col min="14729" max="14729" width="11" style="232"/>
    <col min="14730" max="14730" width="11" style="232"/>
    <col min="14731" max="14731" width="11" style="232"/>
    <col min="14732" max="14732" width="11" style="232"/>
    <col min="14733" max="14733" width="11" style="232"/>
    <col min="14734" max="14734" width="11" style="232"/>
    <col min="14735" max="14735" width="11" style="232"/>
    <col min="14736" max="14736" width="11" style="232"/>
    <col min="14737" max="14737" width="11" style="232"/>
    <col min="14738" max="14738" width="11" style="232"/>
    <col min="14739" max="14739" width="11" style="232"/>
    <col min="14740" max="14740" width="11" style="232"/>
    <col min="14741" max="14741" width="11" style="232"/>
    <col min="14742" max="14742" width="11" style="232"/>
    <col min="14743" max="14743" width="11" style="232"/>
    <col min="14744" max="14744" width="11" style="232"/>
    <col min="14745" max="14745" width="11" style="232"/>
    <col min="14746" max="14746" width="11" style="232"/>
    <col min="14747" max="14747" width="11" style="232"/>
    <col min="14748" max="14748" width="11" style="232"/>
    <col min="14749" max="14749" width="11" style="232"/>
    <col min="14750" max="14750" width="11" style="232"/>
    <col min="14751" max="14751" width="11" style="232"/>
    <col min="14752" max="14752" width="11" style="232"/>
    <col min="14753" max="14753" width="11" style="232"/>
    <col min="14754" max="14754" width="11" style="232"/>
    <col min="14755" max="14755" width="11" style="232"/>
    <col min="14756" max="14756" width="11" style="232"/>
    <col min="14757" max="14757" width="11" style="232"/>
    <col min="14758" max="14758" width="11" style="232"/>
    <col min="14759" max="14759" width="11" style="232"/>
    <col min="14760" max="14760" width="11" style="232"/>
    <col min="14761" max="14761" width="11" style="232"/>
    <col min="14762" max="14762" width="11" style="232"/>
    <col min="14763" max="14763" width="11" style="232"/>
    <col min="14764" max="14764" width="11" style="232"/>
    <col min="14765" max="14765" width="11" style="232"/>
    <col min="14766" max="14766" width="11" style="232"/>
    <col min="14767" max="14767" width="11" style="232"/>
    <col min="14768" max="14768" width="11" style="232"/>
    <col min="14769" max="14769" width="11" style="232"/>
    <col min="14770" max="14770" width="11" style="232"/>
    <col min="14771" max="14771" width="11" style="232"/>
    <col min="14772" max="14772" width="11" style="232"/>
    <col min="14773" max="14773" width="11" style="232"/>
    <col min="14774" max="14774" width="11" style="232"/>
    <col min="14775" max="14775" width="11" style="232"/>
    <col min="14776" max="14776" width="11" style="232"/>
    <col min="14777" max="14777" width="11" style="232"/>
    <col min="14778" max="14778" width="11" style="232"/>
    <col min="14779" max="14779" width="11" style="232"/>
    <col min="14780" max="14780" width="11" style="232"/>
    <col min="14781" max="14781" width="11" style="232"/>
    <col min="14782" max="14782" width="11" style="232"/>
    <col min="14783" max="14783" width="11" style="232"/>
    <col min="14784" max="14784" width="11" style="232"/>
    <col min="14785" max="14785" width="11" style="232"/>
    <col min="14786" max="14786" width="11" style="232"/>
    <col min="14787" max="14787" width="11" style="232"/>
    <col min="14788" max="14788" width="11" style="232"/>
    <col min="14789" max="14789" width="11" style="232"/>
    <col min="14790" max="14790" width="11" style="232"/>
    <col min="14791" max="14791" width="11" style="232"/>
    <col min="14792" max="14792" width="11" style="232"/>
    <col min="14793" max="14793" width="11" style="232"/>
    <col min="14794" max="14794" width="11" style="232"/>
    <col min="14795" max="14795" width="11" style="232"/>
    <col min="14796" max="14796" width="11" style="232"/>
    <col min="14797" max="14797" width="11" style="232"/>
    <col min="14798" max="14798" width="11" style="232"/>
    <col min="14799" max="14799" width="11" style="232"/>
    <col min="14800" max="14800" width="11" style="232"/>
    <col min="14801" max="14801" width="11" style="232"/>
    <col min="14802" max="14802" width="11" style="232"/>
    <col min="14803" max="14803" width="11" style="232"/>
    <col min="14804" max="14804" width="11" style="232"/>
    <col min="14805" max="14805" width="11" style="232"/>
    <col min="14806" max="14806" width="11" style="232"/>
    <col min="14807" max="14807" width="11" style="232"/>
    <col min="14808" max="14808" width="11" style="232"/>
    <col min="14809" max="14809" width="11" style="232"/>
    <col min="14810" max="14810" width="11" style="232"/>
    <col min="14811" max="14811" width="11" style="232"/>
    <col min="14812" max="14812" width="11" style="232"/>
    <col min="14813" max="14813" width="11" style="232"/>
    <col min="14814" max="14814" width="11" style="232"/>
    <col min="14815" max="14815" width="11" style="232"/>
    <col min="14816" max="14816" width="11" style="232"/>
    <col min="14817" max="14817" width="11" style="232"/>
    <col min="14818" max="14818" width="11" style="232"/>
    <col min="14819" max="14819" width="11" style="232"/>
    <col min="14820" max="14820" width="11" style="232"/>
    <col min="14821" max="14821" width="11" style="232"/>
    <col min="14822" max="14822" width="11" style="232"/>
    <col min="14823" max="14823" width="11" style="232"/>
    <col min="14824" max="14824" width="11" style="232"/>
    <col min="14825" max="14825" width="11" style="232"/>
    <col min="14826" max="14826" width="11" style="232"/>
    <col min="14827" max="14827" width="11" style="232"/>
    <col min="14828" max="14828" width="11" style="232"/>
    <col min="14829" max="14829" width="11" style="232"/>
    <col min="14830" max="14830" width="11" style="232"/>
    <col min="14831" max="14831" width="11" style="232"/>
    <col min="14832" max="14832" width="11" style="232"/>
    <col min="14833" max="14833" width="11" style="232"/>
    <col min="14834" max="14834" width="11" style="232"/>
    <col min="14835" max="14835" width="11" style="232"/>
    <col min="14836" max="14836" width="11" style="232"/>
    <col min="14837" max="14837" width="10.140625" customWidth="true" style="232"/>
    <col min="14838" max="14838" width="10.140625" customWidth="true" style="232"/>
    <col min="14839" max="14839" width="10.140625" customWidth="true" style="232"/>
    <col min="14840" max="14840" width="10.140625" customWidth="true" style="232"/>
    <col min="14841" max="14841" width="10.140625" customWidth="true" style="232"/>
    <col min="14842" max="14842" width="10.140625" customWidth="true" style="232"/>
    <col min="14843" max="14843" width="10.140625" customWidth="true" style="232"/>
    <col min="14844" max="14844" width="10.140625" customWidth="true" style="232"/>
    <col min="14845" max="14845" width="10.140625" customWidth="true" style="232"/>
    <col min="14846" max="14846" width="11" style="232"/>
    <col min="14847" max="14847" width="11" style="232"/>
    <col min="14848" max="14848" width="11" style="232"/>
    <col min="14849" max="14849" width="11" style="232"/>
    <col min="14850" max="14850" width="11" style="232"/>
    <col min="14851" max="14851" width="11" style="232"/>
    <col min="14852" max="14852" width="11" style="232"/>
    <col min="14853" max="14853" width="11" style="232"/>
    <col min="14854" max="14854" width="11" style="232"/>
    <col min="14855" max="14855" width="11" style="232"/>
    <col min="14856" max="14856" width="11" style="232"/>
    <col min="14857" max="14857" width="11" style="232"/>
    <col min="14858" max="14858" width="11" style="232"/>
    <col min="14859" max="14859" width="11" style="232"/>
    <col min="14860" max="14860" width="11" style="232"/>
    <col min="14861" max="14861" width="11" style="232"/>
    <col min="14862" max="14862" width="11" style="232"/>
    <col min="14863" max="14863" width="11" style="232"/>
    <col min="14864" max="14864" width="11" style="232"/>
    <col min="14865" max="14865" width="11" style="232"/>
    <col min="14866" max="14866" width="11" style="232"/>
    <col min="14867" max="14867" width="11" style="232"/>
    <col min="14868" max="14868" width="11" style="232"/>
    <col min="14869" max="14869" width="11" style="232"/>
    <col min="14870" max="14870" width="11" style="232"/>
    <col min="14871" max="14871" width="11" style="232"/>
    <col min="14872" max="14872" width="11" style="232"/>
    <col min="14873" max="14873" width="11" style="232"/>
    <col min="14874" max="14874" width="11" style="232"/>
    <col min="14875" max="14875" width="11" style="232"/>
    <col min="14876" max="14876" width="11" style="232"/>
    <col min="14877" max="14877" width="11" style="232"/>
    <col min="14878" max="14878" width="11" style="232"/>
    <col min="14879" max="14879" width="11" style="232"/>
    <col min="14880" max="14880" width="11" style="232"/>
    <col min="14881" max="14881" width="11" style="232"/>
    <col min="14882" max="14882" width="11" style="232"/>
    <col min="14883" max="14883" width="11" style="232"/>
    <col min="14884" max="14884" width="11" style="232"/>
    <col min="14885" max="14885" width="11" style="232"/>
    <col min="14886" max="14886" width="11" style="232"/>
    <col min="14887" max="14887" width="11" style="232"/>
    <col min="14888" max="14888" width="11" style="232"/>
    <col min="14889" max="14889" width="11" style="232"/>
    <col min="14890" max="14890" width="11" style="232"/>
    <col min="14891" max="14891" width="11" style="232"/>
    <col min="14892" max="14892" width="11" style="232"/>
    <col min="14893" max="14893" width="11" style="232"/>
    <col min="14894" max="14894" width="11" style="232"/>
    <col min="14895" max="14895" width="11" style="232"/>
    <col min="14896" max="14896" width="11" style="232"/>
    <col min="14897" max="14897" width="11" style="232"/>
    <col min="14898" max="14898" width="11" style="232"/>
    <col min="14899" max="14899" width="11" style="232"/>
    <col min="14900" max="14900" width="11" style="232"/>
    <col min="14901" max="14901" width="11" style="232"/>
    <col min="14902" max="14902" width="11" style="232"/>
    <col min="14903" max="14903" width="11" style="232"/>
    <col min="14904" max="14904" width="11" style="232"/>
    <col min="14905" max="14905" width="11" style="232"/>
    <col min="14906" max="14906" width="11" style="232"/>
    <col min="14907" max="14907" width="11" style="232"/>
    <col min="14908" max="14908" width="11" style="232"/>
    <col min="14909" max="14909" width="11" style="232"/>
    <col min="14910" max="14910" width="11" style="232"/>
    <col min="14911" max="14911" width="11" style="232"/>
    <col min="14912" max="14912" width="11" style="232"/>
    <col min="14913" max="14913" width="11" style="232"/>
    <col min="14914" max="14914" width="11" style="232"/>
    <col min="14915" max="14915" width="11" style="232"/>
    <col min="14916" max="14916" width="11" style="232"/>
    <col min="14917" max="14917" width="11" style="232"/>
    <col min="14918" max="14918" width="11" style="232"/>
    <col min="14919" max="14919" width="11" style="232"/>
    <col min="14920" max="14920" width="11" style="232"/>
    <col min="14921" max="14921" width="11" style="232"/>
    <col min="14922" max="14922" width="11" style="232"/>
    <col min="14923" max="14923" width="11" style="232"/>
    <col min="14924" max="14924" width="11" style="232"/>
    <col min="14925" max="14925" width="11" style="232"/>
    <col min="14926" max="14926" width="11" style="232"/>
    <col min="14927" max="14927" width="11" style="232"/>
    <col min="14928" max="14928" width="11" style="232"/>
    <col min="14929" max="14929" width="11" style="232"/>
    <col min="14930" max="14930" width="11" style="232"/>
    <col min="14931" max="14931" width="11" style="232"/>
    <col min="14932" max="14932" width="11" style="232"/>
    <col min="14933" max="14933" width="11" style="232"/>
    <col min="14934" max="14934" width="11" style="232"/>
    <col min="14935" max="14935" width="11" style="232"/>
    <col min="14936" max="14936" width="11" style="232"/>
    <col min="14937" max="14937" width="11" style="232"/>
    <col min="14938" max="14938" width="11" style="232"/>
    <col min="14939" max="14939" width="11" style="232"/>
    <col min="14940" max="14940" width="11" style="232"/>
    <col min="14941" max="14941" width="11" style="232"/>
    <col min="14942" max="14942" width="11" style="232"/>
    <col min="14943" max="14943" width="11" style="232"/>
    <col min="14944" max="14944" width="11" style="232"/>
    <col min="14945" max="14945" width="11" style="232"/>
    <col min="14946" max="14946" width="11" style="232"/>
    <col min="14947" max="14947" width="11" style="232"/>
    <col min="14948" max="14948" width="11" style="232"/>
    <col min="14949" max="14949" width="11" style="232"/>
    <col min="14950" max="14950" width="11" style="232"/>
    <col min="14951" max="14951" width="11" style="232"/>
    <col min="14952" max="14952" width="11" style="232"/>
    <col min="14953" max="14953" width="11" style="232"/>
    <col min="14954" max="14954" width="11" style="232"/>
    <col min="14955" max="14955" width="11" style="232"/>
    <col min="14956" max="14956" width="11" style="232"/>
    <col min="14957" max="14957" width="11" style="232"/>
    <col min="14958" max="14958" width="11" style="232"/>
    <col min="14959" max="14959" width="11" style="232"/>
    <col min="14960" max="14960" width="11" style="232"/>
    <col min="14961" max="14961" width="11" style="232"/>
    <col min="14962" max="14962" width="11" style="232"/>
    <col min="14963" max="14963" width="11" style="232"/>
    <col min="14964" max="14964" width="11" style="232"/>
    <col min="14965" max="14965" width="11" style="232"/>
    <col min="14966" max="14966" width="11" style="232"/>
    <col min="14967" max="14967" width="11" style="232"/>
    <col min="14968" max="14968" width="11" style="232"/>
    <col min="14969" max="14969" width="11" style="232"/>
    <col min="14970" max="14970" width="11" style="232"/>
    <col min="14971" max="14971" width="11" style="232"/>
    <col min="14972" max="14972" width="11" style="232"/>
    <col min="14973" max="14973" width="11" style="232"/>
    <col min="14974" max="14974" width="11" style="232"/>
    <col min="14975" max="14975" width="11" style="232"/>
    <col min="14976" max="14976" width="11" style="232"/>
    <col min="14977" max="14977" width="11" style="232"/>
    <col min="14978" max="14978" width="11" style="232"/>
    <col min="14979" max="14979" width="11" style="232"/>
    <col min="14980" max="14980" width="11" style="232"/>
    <col min="14981" max="14981" width="11" style="232"/>
    <col min="14982" max="14982" width="11" style="232"/>
    <col min="14983" max="14983" width="11" style="232"/>
    <col min="14984" max="14984" width="11" style="232"/>
    <col min="14985" max="14985" width="11" style="232"/>
    <col min="14986" max="14986" width="11" style="232"/>
    <col min="14987" max="14987" width="11" style="232"/>
    <col min="14988" max="14988" width="11" style="232"/>
    <col min="14989" max="14989" width="11" style="232"/>
    <col min="14990" max="14990" width="11" style="232"/>
    <col min="14991" max="14991" width="11" style="232"/>
    <col min="14992" max="14992" width="11" style="232"/>
    <col min="14993" max="14993" width="11" style="232"/>
    <col min="14994" max="14994" width="11" style="232"/>
    <col min="14995" max="14995" width="11" style="232"/>
    <col min="14996" max="14996" width="11" style="232"/>
    <col min="14997" max="14997" width="11" style="232"/>
    <col min="14998" max="14998" width="11" style="232"/>
    <col min="14999" max="14999" width="11" style="232"/>
    <col min="15000" max="15000" width="11" style="232"/>
    <col min="15001" max="15001" width="11" style="232"/>
    <col min="15002" max="15002" width="11" style="232"/>
    <col min="15003" max="15003" width="11" style="232"/>
    <col min="15004" max="15004" width="11" style="232"/>
    <col min="15005" max="15005" width="11" style="232"/>
    <col min="15006" max="15006" width="11" style="232"/>
    <col min="15007" max="15007" width="11" style="232"/>
    <col min="15008" max="15008" width="11" style="232"/>
    <col min="15009" max="15009" width="11" style="232"/>
    <col min="15010" max="15010" width="11" style="232"/>
    <col min="15011" max="15011" width="11" style="232"/>
    <col min="15012" max="15012" width="11" style="232"/>
    <col min="15013" max="15013" width="11" style="232"/>
    <col min="15014" max="15014" width="11" style="232"/>
    <col min="15015" max="15015" width="11" style="232"/>
    <col min="15016" max="15016" width="11" style="232"/>
    <col min="15017" max="15017" width="11" style="232"/>
    <col min="15018" max="15018" width="11" style="232"/>
    <col min="15019" max="15019" width="11" style="232"/>
    <col min="15020" max="15020" width="11" style="232"/>
    <col min="15021" max="15021" width="11" style="232"/>
    <col min="15022" max="15022" width="11" style="232"/>
    <col min="15023" max="15023" width="11" style="232"/>
    <col min="15024" max="15024" width="11" style="232"/>
    <col min="15025" max="15025" width="11" style="232"/>
    <col min="15026" max="15026" width="11" style="232"/>
    <col min="15027" max="15027" width="11" style="232"/>
    <col min="15028" max="15028" width="11" style="232"/>
    <col min="15029" max="15029" width="11" style="232"/>
    <col min="15030" max="15030" width="11" style="232"/>
    <col min="15031" max="15031" width="11" style="232"/>
    <col min="15032" max="15032" width="11" style="232"/>
    <col min="15033" max="15033" width="11" style="232"/>
    <col min="15034" max="15034" width="11" style="232"/>
    <col min="15035" max="15035" width="11" style="232"/>
    <col min="15036" max="15036" width="11" style="232"/>
    <col min="15037" max="15037" width="11" style="232"/>
    <col min="15038" max="15038" width="11" style="232"/>
    <col min="15039" max="15039" width="11" style="232"/>
    <col min="15040" max="15040" width="11" style="232"/>
    <col min="15041" max="15041" width="11" style="232"/>
    <col min="15042" max="15042" width="11" style="232"/>
    <col min="15043" max="15043" width="11" style="232"/>
    <col min="15044" max="15044" width="11" style="232"/>
    <col min="15045" max="15045" width="11" style="232"/>
    <col min="15046" max="15046" width="11" style="232"/>
    <col min="15047" max="15047" width="11" style="232"/>
    <col min="15048" max="15048" width="11" style="232"/>
    <col min="15049" max="15049" width="11" style="232"/>
    <col min="15050" max="15050" width="11" style="232"/>
    <col min="15051" max="15051" width="11" style="232"/>
    <col min="15052" max="15052" width="11" style="232"/>
    <col min="15053" max="15053" width="11" style="232"/>
    <col min="15054" max="15054" width="11" style="232"/>
    <col min="15055" max="15055" width="11" style="232"/>
    <col min="15056" max="15056" width="11" style="232"/>
    <col min="15057" max="15057" width="11" style="232"/>
    <col min="15058" max="15058" width="11" style="232"/>
    <col min="15059" max="15059" width="11" style="232"/>
    <col min="15060" max="15060" width="11" style="232"/>
    <col min="15061" max="15061" width="11" style="232"/>
    <col min="15062" max="15062" width="11" style="232"/>
    <col min="15063" max="15063" width="11" style="232"/>
    <col min="15064" max="15064" width="11" style="232"/>
    <col min="15065" max="15065" width="11" style="232"/>
    <col min="15066" max="15066" width="11" style="232"/>
    <col min="15067" max="15067" width="11" style="232"/>
    <col min="15068" max="15068" width="11" style="232"/>
    <col min="15069" max="15069" width="11" style="232"/>
    <col min="15070" max="15070" width="11" style="232"/>
    <col min="15071" max="15071" width="11" style="232"/>
    <col min="15072" max="15072" width="11" style="232"/>
    <col min="15073" max="15073" width="11" style="232"/>
    <col min="15074" max="15074" width="11" style="232"/>
    <col min="15075" max="15075" width="11" style="232"/>
    <col min="15076" max="15076" width="11" style="232"/>
    <col min="15077" max="15077" width="11" style="232"/>
    <col min="15078" max="15078" width="11" style="232"/>
    <col min="15079" max="15079" width="11" style="232"/>
    <col min="15080" max="15080" width="11" style="232"/>
    <col min="15081" max="15081" width="11" style="232"/>
    <col min="15082" max="15082" width="11" style="232"/>
    <col min="15083" max="15083" width="11" style="232"/>
    <col min="15084" max="15084" width="11" style="232"/>
    <col min="15085" max="15085" width="11" style="232"/>
    <col min="15086" max="15086" width="11" style="232"/>
    <col min="15087" max="15087" width="11" style="232"/>
    <col min="15088" max="15088" width="11" style="232"/>
    <col min="15089" max="15089" width="11" style="232"/>
    <col min="15090" max="15090" width="11" style="232"/>
    <col min="15091" max="15091" width="11" style="232"/>
    <col min="15092" max="15092" width="11" style="232"/>
    <col min="15093" max="15093" width="10.140625" customWidth="true" style="232"/>
    <col min="15094" max="15094" width="10.140625" customWidth="true" style="232"/>
    <col min="15095" max="15095" width="10.140625" customWidth="true" style="232"/>
    <col min="15096" max="15096" width="10.140625" customWidth="true" style="232"/>
    <col min="15097" max="15097" width="10.140625" customWidth="true" style="232"/>
    <col min="15098" max="15098" width="10.140625" customWidth="true" style="232"/>
    <col min="15099" max="15099" width="10.140625" customWidth="true" style="232"/>
    <col min="15100" max="15100" width="10.140625" customWidth="true" style="232"/>
    <col min="15101" max="15101" width="10.140625" customWidth="true" style="232"/>
    <col min="15102" max="15102" width="11" style="232"/>
    <col min="15103" max="15103" width="11" style="232"/>
    <col min="15104" max="15104" width="11" style="232"/>
    <col min="15105" max="15105" width="11" style="232"/>
    <col min="15106" max="15106" width="11" style="232"/>
    <col min="15107" max="15107" width="11" style="232"/>
    <col min="15108" max="15108" width="11" style="232"/>
    <col min="15109" max="15109" width="11" style="232"/>
    <col min="15110" max="15110" width="11" style="232"/>
    <col min="15111" max="15111" width="11" style="232"/>
    <col min="15112" max="15112" width="11" style="232"/>
    <col min="15113" max="15113" width="11" style="232"/>
    <col min="15114" max="15114" width="11" style="232"/>
    <col min="15115" max="15115" width="11" style="232"/>
    <col min="15116" max="15116" width="11" style="232"/>
    <col min="15117" max="15117" width="11" style="232"/>
    <col min="15118" max="15118" width="11" style="232"/>
    <col min="15119" max="15119" width="11" style="232"/>
    <col min="15120" max="15120" width="11" style="232"/>
    <col min="15121" max="15121" width="11" style="232"/>
    <col min="15122" max="15122" width="11" style="232"/>
    <col min="15123" max="15123" width="11" style="232"/>
    <col min="15124" max="15124" width="11" style="232"/>
    <col min="15125" max="15125" width="11" style="232"/>
    <col min="15126" max="15126" width="11" style="232"/>
    <col min="15127" max="15127" width="11" style="232"/>
    <col min="15128" max="15128" width="11" style="232"/>
    <col min="15129" max="15129" width="11" style="232"/>
    <col min="15130" max="15130" width="11" style="232"/>
    <col min="15131" max="15131" width="11" style="232"/>
    <col min="15132" max="15132" width="11" style="232"/>
    <col min="15133" max="15133" width="11" style="232"/>
    <col min="15134" max="15134" width="11" style="232"/>
    <col min="15135" max="15135" width="11" style="232"/>
    <col min="15136" max="15136" width="11" style="232"/>
    <col min="15137" max="15137" width="11" style="232"/>
    <col min="15138" max="15138" width="11" style="232"/>
    <col min="15139" max="15139" width="11" style="232"/>
    <col min="15140" max="15140" width="11" style="232"/>
    <col min="15141" max="15141" width="11" style="232"/>
    <col min="15142" max="15142" width="11" style="232"/>
    <col min="15143" max="15143" width="11" style="232"/>
    <col min="15144" max="15144" width="11" style="232"/>
    <col min="15145" max="15145" width="11" style="232"/>
    <col min="15146" max="15146" width="11" style="232"/>
    <col min="15147" max="15147" width="11" style="232"/>
    <col min="15148" max="15148" width="11" style="232"/>
    <col min="15149" max="15149" width="11" style="232"/>
    <col min="15150" max="15150" width="11" style="232"/>
    <col min="15151" max="15151" width="11" style="232"/>
    <col min="15152" max="15152" width="11" style="232"/>
    <col min="15153" max="15153" width="11" style="232"/>
    <col min="15154" max="15154" width="11" style="232"/>
    <col min="15155" max="15155" width="11" style="232"/>
    <col min="15156" max="15156" width="11" style="232"/>
    <col min="15157" max="15157" width="11" style="232"/>
    <col min="15158" max="15158" width="11" style="232"/>
    <col min="15159" max="15159" width="11" style="232"/>
    <col min="15160" max="15160" width="11" style="232"/>
    <col min="15161" max="15161" width="11" style="232"/>
    <col min="15162" max="15162" width="11" style="232"/>
    <col min="15163" max="15163" width="11" style="232"/>
    <col min="15164" max="15164" width="11" style="232"/>
    <col min="15165" max="15165" width="11" style="232"/>
    <col min="15166" max="15166" width="11" style="232"/>
    <col min="15167" max="15167" width="11" style="232"/>
    <col min="15168" max="15168" width="11" style="232"/>
    <col min="15169" max="15169" width="11" style="232"/>
    <col min="15170" max="15170" width="11" style="232"/>
    <col min="15171" max="15171" width="11" style="232"/>
    <col min="15172" max="15172" width="11" style="232"/>
    <col min="15173" max="15173" width="11" style="232"/>
    <col min="15174" max="15174" width="11" style="232"/>
    <col min="15175" max="15175" width="11" style="232"/>
    <col min="15176" max="15176" width="11" style="232"/>
    <col min="15177" max="15177" width="11" style="232"/>
    <col min="15178" max="15178" width="11" style="232"/>
    <col min="15179" max="15179" width="11" style="232"/>
    <col min="15180" max="15180" width="11" style="232"/>
    <col min="15181" max="15181" width="11" style="232"/>
    <col min="15182" max="15182" width="11" style="232"/>
    <col min="15183" max="15183" width="11" style="232"/>
    <col min="15184" max="15184" width="11" style="232"/>
    <col min="15185" max="15185" width="11" style="232"/>
    <col min="15186" max="15186" width="11" style="232"/>
    <col min="15187" max="15187" width="11" style="232"/>
    <col min="15188" max="15188" width="11" style="232"/>
    <col min="15189" max="15189" width="11" style="232"/>
    <col min="15190" max="15190" width="11" style="232"/>
    <col min="15191" max="15191" width="11" style="232"/>
    <col min="15192" max="15192" width="11" style="232"/>
    <col min="15193" max="15193" width="11" style="232"/>
    <col min="15194" max="15194" width="11" style="232"/>
    <col min="15195" max="15195" width="11" style="232"/>
    <col min="15196" max="15196" width="11" style="232"/>
    <col min="15197" max="15197" width="11" style="232"/>
    <col min="15198" max="15198" width="11" style="232"/>
    <col min="15199" max="15199" width="11" style="232"/>
    <col min="15200" max="15200" width="11" style="232"/>
    <col min="15201" max="15201" width="11" style="232"/>
    <col min="15202" max="15202" width="11" style="232"/>
    <col min="15203" max="15203" width="11" style="232"/>
    <col min="15204" max="15204" width="11" style="232"/>
    <col min="15205" max="15205" width="11" style="232"/>
    <col min="15206" max="15206" width="11" style="232"/>
    <col min="15207" max="15207" width="11" style="232"/>
    <col min="15208" max="15208" width="11" style="232"/>
    <col min="15209" max="15209" width="11" style="232"/>
    <col min="15210" max="15210" width="11" style="232"/>
    <col min="15211" max="15211" width="11" style="232"/>
    <col min="15212" max="15212" width="11" style="232"/>
    <col min="15213" max="15213" width="11" style="232"/>
    <col min="15214" max="15214" width="11" style="232"/>
    <col min="15215" max="15215" width="11" style="232"/>
    <col min="15216" max="15216" width="11" style="232"/>
    <col min="15217" max="15217" width="11" style="232"/>
    <col min="15218" max="15218" width="11" style="232"/>
    <col min="15219" max="15219" width="11" style="232"/>
    <col min="15220" max="15220" width="11" style="232"/>
    <col min="15221" max="15221" width="11" style="232"/>
    <col min="15222" max="15222" width="11" style="232"/>
    <col min="15223" max="15223" width="11" style="232"/>
    <col min="15224" max="15224" width="11" style="232"/>
    <col min="15225" max="15225" width="11" style="232"/>
    <col min="15226" max="15226" width="11" style="232"/>
    <col min="15227" max="15227" width="11" style="232"/>
    <col min="15228" max="15228" width="11" style="232"/>
    <col min="15229" max="15229" width="11" style="232"/>
    <col min="15230" max="15230" width="11" style="232"/>
    <col min="15231" max="15231" width="11" style="232"/>
    <col min="15232" max="15232" width="11" style="232"/>
    <col min="15233" max="15233" width="11" style="232"/>
    <col min="15234" max="15234" width="11" style="232"/>
    <col min="15235" max="15235" width="11" style="232"/>
    <col min="15236" max="15236" width="11" style="232"/>
    <col min="15237" max="15237" width="11" style="232"/>
    <col min="15238" max="15238" width="11" style="232"/>
    <col min="15239" max="15239" width="11" style="232"/>
    <col min="15240" max="15240" width="11" style="232"/>
    <col min="15241" max="15241" width="11" style="232"/>
    <col min="15242" max="15242" width="11" style="232"/>
    <col min="15243" max="15243" width="11" style="232"/>
    <col min="15244" max="15244" width="11" style="232"/>
    <col min="15245" max="15245" width="11" style="232"/>
    <col min="15246" max="15246" width="11" style="232"/>
    <col min="15247" max="15247" width="11" style="232"/>
    <col min="15248" max="15248" width="11" style="232"/>
    <col min="15249" max="15249" width="11" style="232"/>
    <col min="15250" max="15250" width="11" style="232"/>
    <col min="15251" max="15251" width="11" style="232"/>
    <col min="15252" max="15252" width="11" style="232"/>
    <col min="15253" max="15253" width="11" style="232"/>
    <col min="15254" max="15254" width="11" style="232"/>
    <col min="15255" max="15255" width="11" style="232"/>
    <col min="15256" max="15256" width="11" style="232"/>
    <col min="15257" max="15257" width="11" style="232"/>
    <col min="15258" max="15258" width="11" style="232"/>
    <col min="15259" max="15259" width="11" style="232"/>
    <col min="15260" max="15260" width="11" style="232"/>
    <col min="15261" max="15261" width="11" style="232"/>
    <col min="15262" max="15262" width="11" style="232"/>
    <col min="15263" max="15263" width="11" style="232"/>
    <col min="15264" max="15264" width="11" style="232"/>
    <col min="15265" max="15265" width="11" style="232"/>
    <col min="15266" max="15266" width="11" style="232"/>
    <col min="15267" max="15267" width="11" style="232"/>
    <col min="15268" max="15268" width="11" style="232"/>
    <col min="15269" max="15269" width="11" style="232"/>
    <col min="15270" max="15270" width="11" style="232"/>
    <col min="15271" max="15271" width="11" style="232"/>
    <col min="15272" max="15272" width="11" style="232"/>
    <col min="15273" max="15273" width="11" style="232"/>
    <col min="15274" max="15274" width="11" style="232"/>
    <col min="15275" max="15275" width="11" style="232"/>
    <col min="15276" max="15276" width="11" style="232"/>
    <col min="15277" max="15277" width="11" style="232"/>
    <col min="15278" max="15278" width="11" style="232"/>
    <col min="15279" max="15279" width="11" style="232"/>
    <col min="15280" max="15280" width="11" style="232"/>
    <col min="15281" max="15281" width="11" style="232"/>
    <col min="15282" max="15282" width="11" style="232"/>
    <col min="15283" max="15283" width="11" style="232"/>
    <col min="15284" max="15284" width="11" style="232"/>
    <col min="15285" max="15285" width="11" style="232"/>
    <col min="15286" max="15286" width="11" style="232"/>
    <col min="15287" max="15287" width="11" style="232"/>
    <col min="15288" max="15288" width="11" style="232"/>
    <col min="15289" max="15289" width="11" style="232"/>
    <col min="15290" max="15290" width="11" style="232"/>
    <col min="15291" max="15291" width="11" style="232"/>
    <col min="15292" max="15292" width="11" style="232"/>
    <col min="15293" max="15293" width="11" style="232"/>
    <col min="15294" max="15294" width="11" style="232"/>
    <col min="15295" max="15295" width="11" style="232"/>
    <col min="15296" max="15296" width="11" style="232"/>
    <col min="15297" max="15297" width="11" style="232"/>
    <col min="15298" max="15298" width="11" style="232"/>
    <col min="15299" max="15299" width="11" style="232"/>
    <col min="15300" max="15300" width="11" style="232"/>
    <col min="15301" max="15301" width="11" style="232"/>
    <col min="15302" max="15302" width="11" style="232"/>
    <col min="15303" max="15303" width="11" style="232"/>
    <col min="15304" max="15304" width="11" style="232"/>
    <col min="15305" max="15305" width="11" style="232"/>
    <col min="15306" max="15306" width="11" style="232"/>
    <col min="15307" max="15307" width="11" style="232"/>
    <col min="15308" max="15308" width="11" style="232"/>
    <col min="15309" max="15309" width="11" style="232"/>
    <col min="15310" max="15310" width="11" style="232"/>
    <col min="15311" max="15311" width="11" style="232"/>
    <col min="15312" max="15312" width="11" style="232"/>
    <col min="15313" max="15313" width="11" style="232"/>
    <col min="15314" max="15314" width="11" style="232"/>
    <col min="15315" max="15315" width="11" style="232"/>
    <col min="15316" max="15316" width="11" style="232"/>
    <col min="15317" max="15317" width="11" style="232"/>
    <col min="15318" max="15318" width="11" style="232"/>
    <col min="15319" max="15319" width="11" style="232"/>
    <col min="15320" max="15320" width="11" style="232"/>
    <col min="15321" max="15321" width="11" style="232"/>
    <col min="15322" max="15322" width="11" style="232"/>
    <col min="15323" max="15323" width="11" style="232"/>
    <col min="15324" max="15324" width="11" style="232"/>
    <col min="15325" max="15325" width="11" style="232"/>
    <col min="15326" max="15326" width="11" style="232"/>
    <col min="15327" max="15327" width="11" style="232"/>
    <col min="15328" max="15328" width="11" style="232"/>
    <col min="15329" max="15329" width="11" style="232"/>
    <col min="15330" max="15330" width="11" style="232"/>
    <col min="15331" max="15331" width="11" style="232"/>
    <col min="15332" max="15332" width="11" style="232"/>
    <col min="15333" max="15333" width="11" style="232"/>
    <col min="15334" max="15334" width="11" style="232"/>
    <col min="15335" max="15335" width="11" style="232"/>
    <col min="15336" max="15336" width="11" style="232"/>
    <col min="15337" max="15337" width="11" style="232"/>
    <col min="15338" max="15338" width="11" style="232"/>
    <col min="15339" max="15339" width="11" style="232"/>
    <col min="15340" max="15340" width="11" style="232"/>
    <col min="15341" max="15341" width="11" style="232"/>
    <col min="15342" max="15342" width="11" style="232"/>
    <col min="15343" max="15343" width="11" style="232"/>
    <col min="15344" max="15344" width="11" style="232"/>
    <col min="15345" max="15345" width="11" style="232"/>
    <col min="15346" max="15346" width="11" style="232"/>
    <col min="15347" max="15347" width="11" style="232"/>
    <col min="15348" max="15348" width="11" style="232"/>
    <col min="15349" max="15349" width="10.140625" customWidth="true" style="232"/>
    <col min="15350" max="15350" width="10.140625" customWidth="true" style="232"/>
    <col min="15351" max="15351" width="10.140625" customWidth="true" style="232"/>
    <col min="15352" max="15352" width="10.140625" customWidth="true" style="232"/>
    <col min="15353" max="15353" width="10.140625" customWidth="true" style="232"/>
    <col min="15354" max="15354" width="10.140625" customWidth="true" style="232"/>
    <col min="15355" max="15355" width="10.140625" customWidth="true" style="232"/>
    <col min="15356" max="15356" width="10.140625" customWidth="true" style="232"/>
    <col min="15357" max="15357" width="10.140625" customWidth="true" style="232"/>
    <col min="15358" max="15358" width="11" style="232"/>
    <col min="15359" max="15359" width="11" style="232"/>
    <col min="15360" max="15360" width="11" style="232"/>
    <col min="15361" max="15361" width="11" style="232"/>
    <col min="15362" max="15362" width="11" style="232"/>
    <col min="15363" max="15363" width="11" style="232"/>
    <col min="15364" max="15364" width="11" style="232"/>
    <col min="15365" max="15365" width="11" style="232"/>
    <col min="15366" max="15366" width="11" style="232"/>
    <col min="15367" max="15367" width="11" style="232"/>
    <col min="15368" max="15368" width="11" style="232"/>
    <col min="15369" max="15369" width="11" style="232"/>
    <col min="15370" max="15370" width="11" style="232"/>
    <col min="15371" max="15371" width="11" style="232"/>
    <col min="15372" max="15372" width="11" style="232"/>
    <col min="15373" max="15373" width="11" style="232"/>
    <col min="15374" max="15374" width="11" style="232"/>
    <col min="15375" max="15375" width="11" style="232"/>
    <col min="15376" max="15376" width="11" style="232"/>
    <col min="15377" max="15377" width="11" style="232"/>
    <col min="15378" max="15378" width="11" style="232"/>
    <col min="15379" max="15379" width="11" style="232"/>
    <col min="15380" max="15380" width="11" style="232"/>
    <col min="15381" max="15381" width="11" style="232"/>
    <col min="15382" max="15382" width="11" style="232"/>
    <col min="15383" max="15383" width="11" style="232"/>
    <col min="15384" max="15384" width="11" style="232"/>
    <col min="15385" max="15385" width="11" style="232"/>
    <col min="15386" max="15386" width="11" style="232"/>
    <col min="15387" max="15387" width="11" style="232"/>
    <col min="15388" max="15388" width="11" style="232"/>
    <col min="15389" max="15389" width="11" style="232"/>
    <col min="15390" max="15390" width="11" style="232"/>
    <col min="15391" max="15391" width="11" style="232"/>
    <col min="15392" max="15392" width="11" style="232"/>
    <col min="15393" max="15393" width="11" style="232"/>
    <col min="15394" max="15394" width="11" style="232"/>
    <col min="15395" max="15395" width="11" style="232"/>
    <col min="15396" max="15396" width="11" style="232"/>
    <col min="15397" max="15397" width="11" style="232"/>
    <col min="15398" max="15398" width="11" style="232"/>
    <col min="15399" max="15399" width="11" style="232"/>
    <col min="15400" max="15400" width="11" style="232"/>
    <col min="15401" max="15401" width="11" style="232"/>
    <col min="15402" max="15402" width="11" style="232"/>
    <col min="15403" max="15403" width="11" style="232"/>
    <col min="15404" max="15404" width="11" style="232"/>
    <col min="15405" max="15405" width="11" style="232"/>
    <col min="15406" max="15406" width="11" style="232"/>
    <col min="15407" max="15407" width="11" style="232"/>
    <col min="15408" max="15408" width="11" style="232"/>
    <col min="15409" max="15409" width="11" style="232"/>
    <col min="15410" max="15410" width="11" style="232"/>
    <col min="15411" max="15411" width="11" style="232"/>
    <col min="15412" max="15412" width="11" style="232"/>
    <col min="15413" max="15413" width="11" style="232"/>
    <col min="15414" max="15414" width="11" style="232"/>
    <col min="15415" max="15415" width="11" style="232"/>
    <col min="15416" max="15416" width="11" style="232"/>
    <col min="15417" max="15417" width="11" style="232"/>
    <col min="15418" max="15418" width="11" style="232"/>
    <col min="15419" max="15419" width="11" style="232"/>
    <col min="15420" max="15420" width="11" style="232"/>
    <col min="15421" max="15421" width="11" style="232"/>
    <col min="15422" max="15422" width="11" style="232"/>
    <col min="15423" max="15423" width="11" style="232"/>
    <col min="15424" max="15424" width="11" style="232"/>
    <col min="15425" max="15425" width="11" style="232"/>
    <col min="15426" max="15426" width="11" style="232"/>
    <col min="15427" max="15427" width="11" style="232"/>
    <col min="15428" max="15428" width="11" style="232"/>
    <col min="15429" max="15429" width="11" style="232"/>
    <col min="15430" max="15430" width="11" style="232"/>
    <col min="15431" max="15431" width="11" style="232"/>
    <col min="15432" max="15432" width="11" style="232"/>
    <col min="15433" max="15433" width="11" style="232"/>
    <col min="15434" max="15434" width="11" style="232"/>
    <col min="15435" max="15435" width="11" style="232"/>
    <col min="15436" max="15436" width="11" style="232"/>
    <col min="15437" max="15437" width="11" style="232"/>
    <col min="15438" max="15438" width="11" style="232"/>
    <col min="15439" max="15439" width="11" style="232"/>
    <col min="15440" max="15440" width="11" style="232"/>
    <col min="15441" max="15441" width="11" style="232"/>
    <col min="15442" max="15442" width="11" style="232"/>
    <col min="15443" max="15443" width="11" style="232"/>
    <col min="15444" max="15444" width="11" style="232"/>
    <col min="15445" max="15445" width="11" style="232"/>
    <col min="15446" max="15446" width="11" style="232"/>
    <col min="15447" max="15447" width="11" style="232"/>
    <col min="15448" max="15448" width="11" style="232"/>
    <col min="15449" max="15449" width="11" style="232"/>
    <col min="15450" max="15450" width="11" style="232"/>
    <col min="15451" max="15451" width="11" style="232"/>
    <col min="15452" max="15452" width="11" style="232"/>
    <col min="15453" max="15453" width="11" style="232"/>
    <col min="15454" max="15454" width="11" style="232"/>
    <col min="15455" max="15455" width="11" style="232"/>
    <col min="15456" max="15456" width="11" style="232"/>
    <col min="15457" max="15457" width="11" style="232"/>
    <col min="15458" max="15458" width="11" style="232"/>
    <col min="15459" max="15459" width="11" style="232"/>
    <col min="15460" max="15460" width="11" style="232"/>
    <col min="15461" max="15461" width="11" style="232"/>
    <col min="15462" max="15462" width="11" style="232"/>
    <col min="15463" max="15463" width="11" style="232"/>
    <col min="15464" max="15464" width="11" style="232"/>
    <col min="15465" max="15465" width="11" style="232"/>
    <col min="15466" max="15466" width="11" style="232"/>
    <col min="15467" max="15467" width="11" style="232"/>
    <col min="15468" max="15468" width="11" style="232"/>
    <col min="15469" max="15469" width="11" style="232"/>
    <col min="15470" max="15470" width="11" style="232"/>
    <col min="15471" max="15471" width="11" style="232"/>
    <col min="15472" max="15472" width="11" style="232"/>
    <col min="15473" max="15473" width="11" style="232"/>
    <col min="15474" max="15474" width="11" style="232"/>
    <col min="15475" max="15475" width="11" style="232"/>
    <col min="15476" max="15476" width="11" style="232"/>
    <col min="15477" max="15477" width="11" style="232"/>
    <col min="15478" max="15478" width="11" style="232"/>
    <col min="15479" max="15479" width="11" style="232"/>
    <col min="15480" max="15480" width="11" style="232"/>
    <col min="15481" max="15481" width="11" style="232"/>
    <col min="15482" max="15482" width="11" style="232"/>
    <col min="15483" max="15483" width="11" style="232"/>
    <col min="15484" max="15484" width="11" style="232"/>
    <col min="15485" max="15485" width="11" style="232"/>
    <col min="15486" max="15486" width="11" style="232"/>
    <col min="15487" max="15487" width="11" style="232"/>
    <col min="15488" max="15488" width="11" style="232"/>
    <col min="15489" max="15489" width="11" style="232"/>
    <col min="15490" max="15490" width="11" style="232"/>
    <col min="15491" max="15491" width="11" style="232"/>
    <col min="15492" max="15492" width="11" style="232"/>
    <col min="15493" max="15493" width="11" style="232"/>
    <col min="15494" max="15494" width="11" style="232"/>
    <col min="15495" max="15495" width="11" style="232"/>
    <col min="15496" max="15496" width="11" style="232"/>
    <col min="15497" max="15497" width="11" style="232"/>
    <col min="15498" max="15498" width="11" style="232"/>
    <col min="15499" max="15499" width="11" style="232"/>
    <col min="15500" max="15500" width="11" style="232"/>
    <col min="15501" max="15501" width="11" style="232"/>
    <col min="15502" max="15502" width="11" style="232"/>
    <col min="15503" max="15503" width="11" style="232"/>
    <col min="15504" max="15504" width="11" style="232"/>
    <col min="15505" max="15505" width="11" style="232"/>
    <col min="15506" max="15506" width="11" style="232"/>
    <col min="15507" max="15507" width="11" style="232"/>
    <col min="15508" max="15508" width="11" style="232"/>
    <col min="15509" max="15509" width="11" style="232"/>
    <col min="15510" max="15510" width="11" style="232"/>
    <col min="15511" max="15511" width="11" style="232"/>
    <col min="15512" max="15512" width="11" style="232"/>
    <col min="15513" max="15513" width="11" style="232"/>
    <col min="15514" max="15514" width="11" style="232"/>
    <col min="15515" max="15515" width="11" style="232"/>
    <col min="15516" max="15516" width="11" style="232"/>
    <col min="15517" max="15517" width="11" style="232"/>
    <col min="15518" max="15518" width="11" style="232"/>
    <col min="15519" max="15519" width="11" style="232"/>
    <col min="15520" max="15520" width="11" style="232"/>
    <col min="15521" max="15521" width="11" style="232"/>
    <col min="15522" max="15522" width="11" style="232"/>
    <col min="15523" max="15523" width="11" style="232"/>
    <col min="15524" max="15524" width="11" style="232"/>
    <col min="15525" max="15525" width="11" style="232"/>
    <col min="15526" max="15526" width="11" style="232"/>
    <col min="15527" max="15527" width="11" style="232"/>
    <col min="15528" max="15528" width="11" style="232"/>
    <col min="15529" max="15529" width="11" style="232"/>
    <col min="15530" max="15530" width="11" style="232"/>
    <col min="15531" max="15531" width="11" style="232"/>
    <col min="15532" max="15532" width="11" style="232"/>
    <col min="15533" max="15533" width="11" style="232"/>
    <col min="15534" max="15534" width="11" style="232"/>
    <col min="15535" max="15535" width="11" style="232"/>
    <col min="15536" max="15536" width="11" style="232"/>
    <col min="15537" max="15537" width="11" style="232"/>
    <col min="15538" max="15538" width="11" style="232"/>
    <col min="15539" max="15539" width="11" style="232"/>
    <col min="15540" max="15540" width="11" style="232"/>
    <col min="15541" max="15541" width="11" style="232"/>
    <col min="15542" max="15542" width="11" style="232"/>
    <col min="15543" max="15543" width="11" style="232"/>
    <col min="15544" max="15544" width="11" style="232"/>
    <col min="15545" max="15545" width="11" style="232"/>
    <col min="15546" max="15546" width="11" style="232"/>
    <col min="15547" max="15547" width="11" style="232"/>
    <col min="15548" max="15548" width="11" style="232"/>
    <col min="15549" max="15549" width="11" style="232"/>
    <col min="15550" max="15550" width="11" style="232"/>
    <col min="15551" max="15551" width="11" style="232"/>
    <col min="15552" max="15552" width="11" style="232"/>
    <col min="15553" max="15553" width="11" style="232"/>
    <col min="15554" max="15554" width="11" style="232"/>
    <col min="15555" max="15555" width="11" style="232"/>
    <col min="15556" max="15556" width="11" style="232"/>
    <col min="15557" max="15557" width="11" style="232"/>
    <col min="15558" max="15558" width="11" style="232"/>
    <col min="15559" max="15559" width="11" style="232"/>
    <col min="15560" max="15560" width="11" style="232"/>
    <col min="15561" max="15561" width="11" style="232"/>
    <col min="15562" max="15562" width="11" style="232"/>
    <col min="15563" max="15563" width="11" style="232"/>
    <col min="15564" max="15564" width="11" style="232"/>
    <col min="15565" max="15565" width="11" style="232"/>
    <col min="15566" max="15566" width="11" style="232"/>
    <col min="15567" max="15567" width="11" style="232"/>
    <col min="15568" max="15568" width="11" style="232"/>
    <col min="15569" max="15569" width="11" style="232"/>
    <col min="15570" max="15570" width="11" style="232"/>
    <col min="15571" max="15571" width="11" style="232"/>
    <col min="15572" max="15572" width="11" style="232"/>
    <col min="15573" max="15573" width="11" style="232"/>
    <col min="15574" max="15574" width="11" style="232"/>
    <col min="15575" max="15575" width="11" style="232"/>
    <col min="15576" max="15576" width="11" style="232"/>
    <col min="15577" max="15577" width="11" style="232"/>
    <col min="15578" max="15578" width="11" style="232"/>
    <col min="15579" max="15579" width="11" style="232"/>
    <col min="15580" max="15580" width="11" style="232"/>
    <col min="15581" max="15581" width="11" style="232"/>
    <col min="15582" max="15582" width="11" style="232"/>
    <col min="15583" max="15583" width="11" style="232"/>
    <col min="15584" max="15584" width="11" style="232"/>
    <col min="15585" max="15585" width="11" style="232"/>
    <col min="15586" max="15586" width="11" style="232"/>
    <col min="15587" max="15587" width="11" style="232"/>
    <col min="15588" max="15588" width="11" style="232"/>
    <col min="15589" max="15589" width="11" style="232"/>
    <col min="15590" max="15590" width="11" style="232"/>
    <col min="15591" max="15591" width="11" style="232"/>
    <col min="15592" max="15592" width="11" style="232"/>
    <col min="15593" max="15593" width="11" style="232"/>
    <col min="15594" max="15594" width="11" style="232"/>
    <col min="15595" max="15595" width="11" style="232"/>
    <col min="15596" max="15596" width="11" style="232"/>
    <col min="15597" max="15597" width="11" style="232"/>
    <col min="15598" max="15598" width="11" style="232"/>
    <col min="15599" max="15599" width="11" style="232"/>
    <col min="15600" max="15600" width="11" style="232"/>
    <col min="15601" max="15601" width="11" style="232"/>
    <col min="15602" max="15602" width="11" style="232"/>
    <col min="15603" max="15603" width="11" style="232"/>
    <col min="15604" max="15604" width="11" style="232"/>
    <col min="15605" max="15605" width="10.140625" customWidth="true" style="232"/>
    <col min="15606" max="15606" width="10.140625" customWidth="true" style="232"/>
    <col min="15607" max="15607" width="10.140625" customWidth="true" style="232"/>
    <col min="15608" max="15608" width="10.140625" customWidth="true" style="232"/>
    <col min="15609" max="15609" width="10.140625" customWidth="true" style="232"/>
    <col min="15610" max="15610" width="10.140625" customWidth="true" style="232"/>
    <col min="15611" max="15611" width="10.140625" customWidth="true" style="232"/>
    <col min="15612" max="15612" width="10.140625" customWidth="true" style="232"/>
    <col min="15613" max="15613" width="10.140625" customWidth="true" style="232"/>
    <col min="15614" max="15614" width="11" style="232"/>
    <col min="15615" max="15615" width="11" style="232"/>
    <col min="15616" max="15616" width="11" style="232"/>
    <col min="15617" max="15617" width="11" style="232"/>
    <col min="15618" max="15618" width="11" style="232"/>
    <col min="15619" max="15619" width="11" style="232"/>
    <col min="15620" max="15620" width="11" style="232"/>
    <col min="15621" max="15621" width="11" style="232"/>
    <col min="15622" max="15622" width="11" style="232"/>
    <col min="15623" max="15623" width="11" style="232"/>
    <col min="15624" max="15624" width="11" style="232"/>
    <col min="15625" max="15625" width="11" style="232"/>
    <col min="15626" max="15626" width="11" style="232"/>
    <col min="15627" max="15627" width="11" style="232"/>
    <col min="15628" max="15628" width="11" style="232"/>
    <col min="15629" max="15629" width="11" style="232"/>
    <col min="15630" max="15630" width="11" style="232"/>
    <col min="15631" max="15631" width="11" style="232"/>
    <col min="15632" max="15632" width="11" style="232"/>
    <col min="15633" max="15633" width="11" style="232"/>
    <col min="15634" max="15634" width="11" style="232"/>
    <col min="15635" max="15635" width="11" style="232"/>
    <col min="15636" max="15636" width="11" style="232"/>
    <col min="15637" max="15637" width="11" style="232"/>
    <col min="15638" max="15638" width="11" style="232"/>
    <col min="15639" max="15639" width="11" style="232"/>
    <col min="15640" max="15640" width="11" style="232"/>
    <col min="15641" max="15641" width="11" style="232"/>
    <col min="15642" max="15642" width="11" style="232"/>
    <col min="15643" max="15643" width="11" style="232"/>
    <col min="15644" max="15644" width="11" style="232"/>
    <col min="15645" max="15645" width="11" style="232"/>
    <col min="15646" max="15646" width="11" style="232"/>
    <col min="15647" max="15647" width="11" style="232"/>
    <col min="15648" max="15648" width="11" style="232"/>
    <col min="15649" max="15649" width="11" style="232"/>
    <col min="15650" max="15650" width="11" style="232"/>
    <col min="15651" max="15651" width="11" style="232"/>
    <col min="15652" max="15652" width="11" style="232"/>
    <col min="15653" max="15653" width="11" style="232"/>
    <col min="15654" max="15654" width="11" style="232"/>
    <col min="15655" max="15655" width="11" style="232"/>
    <col min="15656" max="15656" width="11" style="232"/>
    <col min="15657" max="15657" width="11" style="232"/>
    <col min="15658" max="15658" width="11" style="232"/>
    <col min="15659" max="15659" width="11" style="232"/>
    <col min="15660" max="15660" width="11" style="232"/>
    <col min="15661" max="15661" width="11" style="232"/>
    <col min="15662" max="15662" width="11" style="232"/>
    <col min="15663" max="15663" width="11" style="232"/>
    <col min="15664" max="15664" width="11" style="232"/>
    <col min="15665" max="15665" width="11" style="232"/>
    <col min="15666" max="15666" width="11" style="232"/>
    <col min="15667" max="15667" width="11" style="232"/>
    <col min="15668" max="15668" width="11" style="232"/>
    <col min="15669" max="15669" width="11" style="232"/>
    <col min="15670" max="15670" width="11" style="232"/>
    <col min="15671" max="15671" width="11" style="232"/>
    <col min="15672" max="15672" width="11" style="232"/>
    <col min="15673" max="15673" width="11" style="232"/>
    <col min="15674" max="15674" width="11" style="232"/>
    <col min="15675" max="15675" width="11" style="232"/>
    <col min="15676" max="15676" width="11" style="232"/>
    <col min="15677" max="15677" width="11" style="232"/>
    <col min="15678" max="15678" width="11" style="232"/>
    <col min="15679" max="15679" width="11" style="232"/>
    <col min="15680" max="15680" width="11" style="232"/>
    <col min="15681" max="15681" width="11" style="232"/>
    <col min="15682" max="15682" width="11" style="232"/>
    <col min="15683" max="15683" width="11" style="232"/>
    <col min="15684" max="15684" width="11" style="232"/>
    <col min="15685" max="15685" width="11" style="232"/>
    <col min="15686" max="15686" width="11" style="232"/>
    <col min="15687" max="15687" width="11" style="232"/>
    <col min="15688" max="15688" width="11" style="232"/>
    <col min="15689" max="15689" width="11" style="232"/>
    <col min="15690" max="15690" width="11" style="232"/>
    <col min="15691" max="15691" width="11" style="232"/>
    <col min="15692" max="15692" width="11" style="232"/>
    <col min="15693" max="15693" width="11" style="232"/>
    <col min="15694" max="15694" width="11" style="232"/>
    <col min="15695" max="15695" width="11" style="232"/>
    <col min="15696" max="15696" width="11" style="232"/>
    <col min="15697" max="15697" width="11" style="232"/>
    <col min="15698" max="15698" width="11" style="232"/>
    <col min="15699" max="15699" width="11" style="232"/>
    <col min="15700" max="15700" width="11" style="232"/>
    <col min="15701" max="15701" width="11" style="232"/>
    <col min="15702" max="15702" width="11" style="232"/>
    <col min="15703" max="15703" width="11" style="232"/>
    <col min="15704" max="15704" width="11" style="232"/>
    <col min="15705" max="15705" width="11" style="232"/>
    <col min="15706" max="15706" width="11" style="232"/>
    <col min="15707" max="15707" width="11" style="232"/>
    <col min="15708" max="15708" width="11" style="232"/>
    <col min="15709" max="15709" width="11" style="232"/>
    <col min="15710" max="15710" width="11" style="232"/>
    <col min="15711" max="15711" width="11" style="232"/>
    <col min="15712" max="15712" width="11" style="232"/>
    <col min="15713" max="15713" width="11" style="232"/>
    <col min="15714" max="15714" width="11" style="232"/>
    <col min="15715" max="15715" width="11" style="232"/>
    <col min="15716" max="15716" width="11" style="232"/>
    <col min="15717" max="15717" width="11" style="232"/>
    <col min="15718" max="15718" width="11" style="232"/>
    <col min="15719" max="15719" width="11" style="232"/>
    <col min="15720" max="15720" width="11" style="232"/>
    <col min="15721" max="15721" width="11" style="232"/>
    <col min="15722" max="15722" width="11" style="232"/>
    <col min="15723" max="15723" width="11" style="232"/>
    <col min="15724" max="15724" width="11" style="232"/>
    <col min="15725" max="15725" width="11" style="232"/>
    <col min="15726" max="15726" width="11" style="232"/>
    <col min="15727" max="15727" width="11" style="232"/>
    <col min="15728" max="15728" width="11" style="232"/>
    <col min="15729" max="15729" width="11" style="232"/>
    <col min="15730" max="15730" width="11" style="232"/>
    <col min="15731" max="15731" width="11" style="232"/>
    <col min="15732" max="15732" width="11" style="232"/>
    <col min="15733" max="15733" width="11" style="232"/>
    <col min="15734" max="15734" width="11" style="232"/>
    <col min="15735" max="15735" width="11" style="232"/>
    <col min="15736" max="15736" width="11" style="232"/>
    <col min="15737" max="15737" width="11" style="232"/>
    <col min="15738" max="15738" width="11" style="232"/>
    <col min="15739" max="15739" width="11" style="232"/>
    <col min="15740" max="15740" width="11" style="232"/>
    <col min="15741" max="15741" width="11" style="232"/>
    <col min="15742" max="15742" width="11" style="232"/>
    <col min="15743" max="15743" width="11" style="232"/>
    <col min="15744" max="15744" width="11" style="232"/>
    <col min="15745" max="15745" width="11" style="232"/>
    <col min="15746" max="15746" width="11" style="232"/>
    <col min="15747" max="15747" width="11" style="232"/>
    <col min="15748" max="15748" width="11" style="232"/>
    <col min="15749" max="15749" width="11" style="232"/>
    <col min="15750" max="15750" width="11" style="232"/>
    <col min="15751" max="15751" width="11" style="232"/>
    <col min="15752" max="15752" width="11" style="232"/>
    <col min="15753" max="15753" width="11" style="232"/>
    <col min="15754" max="15754" width="11" style="232"/>
    <col min="15755" max="15755" width="11" style="232"/>
    <col min="15756" max="15756" width="11" style="232"/>
    <col min="15757" max="15757" width="11" style="232"/>
    <col min="15758" max="15758" width="11" style="232"/>
    <col min="15759" max="15759" width="11" style="232"/>
    <col min="15760" max="15760" width="11" style="232"/>
    <col min="15761" max="15761" width="11" style="232"/>
    <col min="15762" max="15762" width="11" style="232"/>
    <col min="15763" max="15763" width="11" style="232"/>
    <col min="15764" max="15764" width="11" style="232"/>
    <col min="15765" max="15765" width="11" style="232"/>
    <col min="15766" max="15766" width="11" style="232"/>
    <col min="15767" max="15767" width="11" style="232"/>
    <col min="15768" max="15768" width="11" style="232"/>
    <col min="15769" max="15769" width="11" style="232"/>
    <col min="15770" max="15770" width="11" style="232"/>
    <col min="15771" max="15771" width="11" style="232"/>
    <col min="15772" max="15772" width="11" style="232"/>
    <col min="15773" max="15773" width="11" style="232"/>
    <col min="15774" max="15774" width="11" style="232"/>
    <col min="15775" max="15775" width="11" style="232"/>
    <col min="15776" max="15776" width="11" style="232"/>
    <col min="15777" max="15777" width="11" style="232"/>
    <col min="15778" max="15778" width="11" style="232"/>
    <col min="15779" max="15779" width="11" style="232"/>
    <col min="15780" max="15780" width="11" style="232"/>
    <col min="15781" max="15781" width="11" style="232"/>
    <col min="15782" max="15782" width="11" style="232"/>
    <col min="15783" max="15783" width="11" style="232"/>
    <col min="15784" max="15784" width="11" style="232"/>
    <col min="15785" max="15785" width="11" style="232"/>
    <col min="15786" max="15786" width="11" style="232"/>
    <col min="15787" max="15787" width="11" style="232"/>
    <col min="15788" max="15788" width="11" style="232"/>
    <col min="15789" max="15789" width="11" style="232"/>
    <col min="15790" max="15790" width="11" style="232"/>
    <col min="15791" max="15791" width="11" style="232"/>
    <col min="15792" max="15792" width="11" style="232"/>
    <col min="15793" max="15793" width="11" style="232"/>
    <col min="15794" max="15794" width="11" style="232"/>
    <col min="15795" max="15795" width="11" style="232"/>
    <col min="15796" max="15796" width="11" style="232"/>
    <col min="15797" max="15797" width="11" style="232"/>
    <col min="15798" max="15798" width="11" style="232"/>
    <col min="15799" max="15799" width="11" style="232"/>
    <col min="15800" max="15800" width="11" style="232"/>
    <col min="15801" max="15801" width="11" style="232"/>
    <col min="15802" max="15802" width="11" style="232"/>
    <col min="15803" max="15803" width="11" style="232"/>
    <col min="15804" max="15804" width="11" style="232"/>
    <col min="15805" max="15805" width="11" style="232"/>
    <col min="15806" max="15806" width="11" style="232"/>
    <col min="15807" max="15807" width="11" style="232"/>
    <col min="15808" max="15808" width="11" style="232"/>
    <col min="15809" max="15809" width="11" style="232"/>
    <col min="15810" max="15810" width="11" style="232"/>
    <col min="15811" max="15811" width="11" style="232"/>
    <col min="15812" max="15812" width="11" style="232"/>
    <col min="15813" max="15813" width="11" style="232"/>
    <col min="15814" max="15814" width="11" style="232"/>
    <col min="15815" max="15815" width="11" style="232"/>
    <col min="15816" max="15816" width="11" style="232"/>
    <col min="15817" max="15817" width="11" style="232"/>
    <col min="15818" max="15818" width="11" style="232"/>
    <col min="15819" max="15819" width="11" style="232"/>
    <col min="15820" max="15820" width="11" style="232"/>
    <col min="15821" max="15821" width="11" style="232"/>
    <col min="15822" max="15822" width="11" style="232"/>
    <col min="15823" max="15823" width="11" style="232"/>
    <col min="15824" max="15824" width="11" style="232"/>
    <col min="15825" max="15825" width="11" style="232"/>
    <col min="15826" max="15826" width="11" style="232"/>
    <col min="15827" max="15827" width="11" style="232"/>
    <col min="15828" max="15828" width="11" style="232"/>
    <col min="15829" max="15829" width="11" style="232"/>
    <col min="15830" max="15830" width="11" style="232"/>
    <col min="15831" max="15831" width="11" style="232"/>
    <col min="15832" max="15832" width="11" style="232"/>
    <col min="15833" max="15833" width="11" style="232"/>
    <col min="15834" max="15834" width="11" style="232"/>
    <col min="15835" max="15835" width="11" style="232"/>
    <col min="15836" max="15836" width="11" style="232"/>
    <col min="15837" max="15837" width="11" style="232"/>
    <col min="15838" max="15838" width="11" style="232"/>
    <col min="15839" max="15839" width="11" style="232"/>
    <col min="15840" max="15840" width="11" style="232"/>
    <col min="15841" max="15841" width="11" style="232"/>
    <col min="15842" max="15842" width="11" style="232"/>
    <col min="15843" max="15843" width="11" style="232"/>
    <col min="15844" max="15844" width="11" style="232"/>
    <col min="15845" max="15845" width="11" style="232"/>
    <col min="15846" max="15846" width="11" style="232"/>
    <col min="15847" max="15847" width="11" style="232"/>
    <col min="15848" max="15848" width="11" style="232"/>
    <col min="15849" max="15849" width="11" style="232"/>
    <col min="15850" max="15850" width="11" style="232"/>
    <col min="15851" max="15851" width="11" style="232"/>
    <col min="15852" max="15852" width="11" style="232"/>
    <col min="15853" max="15853" width="11" style="232"/>
    <col min="15854" max="15854" width="11" style="232"/>
    <col min="15855" max="15855" width="11" style="232"/>
    <col min="15856" max="15856" width="11" style="232"/>
    <col min="15857" max="15857" width="11" style="232"/>
    <col min="15858" max="15858" width="11" style="232"/>
    <col min="15859" max="15859" width="11" style="232"/>
    <col min="15860" max="15860" width="11" style="232"/>
    <col min="15861" max="15861" width="10.140625" customWidth="true" style="232"/>
    <col min="15862" max="15862" width="10.140625" customWidth="true" style="232"/>
    <col min="15863" max="15863" width="10.140625" customWidth="true" style="232"/>
    <col min="15864" max="15864" width="10.140625" customWidth="true" style="232"/>
    <col min="15865" max="15865" width="10.140625" customWidth="true" style="232"/>
    <col min="15866" max="15866" width="10.140625" customWidth="true" style="232"/>
    <col min="15867" max="15867" width="10.140625" customWidth="true" style="232"/>
    <col min="15868" max="15868" width="10.140625" customWidth="true" style="232"/>
    <col min="15869" max="15869" width="10.140625" customWidth="true" style="232"/>
    <col min="15870" max="15870" width="11" style="232"/>
    <col min="15871" max="15871" width="11" style="232"/>
    <col min="15872" max="15872" width="11" style="232"/>
    <col min="15873" max="15873" width="11" style="232"/>
    <col min="15874" max="15874" width="11" style="232"/>
    <col min="15875" max="15875" width="11" style="232"/>
    <col min="15876" max="15876" width="11" style="232"/>
    <col min="15877" max="15877" width="11" style="232"/>
    <col min="15878" max="15878" width="11" style="232"/>
    <col min="15879" max="15879" width="11" style="232"/>
    <col min="15880" max="15880" width="11" style="232"/>
    <col min="15881" max="15881" width="11" style="232"/>
    <col min="15882" max="15882" width="11" style="232"/>
    <col min="15883" max="15883" width="11" style="232"/>
    <col min="15884" max="15884" width="11" style="232"/>
    <col min="15885" max="15885" width="11" style="232"/>
    <col min="15886" max="15886" width="11" style="232"/>
    <col min="15887" max="15887" width="11" style="232"/>
    <col min="15888" max="15888" width="11" style="232"/>
    <col min="15889" max="15889" width="11" style="232"/>
    <col min="15890" max="15890" width="11" style="232"/>
    <col min="15891" max="15891" width="11" style="232"/>
    <col min="15892" max="15892" width="11" style="232"/>
    <col min="15893" max="15893" width="11" style="232"/>
    <col min="15894" max="15894" width="11" style="232"/>
    <col min="15895" max="15895" width="11" style="232"/>
    <col min="15896" max="15896" width="11" style="232"/>
    <col min="15897" max="15897" width="11" style="232"/>
    <col min="15898" max="15898" width="11" style="232"/>
    <col min="15899" max="15899" width="11" style="232"/>
    <col min="15900" max="15900" width="11" style="232"/>
    <col min="15901" max="15901" width="11" style="232"/>
    <col min="15902" max="15902" width="11" style="232"/>
    <col min="15903" max="15903" width="11" style="232"/>
    <col min="15904" max="15904" width="11" style="232"/>
    <col min="15905" max="15905" width="11" style="232"/>
    <col min="15906" max="15906" width="11" style="232"/>
    <col min="15907" max="15907" width="11" style="232"/>
    <col min="15908" max="15908" width="11" style="232"/>
    <col min="15909" max="15909" width="11" style="232"/>
    <col min="15910" max="15910" width="11" style="232"/>
    <col min="15911" max="15911" width="11" style="232"/>
    <col min="15912" max="15912" width="11" style="232"/>
    <col min="15913" max="15913" width="11" style="232"/>
    <col min="15914" max="15914" width="11" style="232"/>
    <col min="15915" max="15915" width="11" style="232"/>
    <col min="15916" max="15916" width="11" style="232"/>
    <col min="15917" max="15917" width="11" style="232"/>
    <col min="15918" max="15918" width="11" style="232"/>
    <col min="15919" max="15919" width="11" style="232"/>
    <col min="15920" max="15920" width="11" style="232"/>
    <col min="15921" max="15921" width="11" style="232"/>
    <col min="15922" max="15922" width="11" style="232"/>
    <col min="15923" max="15923" width="11" style="232"/>
    <col min="15924" max="15924" width="11" style="232"/>
    <col min="15925" max="15925" width="11" style="232"/>
    <col min="15926" max="15926" width="11" style="232"/>
    <col min="15927" max="15927" width="11" style="232"/>
    <col min="15928" max="15928" width="11" style="232"/>
    <col min="15929" max="15929" width="11" style="232"/>
    <col min="15930" max="15930" width="11" style="232"/>
    <col min="15931" max="15931" width="11" style="232"/>
    <col min="15932" max="15932" width="11" style="232"/>
    <col min="15933" max="15933" width="11" style="232"/>
    <col min="15934" max="15934" width="11" style="232"/>
    <col min="15935" max="15935" width="11" style="232"/>
    <col min="15936" max="15936" width="11" style="232"/>
    <col min="15937" max="15937" width="11" style="232"/>
    <col min="15938" max="15938" width="11" style="232"/>
    <col min="15939" max="15939" width="11" style="232"/>
    <col min="15940" max="15940" width="11" style="232"/>
    <col min="15941" max="15941" width="11" style="232"/>
    <col min="15942" max="15942" width="11" style="232"/>
    <col min="15943" max="15943" width="11" style="232"/>
    <col min="15944" max="15944" width="11" style="232"/>
    <col min="15945" max="15945" width="11" style="232"/>
    <col min="15946" max="15946" width="11" style="232"/>
    <col min="15947" max="15947" width="11" style="232"/>
    <col min="15948" max="15948" width="11" style="232"/>
    <col min="15949" max="15949" width="11" style="232"/>
    <col min="15950" max="15950" width="11" style="232"/>
    <col min="15951" max="15951" width="11" style="232"/>
    <col min="15952" max="15952" width="11" style="232"/>
    <col min="15953" max="15953" width="11" style="232"/>
    <col min="15954" max="15954" width="11" style="232"/>
    <col min="15955" max="15955" width="11" style="232"/>
    <col min="15956" max="15956" width="11" style="232"/>
    <col min="15957" max="15957" width="11" style="232"/>
    <col min="15958" max="15958" width="11" style="232"/>
    <col min="15959" max="15959" width="11" style="232"/>
    <col min="15960" max="15960" width="11" style="232"/>
    <col min="15961" max="15961" width="11" style="232"/>
    <col min="15962" max="15962" width="11" style="232"/>
    <col min="15963" max="15963" width="11" style="232"/>
    <col min="15964" max="15964" width="11" style="232"/>
    <col min="15965" max="15965" width="11" style="232"/>
    <col min="15966" max="15966" width="11" style="232"/>
    <col min="15967" max="15967" width="11" style="232"/>
    <col min="15968" max="15968" width="11" style="232"/>
    <col min="15969" max="15969" width="11" style="232"/>
    <col min="15970" max="15970" width="11" style="232"/>
    <col min="15971" max="15971" width="11" style="232"/>
    <col min="15972" max="15972" width="11" style="232"/>
    <col min="15973" max="15973" width="11" style="232"/>
    <col min="15974" max="15974" width="11" style="232"/>
    <col min="15975" max="15975" width="11" style="232"/>
    <col min="15976" max="15976" width="11" style="232"/>
    <col min="15977" max="15977" width="11" style="232"/>
    <col min="15978" max="15978" width="11" style="232"/>
    <col min="15979" max="15979" width="11" style="232"/>
    <col min="15980" max="15980" width="11" style="232"/>
    <col min="15981" max="15981" width="11" style="232"/>
    <col min="15982" max="15982" width="11" style="232"/>
    <col min="15983" max="15983" width="11" style="232"/>
    <col min="15984" max="15984" width="11" style="232"/>
    <col min="15985" max="15985" width="11" style="232"/>
    <col min="15986" max="15986" width="11" style="232"/>
    <col min="15987" max="15987" width="11" style="232"/>
    <col min="15988" max="15988" width="11" style="232"/>
    <col min="15989" max="15989" width="11" style="232"/>
    <col min="15990" max="15990" width="11" style="232"/>
    <col min="15991" max="15991" width="11" style="232"/>
    <col min="15992" max="15992" width="11" style="232"/>
    <col min="15993" max="15993" width="11" style="232"/>
    <col min="15994" max="15994" width="11" style="232"/>
    <col min="15995" max="15995" width="11" style="232"/>
    <col min="15996" max="15996" width="11" style="232"/>
    <col min="15997" max="15997" width="11" style="232"/>
    <col min="15998" max="15998" width="11" style="232"/>
    <col min="15999" max="15999" width="11" style="232"/>
    <col min="16000" max="16000" width="11" style="232"/>
    <col min="16001" max="16001" width="11" style="232"/>
    <col min="16002" max="16002" width="11" style="232"/>
    <col min="16003" max="16003" width="11" style="232"/>
    <col min="16004" max="16004" width="11" style="232"/>
    <col min="16005" max="16005" width="11" style="232"/>
    <col min="16006" max="16006" width="11" style="232"/>
    <col min="16007" max="16007" width="11" style="232"/>
    <col min="16008" max="16008" width="11" style="232"/>
    <col min="16009" max="16009" width="11" style="232"/>
    <col min="16010" max="16010" width="11" style="232"/>
    <col min="16011" max="16011" width="11" style="232"/>
    <col min="16012" max="16012" width="11" style="232"/>
    <col min="16013" max="16013" width="11" style="232"/>
    <col min="16014" max="16014" width="11" style="232"/>
    <col min="16015" max="16015" width="11" style="232"/>
    <col min="16016" max="16016" width="11" style="232"/>
    <col min="16017" max="16017" width="11" style="232"/>
    <col min="16018" max="16018" width="11" style="232"/>
    <col min="16019" max="16019" width="11" style="232"/>
    <col min="16020" max="16020" width="11" style="232"/>
    <col min="16021" max="16021" width="11" style="232"/>
    <col min="16022" max="16022" width="11" style="232"/>
    <col min="16023" max="16023" width="11" style="232"/>
    <col min="16024" max="16024" width="11" style="232"/>
    <col min="16025" max="16025" width="11" style="232"/>
    <col min="16026" max="16026" width="11" style="232"/>
    <col min="16027" max="16027" width="11" style="232"/>
    <col min="16028" max="16028" width="11" style="232"/>
    <col min="16029" max="16029" width="11" style="232"/>
    <col min="16030" max="16030" width="11" style="232"/>
    <col min="16031" max="16031" width="11" style="232"/>
    <col min="16032" max="16032" width="11" style="232"/>
    <col min="16033" max="16033" width="11" style="232"/>
    <col min="16034" max="16034" width="11" style="232"/>
    <col min="16035" max="16035" width="11" style="232"/>
    <col min="16036" max="16036" width="11" style="232"/>
    <col min="16037" max="16037" width="11" style="232"/>
    <col min="16038" max="16038" width="11" style="232"/>
    <col min="16039" max="16039" width="11" style="232"/>
    <col min="16040" max="16040" width="11" style="232"/>
    <col min="16041" max="16041" width="11" style="232"/>
    <col min="16042" max="16042" width="11" style="232"/>
    <col min="16043" max="16043" width="11" style="232"/>
    <col min="16044" max="16044" width="11" style="232"/>
    <col min="16045" max="16045" width="11" style="232"/>
    <col min="16046" max="16046" width="11" style="232"/>
    <col min="16047" max="16047" width="11" style="232"/>
    <col min="16048" max="16048" width="11" style="232"/>
    <col min="16049" max="16049" width="11" style="232"/>
    <col min="16050" max="16050" width="11" style="232"/>
    <col min="16051" max="16051" width="11" style="232"/>
    <col min="16052" max="16052" width="11" style="232"/>
    <col min="16053" max="16053" width="11" style="232"/>
    <col min="16054" max="16054" width="11" style="232"/>
    <col min="16055" max="16055" width="11" style="232"/>
    <col min="16056" max="16056" width="11" style="232"/>
    <col min="16057" max="16057" width="11" style="232"/>
    <col min="16058" max="16058" width="11" style="232"/>
    <col min="16059" max="16059" width="11" style="232"/>
    <col min="16060" max="16060" width="11" style="232"/>
    <col min="16061" max="16061" width="11" style="232"/>
    <col min="16062" max="16062" width="11" style="232"/>
    <col min="16063" max="16063" width="11" style="232"/>
    <col min="16064" max="16064" width="11" style="232"/>
    <col min="16065" max="16065" width="11" style="232"/>
    <col min="16066" max="16066" width="11" style="232"/>
    <col min="16067" max="16067" width="11" style="232"/>
    <col min="16068" max="16068" width="11" style="232"/>
    <col min="16069" max="16069" width="11" style="232"/>
    <col min="16070" max="16070" width="11" style="232"/>
    <col min="16071" max="16071" width="11" style="232"/>
    <col min="16072" max="16072" width="11" style="232"/>
    <col min="16073" max="16073" width="11" style="232"/>
    <col min="16074" max="16074" width="11" style="232"/>
    <col min="16075" max="16075" width="11" style="232"/>
    <col min="16076" max="16076" width="11" style="232"/>
    <col min="16077" max="16077" width="11" style="232"/>
    <col min="16078" max="16078" width="11" style="232"/>
    <col min="16079" max="16079" width="11" style="232"/>
    <col min="16080" max="16080" width="11" style="232"/>
    <col min="16081" max="16081" width="11" style="232"/>
    <col min="16082" max="16082" width="11" style="232"/>
    <col min="16083" max="16083" width="11" style="232"/>
    <col min="16084" max="16084" width="11" style="232"/>
    <col min="16085" max="16085" width="11" style="232"/>
    <col min="16086" max="16086" width="11" style="232"/>
    <col min="16087" max="16087" width="11" style="232"/>
    <col min="16088" max="16088" width="11" style="232"/>
    <col min="16089" max="16089" width="11" style="232"/>
    <col min="16090" max="16090" width="11" style="232"/>
    <col min="16091" max="16091" width="11" style="232"/>
    <col min="16092" max="16092" width="11" style="232"/>
    <col min="16093" max="16093" width="11" style="232"/>
    <col min="16094" max="16094" width="11" style="232"/>
    <col min="16095" max="16095" width="11" style="232"/>
    <col min="16096" max="16096" width="11" style="232"/>
    <col min="16097" max="16097" width="11" style="232"/>
    <col min="16098" max="16098" width="11" style="232"/>
    <col min="16099" max="16099" width="11" style="232"/>
    <col min="16100" max="16100" width="11" style="232"/>
    <col min="16101" max="16101" width="11" style="232"/>
    <col min="16102" max="16102" width="11" style="232"/>
    <col min="16103" max="16103" width="11" style="232"/>
    <col min="16104" max="16104" width="11" style="232"/>
    <col min="16105" max="16105" width="11" style="232"/>
    <col min="16106" max="16106" width="11" style="232"/>
    <col min="16107" max="16107" width="11" style="232"/>
    <col min="16108" max="16108" width="11" style="232"/>
    <col min="16109" max="16109" width="11" style="232"/>
    <col min="16110" max="16110" width="11" style="232"/>
    <col min="16111" max="16111" width="11" style="232"/>
    <col min="16112" max="16112" width="11" style="232"/>
    <col min="16113" max="16113" width="11" style="232"/>
    <col min="16114" max="16114" width="11" style="232"/>
    <col min="16115" max="16115" width="11" style="232"/>
    <col min="16116" max="16116" width="11" style="232"/>
    <col min="16117" max="16117" width="10.140625" customWidth="true" style="232"/>
    <col min="16118" max="16118" width="10.140625" customWidth="true" style="232"/>
    <col min="16119" max="16119" width="10.140625" customWidth="true" style="232"/>
    <col min="16120" max="16120" width="10.140625" customWidth="true" style="232"/>
    <col min="16121" max="16121" width="10.140625" customWidth="true" style="232"/>
    <col min="16122" max="16122" width="10.140625" customWidth="true" style="232"/>
    <col min="16123" max="16123" width="10.140625" customWidth="true" style="232"/>
    <col min="16124" max="16124" width="10.140625" customWidth="true" style="232"/>
    <col min="16125" max="16125" width="10.140625" customWidth="true" style="232"/>
    <col min="16126" max="16126" width="11" style="232"/>
  </cols>
  <sheetData>
    <row r="1" spans="1:16126" s="104" customFormat="1">
      <c r="A1" s="414"/>
      <c r="B1" s="437" t="s">
        <v>35</v>
      </c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8" t="s">
        <v>1</v>
      </c>
      <c r="P1" s="326"/>
    </row>
    <row r="2" spans="1:16126" s="103" customFormat="1">
      <c r="A2" s="415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9"/>
      <c r="P2" s="328"/>
    </row>
    <row r="3" spans="1:16126" s="103" customFormat="1">
      <c r="A3" s="415"/>
      <c r="B3" s="284" t="s">
        <v>2</v>
      </c>
      <c r="C3" s="440" t="s">
        <v>36</v>
      </c>
      <c r="D3" s="440"/>
      <c r="E3" s="285" t="s">
        <v>4</v>
      </c>
      <c r="F3" s="441" t="str">
        <f>'Fr-01'!G3</f>
        <v>ชื่อองค์กรที่ขอขึ้นทะเบียน</v>
      </c>
      <c r="G3" s="441"/>
      <c r="H3" s="441"/>
      <c r="I3" s="441"/>
      <c r="J3" s="441"/>
      <c r="K3" s="441"/>
      <c r="L3" s="441"/>
      <c r="M3" s="441"/>
      <c r="N3" s="441"/>
      <c r="O3" s="284" t="s">
        <v>5</v>
      </c>
      <c r="P3" s="286">
        <v>3</v>
      </c>
    </row>
    <row r="4" spans="1:16126" s="248" customFormat="1">
      <c r="A4" s="416"/>
      <c r="B4" s="284" t="s">
        <v>6</v>
      </c>
      <c r="C4" s="441" t="s">
        <v>37</v>
      </c>
      <c r="D4" s="441"/>
      <c r="E4" s="285" t="s">
        <v>8</v>
      </c>
      <c r="F4" s="441">
        <f>'Fr-01'!G4</f>
        <v>0</v>
      </c>
      <c r="G4" s="441"/>
      <c r="H4" s="441"/>
      <c r="I4" s="441"/>
      <c r="J4" s="441"/>
      <c r="K4" s="441"/>
      <c r="L4" s="441"/>
      <c r="M4" s="441"/>
      <c r="N4" s="441"/>
      <c r="O4" s="284" t="s">
        <v>30</v>
      </c>
      <c r="P4" s="286"/>
    </row>
    <row r="5" spans="1:16126">
      <c r="A5" s="442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4"/>
    </row>
    <row r="6" spans="1:16126" s="248" customFormat="1">
      <c r="A6" s="287" t="s">
        <v>38</v>
      </c>
      <c r="B6" s="445" t="s">
        <v>39</v>
      </c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6"/>
    </row>
    <row r="7" spans="1:16126" s="248" customFormat="1">
      <c r="A7" s="447"/>
      <c r="B7" s="448"/>
      <c r="C7" s="448"/>
      <c r="D7" s="448"/>
      <c r="E7" s="448"/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9"/>
    </row>
    <row r="8" spans="1:16126" s="248" customFormat="1">
      <c r="A8" s="450" t="s">
        <v>40</v>
      </c>
      <c r="B8" s="450"/>
      <c r="C8" s="450" t="s">
        <v>38</v>
      </c>
      <c r="D8" s="450"/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/>
      <c r="P8" s="450"/>
    </row>
    <row r="9" spans="1:16126" customHeight="1" ht="51" s="248" customFormat="1">
      <c r="A9" s="435" t="s">
        <v>41</v>
      </c>
      <c r="B9" s="435"/>
      <c r="C9" s="436" t="s">
        <v>42</v>
      </c>
      <c r="D9" s="436"/>
      <c r="E9" s="436"/>
      <c r="F9" s="436"/>
      <c r="G9" s="436"/>
      <c r="H9" s="436"/>
      <c r="I9" s="436"/>
      <c r="J9" s="436"/>
      <c r="K9" s="436"/>
      <c r="L9" s="436"/>
      <c r="M9" s="436"/>
      <c r="N9" s="436"/>
      <c r="O9" s="436"/>
      <c r="P9" s="436"/>
    </row>
    <row r="10" spans="1:16126" customHeight="1" ht="51" s="248" customFormat="1">
      <c r="A10" s="435" t="s">
        <v>43</v>
      </c>
      <c r="B10" s="435"/>
      <c r="C10" s="436" t="s">
        <v>44</v>
      </c>
      <c r="D10" s="436"/>
      <c r="E10" s="436"/>
      <c r="F10" s="436"/>
      <c r="G10" s="436"/>
      <c r="H10" s="436"/>
      <c r="I10" s="436"/>
      <c r="J10" s="436"/>
      <c r="K10" s="436"/>
      <c r="L10" s="436"/>
      <c r="M10" s="436"/>
      <c r="N10" s="436"/>
      <c r="O10" s="436"/>
      <c r="P10" s="436"/>
    </row>
    <row r="11" spans="1:16126" customHeight="1" ht="51" s="248" customFormat="1">
      <c r="A11" s="451" t="s">
        <v>45</v>
      </c>
      <c r="B11" s="451"/>
      <c r="C11" s="452" t="s">
        <v>46</v>
      </c>
      <c r="D11" s="453"/>
      <c r="E11" s="453"/>
      <c r="F11" s="453"/>
      <c r="G11" s="453"/>
      <c r="H11" s="453"/>
      <c r="I11" s="453"/>
      <c r="J11" s="453"/>
      <c r="K11" s="453"/>
      <c r="L11" s="453"/>
      <c r="M11" s="453"/>
      <c r="N11" s="453"/>
      <c r="O11" s="453"/>
      <c r="P11" s="454"/>
    </row>
    <row r="12" spans="1:16126" customHeight="1" ht="51" s="248" customFormat="1">
      <c r="A12" s="451" t="s">
        <v>47</v>
      </c>
      <c r="B12" s="451"/>
      <c r="C12" s="452" t="s">
        <v>48</v>
      </c>
      <c r="D12" s="453"/>
      <c r="E12" s="453"/>
      <c r="F12" s="453"/>
      <c r="G12" s="453"/>
      <c r="H12" s="453"/>
      <c r="I12" s="453"/>
      <c r="J12" s="453"/>
      <c r="K12" s="453"/>
      <c r="L12" s="453"/>
      <c r="M12" s="453"/>
      <c r="N12" s="453"/>
      <c r="O12" s="453"/>
      <c r="P12" s="454"/>
    </row>
    <row r="13" spans="1:16126" customHeight="1" ht="51" s="248" customFormat="1">
      <c r="A13" s="435" t="s">
        <v>49</v>
      </c>
      <c r="B13" s="435"/>
      <c r="C13" s="436" t="s">
        <v>50</v>
      </c>
      <c r="D13" s="436"/>
      <c r="E13" s="436"/>
      <c r="F13" s="436"/>
      <c r="G13" s="436"/>
      <c r="H13" s="436"/>
      <c r="I13" s="436"/>
      <c r="J13" s="436"/>
      <c r="K13" s="436"/>
      <c r="L13" s="436"/>
      <c r="M13" s="436"/>
      <c r="N13" s="436"/>
      <c r="O13" s="436"/>
      <c r="P13" s="436"/>
    </row>
    <row r="14" spans="1:16126" customHeight="1" ht="51" s="248" customFormat="1">
      <c r="A14" s="435" t="s">
        <v>51</v>
      </c>
      <c r="B14" s="435"/>
      <c r="C14" s="436" t="s">
        <v>52</v>
      </c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</row>
    <row r="15" spans="1:16126" customHeight="1" ht="51" s="248" customFormat="1">
      <c r="A15" s="435" t="s">
        <v>53</v>
      </c>
      <c r="B15" s="435"/>
      <c r="C15" s="436" t="s">
        <v>54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6"/>
      <c r="O15" s="436"/>
      <c r="P15" s="436"/>
    </row>
    <row r="16" spans="1:16126" s="248" customFormat="1">
      <c r="A16" s="288" t="s">
        <v>55</v>
      </c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34"/>
      <c r="O16" s="234"/>
      <c r="P16" s="235"/>
    </row>
    <row r="17" spans="1:16126" s="248" customFormat="1">
      <c r="A17" s="236"/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5"/>
    </row>
    <row r="18" spans="1:16126" customHeight="1" ht="63.75" s="248" customFormat="1">
      <c r="A18" s="290" t="s">
        <v>56</v>
      </c>
      <c r="B18" s="291" t="s">
        <v>57</v>
      </c>
      <c r="C18" s="292" t="s">
        <v>41</v>
      </c>
      <c r="D18" s="293" t="s">
        <v>58</v>
      </c>
      <c r="E18" s="293" t="s">
        <v>59</v>
      </c>
      <c r="F18" s="455" t="s">
        <v>60</v>
      </c>
      <c r="G18" s="455"/>
      <c r="H18" s="456" t="s">
        <v>49</v>
      </c>
      <c r="I18" s="457"/>
      <c r="J18" s="458"/>
      <c r="K18" s="459" t="s">
        <v>51</v>
      </c>
      <c r="L18" s="459"/>
      <c r="M18" s="459"/>
      <c r="N18" s="294" t="s">
        <v>53</v>
      </c>
      <c r="O18" s="455" t="s">
        <v>61</v>
      </c>
      <c r="P18" s="455"/>
    </row>
    <row r="19" spans="1:16126" s="248" customFormat="1">
      <c r="A19" s="295">
        <v>1</v>
      </c>
      <c r="B19" s="296" t="s">
        <v>62</v>
      </c>
      <c r="C19" s="297" t="s">
        <v>63</v>
      </c>
      <c r="D19" s="298"/>
      <c r="E19" s="298"/>
      <c r="F19" s="460"/>
      <c r="G19" s="460"/>
      <c r="H19" s="461"/>
      <c r="I19" s="462"/>
      <c r="J19" s="463"/>
      <c r="K19" s="464"/>
      <c r="L19" s="464"/>
      <c r="M19" s="464"/>
      <c r="N19" s="299"/>
      <c r="O19" s="447"/>
      <c r="P19" s="449"/>
    </row>
    <row r="20" spans="1:16126" s="248" customFormat="1">
      <c r="A20" s="295">
        <v>2</v>
      </c>
      <c r="B20" s="296" t="s">
        <v>64</v>
      </c>
      <c r="C20" s="297" t="s">
        <v>63</v>
      </c>
      <c r="D20" s="300"/>
      <c r="E20" s="300"/>
      <c r="F20" s="460"/>
      <c r="G20" s="460"/>
      <c r="H20" s="461"/>
      <c r="I20" s="462"/>
      <c r="J20" s="463"/>
      <c r="K20" s="464"/>
      <c r="L20" s="464"/>
      <c r="M20" s="464"/>
      <c r="N20" s="299"/>
      <c r="O20" s="447"/>
      <c r="P20" s="449"/>
    </row>
    <row r="21" spans="1:16126" s="248" customFormat="1">
      <c r="A21" s="295">
        <v>3</v>
      </c>
      <c r="B21" s="296" t="s">
        <v>65</v>
      </c>
      <c r="C21" s="297" t="s">
        <v>63</v>
      </c>
      <c r="D21" s="300"/>
      <c r="E21" s="300"/>
      <c r="F21" s="460"/>
      <c r="G21" s="460"/>
      <c r="H21" s="461"/>
      <c r="I21" s="462"/>
      <c r="J21" s="463"/>
      <c r="K21" s="464"/>
      <c r="L21" s="464"/>
      <c r="M21" s="464"/>
      <c r="N21" s="299"/>
      <c r="O21" s="447"/>
      <c r="P21" s="449"/>
    </row>
    <row r="22" spans="1:16126" s="248" customFormat="1">
      <c r="A22" s="295">
        <v>4</v>
      </c>
      <c r="B22" s="296" t="s">
        <v>66</v>
      </c>
      <c r="C22" s="297" t="s">
        <v>63</v>
      </c>
      <c r="D22" s="300"/>
      <c r="E22" s="300"/>
      <c r="F22" s="460"/>
      <c r="G22" s="460"/>
      <c r="H22" s="461"/>
      <c r="I22" s="462"/>
      <c r="J22" s="463"/>
      <c r="K22" s="464"/>
      <c r="L22" s="464"/>
      <c r="M22" s="464"/>
      <c r="N22" s="299"/>
      <c r="O22" s="447"/>
      <c r="P22" s="449"/>
    </row>
    <row r="23" spans="1:16126" s="248" customFormat="1">
      <c r="A23" s="295">
        <v>5</v>
      </c>
      <c r="B23" s="296" t="s">
        <v>67</v>
      </c>
      <c r="C23" s="297" t="s">
        <v>63</v>
      </c>
      <c r="D23" s="300"/>
      <c r="E23" s="300"/>
      <c r="F23" s="460"/>
      <c r="G23" s="460"/>
      <c r="H23" s="461"/>
      <c r="I23" s="462"/>
      <c r="J23" s="463"/>
      <c r="K23" s="464"/>
      <c r="L23" s="464"/>
      <c r="M23" s="464"/>
      <c r="N23" s="299"/>
      <c r="O23" s="447"/>
      <c r="P23" s="449"/>
    </row>
    <row r="24" spans="1:16126" s="248" customFormat="1">
      <c r="A24" s="295">
        <v>6</v>
      </c>
      <c r="B24" s="296" t="s">
        <v>68</v>
      </c>
      <c r="C24" s="297" t="s">
        <v>63</v>
      </c>
      <c r="D24" s="300"/>
      <c r="E24" s="300"/>
      <c r="F24" s="460"/>
      <c r="G24" s="460"/>
      <c r="H24" s="461"/>
      <c r="I24" s="462"/>
      <c r="J24" s="463"/>
      <c r="K24" s="464"/>
      <c r="L24" s="464"/>
      <c r="M24" s="464"/>
      <c r="N24" s="299"/>
      <c r="O24" s="447"/>
      <c r="P24" s="449"/>
    </row>
    <row r="25" spans="1:16126" s="248" customFormat="1">
      <c r="A25" s="295">
        <v>7</v>
      </c>
      <c r="B25" s="296" t="s">
        <v>69</v>
      </c>
      <c r="C25" s="297" t="s">
        <v>63</v>
      </c>
      <c r="D25" s="300"/>
      <c r="E25" s="300"/>
      <c r="F25" s="460"/>
      <c r="G25" s="460"/>
      <c r="H25" s="461"/>
      <c r="I25" s="462"/>
      <c r="J25" s="463"/>
      <c r="K25" s="464"/>
      <c r="L25" s="464"/>
      <c r="M25" s="464"/>
      <c r="N25" s="299"/>
      <c r="O25" s="447"/>
      <c r="P25" s="449"/>
    </row>
    <row r="26" spans="1:16126" s="248" customFormat="1">
      <c r="A26" s="295">
        <v>8</v>
      </c>
      <c r="B26" s="296" t="s">
        <v>70</v>
      </c>
      <c r="C26" s="297" t="s">
        <v>63</v>
      </c>
      <c r="D26" s="300"/>
      <c r="E26" s="300"/>
      <c r="F26" s="460"/>
      <c r="G26" s="460"/>
      <c r="H26" s="461"/>
      <c r="I26" s="462"/>
      <c r="J26" s="463"/>
      <c r="K26" s="464"/>
      <c r="L26" s="464"/>
      <c r="M26" s="464"/>
      <c r="N26" s="299"/>
      <c r="O26" s="447"/>
      <c r="P26" s="449"/>
    </row>
    <row r="27" spans="1:16126" s="248" customFormat="1">
      <c r="A27" s="295">
        <v>9</v>
      </c>
      <c r="B27" s="296" t="s">
        <v>71</v>
      </c>
      <c r="C27" s="297" t="s">
        <v>63</v>
      </c>
      <c r="D27" s="300"/>
      <c r="E27" s="300"/>
      <c r="F27" s="460"/>
      <c r="G27" s="460"/>
      <c r="H27" s="461"/>
      <c r="I27" s="462"/>
      <c r="J27" s="463"/>
      <c r="K27" s="464"/>
      <c r="L27" s="464"/>
      <c r="M27" s="464"/>
      <c r="N27" s="299"/>
      <c r="O27" s="447"/>
      <c r="P27" s="449"/>
    </row>
    <row r="28" spans="1:16126" s="248" customFormat="1">
      <c r="A28" s="295">
        <v>10</v>
      </c>
      <c r="B28" s="296" t="s">
        <v>72</v>
      </c>
      <c r="C28" s="297" t="s">
        <v>63</v>
      </c>
      <c r="D28" s="300"/>
      <c r="E28" s="300"/>
      <c r="F28" s="460"/>
      <c r="G28" s="460"/>
      <c r="H28" s="461"/>
      <c r="I28" s="462"/>
      <c r="J28" s="463"/>
      <c r="K28" s="464"/>
      <c r="L28" s="464"/>
      <c r="M28" s="464"/>
      <c r="N28" s="299"/>
      <c r="O28" s="465"/>
      <c r="P28" s="465"/>
    </row>
    <row r="29" spans="1:16126" s="248" customFormat="1">
      <c r="A29" s="295">
        <v>11</v>
      </c>
      <c r="B29" s="296" t="s">
        <v>73</v>
      </c>
      <c r="C29" s="297" t="s">
        <v>63</v>
      </c>
      <c r="D29" s="300"/>
      <c r="E29" s="300"/>
      <c r="F29" s="460"/>
      <c r="G29" s="460"/>
      <c r="H29" s="461"/>
      <c r="I29" s="462"/>
      <c r="J29" s="463"/>
      <c r="K29" s="464"/>
      <c r="L29" s="464"/>
      <c r="M29" s="464"/>
      <c r="N29" s="299"/>
      <c r="O29" s="465"/>
      <c r="P29" s="465"/>
    </row>
    <row r="30" spans="1:16126" s="248" customFormat="1">
      <c r="A30" s="295">
        <v>12</v>
      </c>
      <c r="B30" s="296" t="s">
        <v>74</v>
      </c>
      <c r="C30" s="297" t="s">
        <v>63</v>
      </c>
      <c r="D30" s="300"/>
      <c r="E30" s="300"/>
      <c r="F30" s="460"/>
      <c r="G30" s="460"/>
      <c r="H30" s="461"/>
      <c r="I30" s="462"/>
      <c r="J30" s="463"/>
      <c r="K30" s="464"/>
      <c r="L30" s="464"/>
      <c r="M30" s="464"/>
      <c r="N30" s="299"/>
      <c r="O30" s="465"/>
      <c r="P30" s="465"/>
    </row>
    <row r="31" spans="1:16126" s="248" customFormat="1">
      <c r="A31" s="295">
        <v>13</v>
      </c>
      <c r="B31" s="296" t="s">
        <v>75</v>
      </c>
      <c r="C31" s="297" t="s">
        <v>63</v>
      </c>
      <c r="D31" s="300"/>
      <c r="E31" s="300"/>
      <c r="F31" s="460"/>
      <c r="G31" s="460"/>
      <c r="H31" s="461"/>
      <c r="I31" s="462"/>
      <c r="J31" s="463"/>
      <c r="K31" s="464"/>
      <c r="L31" s="464"/>
      <c r="M31" s="464"/>
      <c r="N31" s="299"/>
      <c r="O31" s="465"/>
      <c r="P31" s="465"/>
    </row>
    <row r="32" spans="1:16126" s="248" customFormat="1">
      <c r="A32" s="295">
        <v>14</v>
      </c>
      <c r="B32" s="296" t="s">
        <v>76</v>
      </c>
      <c r="C32" s="297" t="s">
        <v>63</v>
      </c>
      <c r="D32" s="300"/>
      <c r="E32" s="300"/>
      <c r="F32" s="460"/>
      <c r="G32" s="460"/>
      <c r="H32" s="461"/>
      <c r="I32" s="462"/>
      <c r="J32" s="463"/>
      <c r="K32" s="464"/>
      <c r="L32" s="464"/>
      <c r="M32" s="464"/>
      <c r="N32" s="299"/>
      <c r="O32" s="465"/>
      <c r="P32" s="465"/>
    </row>
    <row r="33" spans="1:16126" s="248" customFormat="1">
      <c r="A33" s="295">
        <v>15</v>
      </c>
      <c r="B33" s="296" t="s">
        <v>77</v>
      </c>
      <c r="C33" s="297" t="s">
        <v>63</v>
      </c>
      <c r="D33" s="300"/>
      <c r="E33" s="300"/>
      <c r="F33" s="460"/>
      <c r="G33" s="460"/>
      <c r="H33" s="461"/>
      <c r="I33" s="462"/>
      <c r="J33" s="463"/>
      <c r="K33" s="464"/>
      <c r="L33" s="464"/>
      <c r="M33" s="464"/>
      <c r="N33" s="299"/>
      <c r="O33" s="465"/>
      <c r="P33" s="465"/>
    </row>
    <row r="34" spans="1:16126" s="248" customFormat="1">
      <c r="A34" s="236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5"/>
    </row>
    <row r="35" spans="1:16126" s="248" customFormat="1">
      <c r="A35" s="237" t="s">
        <v>78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5"/>
    </row>
    <row r="36" spans="1:16126" s="248" customFormat="1">
      <c r="A36" s="230"/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9"/>
    </row>
    <row r="37" spans="1:16126" s="248" customFormat="1">
      <c r="A37" s="230"/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2"/>
      <c r="P37" s="239"/>
    </row>
    <row r="38" spans="1:16126" s="248" customFormat="1">
      <c r="A38" s="230"/>
      <c r="B38" s="230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9"/>
      <c r="P38" s="239"/>
    </row>
    <row r="39" spans="1:16126" s="248" customFormat="1">
      <c r="A39" s="230"/>
      <c r="B39" s="230"/>
      <c r="C39" s="238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9"/>
      <c r="P39" s="239"/>
    </row>
    <row r="40" spans="1:16126" s="248" customFormat="1">
      <c r="A40" s="230"/>
      <c r="B40" s="230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9"/>
      <c r="P40" s="239"/>
    </row>
    <row r="41" spans="1:16126" s="248" customFormat="1">
      <c r="A41" s="230"/>
      <c r="B41" s="230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9"/>
      <c r="P41" s="239"/>
    </row>
    <row r="42" spans="1:16126" s="248" customFormat="1">
      <c r="A42" s="230"/>
      <c r="B42" s="230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9"/>
      <c r="P42" s="239"/>
    </row>
    <row r="43" spans="1:16126" s="248" customFormat="1">
      <c r="A43" s="230"/>
      <c r="B43" s="230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9"/>
      <c r="P43" s="239"/>
    </row>
    <row r="44" spans="1:16126" s="248" customFormat="1">
      <c r="A44" s="230"/>
      <c r="B44" s="230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239"/>
    </row>
    <row r="45" spans="1:16126" s="248" customFormat="1">
      <c r="A45" s="230"/>
      <c r="B45" s="230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9"/>
      <c r="P45" s="239"/>
    </row>
    <row r="46" spans="1:16126" s="248" customFormat="1">
      <c r="A46" s="230"/>
      <c r="B46" s="230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9"/>
      <c r="P46" s="239"/>
    </row>
    <row r="47" spans="1:16126" s="248" customFormat="1">
      <c r="A47" s="230"/>
      <c r="B47" s="230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9"/>
      <c r="P47" s="239"/>
    </row>
    <row r="48" spans="1:16126" s="248" customFormat="1">
      <c r="A48" s="230"/>
      <c r="B48" s="230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9"/>
      <c r="P48" s="239"/>
    </row>
    <row r="49" spans="1:16126" s="248" customFormat="1">
      <c r="A49" s="230"/>
      <c r="B49" s="230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239"/>
    </row>
    <row r="50" spans="1:16126" s="248" customFormat="1">
      <c r="A50" s="230"/>
      <c r="B50" s="230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9"/>
      <c r="P50" s="239"/>
    </row>
    <row r="51" spans="1:16126" s="248" customFormat="1">
      <c r="A51" s="230"/>
      <c r="B51" s="230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9"/>
      <c r="P51" s="239"/>
    </row>
    <row r="52" spans="1:16126" s="248" customFormat="1">
      <c r="A52" s="230"/>
      <c r="B52" s="230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9"/>
      <c r="P52" s="239"/>
    </row>
    <row r="53" spans="1:16126" s="248" customFormat="1">
      <c r="A53" s="230"/>
      <c r="B53" s="230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9"/>
      <c r="P53" s="239"/>
    </row>
    <row r="54" spans="1:16126" s="248" customFormat="1">
      <c r="A54" s="230"/>
      <c r="B54" s="230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9"/>
      <c r="P54" s="239"/>
    </row>
    <row r="55" spans="1:16126" s="248" customFormat="1">
      <c r="A55" s="230"/>
      <c r="B55" s="230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9"/>
      <c r="P55" s="239"/>
    </row>
    <row r="56" spans="1:16126" s="248" customFormat="1">
      <c r="A56" s="230"/>
      <c r="B56" s="230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9"/>
      <c r="P56" s="239"/>
    </row>
    <row r="57" spans="1:16126" s="248" customFormat="1">
      <c r="A57" s="230"/>
      <c r="B57" s="230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239"/>
    </row>
    <row r="58" spans="1:16126" s="248" customFormat="1">
      <c r="A58" s="230"/>
      <c r="B58" s="230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9"/>
      <c r="P58" s="239"/>
    </row>
    <row r="59" spans="1:16126" s="248" customFormat="1">
      <c r="A59" s="230"/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5"/>
      <c r="P59" s="239"/>
    </row>
    <row r="60" spans="1:16126" s="248" customFormat="1">
      <c r="A60" s="243"/>
      <c r="B60" s="244"/>
      <c r="C60" s="244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5"/>
    </row>
  </sheetData>
  <mergeCells>
    <mergeCell ref="F32:G32"/>
    <mergeCell ref="H32:J32"/>
    <mergeCell ref="K32:M32"/>
    <mergeCell ref="O32:P32"/>
    <mergeCell ref="F33:G33"/>
    <mergeCell ref="H33:J33"/>
    <mergeCell ref="K33:M33"/>
    <mergeCell ref="O33:P33"/>
    <mergeCell ref="F30:G30"/>
    <mergeCell ref="H30:J30"/>
    <mergeCell ref="K30:M30"/>
    <mergeCell ref="O30:P30"/>
    <mergeCell ref="F31:G31"/>
    <mergeCell ref="H31:J31"/>
    <mergeCell ref="K31:M31"/>
    <mergeCell ref="O31:P31"/>
    <mergeCell ref="F28:G28"/>
    <mergeCell ref="H28:J28"/>
    <mergeCell ref="K28:M28"/>
    <mergeCell ref="O28:P28"/>
    <mergeCell ref="F29:G29"/>
    <mergeCell ref="H29:J29"/>
    <mergeCell ref="K29:M29"/>
    <mergeCell ref="O29:P29"/>
    <mergeCell ref="F26:G26"/>
    <mergeCell ref="H26:J26"/>
    <mergeCell ref="K26:M26"/>
    <mergeCell ref="O26:P26"/>
    <mergeCell ref="F27:G27"/>
    <mergeCell ref="H27:J27"/>
    <mergeCell ref="K27:M27"/>
    <mergeCell ref="O27:P27"/>
    <mergeCell ref="F24:G24"/>
    <mergeCell ref="H24:J24"/>
    <mergeCell ref="K24:M24"/>
    <mergeCell ref="O24:P24"/>
    <mergeCell ref="F25:G25"/>
    <mergeCell ref="H25:J25"/>
    <mergeCell ref="K25:M25"/>
    <mergeCell ref="O25:P25"/>
    <mergeCell ref="F22:G22"/>
    <mergeCell ref="H22:J22"/>
    <mergeCell ref="K22:M22"/>
    <mergeCell ref="O22:P22"/>
    <mergeCell ref="F23:G23"/>
    <mergeCell ref="H23:J23"/>
    <mergeCell ref="K23:M23"/>
    <mergeCell ref="O23:P23"/>
    <mergeCell ref="F20:G20"/>
    <mergeCell ref="H20:J20"/>
    <mergeCell ref="K20:M20"/>
    <mergeCell ref="O20:P20"/>
    <mergeCell ref="F21:G21"/>
    <mergeCell ref="H21:J21"/>
    <mergeCell ref="K21:M21"/>
    <mergeCell ref="O21:P21"/>
    <mergeCell ref="F18:G18"/>
    <mergeCell ref="H18:J18"/>
    <mergeCell ref="K18:M18"/>
    <mergeCell ref="O18:P18"/>
    <mergeCell ref="F19:G19"/>
    <mergeCell ref="H19:J19"/>
    <mergeCell ref="K19:M19"/>
    <mergeCell ref="O19:P19"/>
    <mergeCell ref="A13:B13"/>
    <mergeCell ref="C13:P13"/>
    <mergeCell ref="A14:B14"/>
    <mergeCell ref="C14:P14"/>
    <mergeCell ref="A15:B15"/>
    <mergeCell ref="C15:P15"/>
    <mergeCell ref="A10:B10"/>
    <mergeCell ref="C10:P10"/>
    <mergeCell ref="A11:B11"/>
    <mergeCell ref="C11:P11"/>
    <mergeCell ref="A12:B12"/>
    <mergeCell ref="C12:P12"/>
    <mergeCell ref="A9:B9"/>
    <mergeCell ref="C9:P9"/>
    <mergeCell ref="A1:A4"/>
    <mergeCell ref="B1:N2"/>
    <mergeCell ref="O1:P2"/>
    <mergeCell ref="C3:D3"/>
    <mergeCell ref="F3:N3"/>
    <mergeCell ref="C4:D4"/>
    <mergeCell ref="F4:N4"/>
    <mergeCell ref="A5:P5"/>
    <mergeCell ref="B6:P6"/>
    <mergeCell ref="A7:P7"/>
    <mergeCell ref="A8:B8"/>
    <mergeCell ref="C8:P8"/>
  </mergeCells>
  <conditionalFormatting sqref="D19:D33">
    <cfRule type="dataBar" priority="1">
      <formula/>
      <dataBar>
        <cfvo type="min" val="0"/>
        <cfvo type="max" val="0"/>
        <color rgb="FFFF555A"/>
      </dataBar>
      <extLst>
        <ext uri="{B025F937-C7B1-47D3-B67F-A62EFF666E3E}">
          <x14:id>{F649EDE5-619E-471E-AC1E-C726255A81B3}</x14:id>
        </ext>
      </extLst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extLst>
    <ext uri="{78C0D931-6437-407d-A8EE-F0AAD7539E65}">
      <x14:conditionalFormattings>
        <x14:conditionalFormatting>
          <x14:cfRule type="dataBar" id="{F649EDE5-619E-471E-AC1E-C726255A8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D19:D33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H51"/>
  <sheetViews>
    <sheetView tabSelected="0" workbookViewId="0" showGridLines="true" showRowColHeaders="1" topLeftCell="A4">
      <selection activeCell="Q10" sqref="Q10"/>
    </sheetView>
  </sheetViews>
  <sheetFormatPr defaultRowHeight="14.4" outlineLevelRow="0" outlineLevelCol="0"/>
  <cols>
    <col min="2" max="2" width="16.140625" customWidth="true" style="0"/>
    <col min="4" max="4" width="12" customWidth="true" style="0"/>
    <col min="6" max="6" width="13" customWidth="true" style="0"/>
    <col min="15" max="15" width="11.7109375" customWidth="true" style="0"/>
    <col min="17" max="17" width="13.140625" customWidth="true" style="0"/>
    <col min="18" max="18" width="3.140625" customWidth="true" style="0"/>
    <col min="19" max="19" width="3.140625" customWidth="true" style="0"/>
    <col min="20" max="20" width="3.140625" customWidth="true" style="0"/>
    <col min="21" max="21" width="3.140625" customWidth="true" style="0"/>
    <col min="22" max="22" width="3.140625" customWidth="true" style="0"/>
    <col min="23" max="23" width="3.140625" customWidth="true" style="0"/>
    <col min="24" max="24" width="3.140625" customWidth="true" style="0"/>
    <col min="25" max="25" width="3.140625" customWidth="true" style="0"/>
    <col min="26" max="26" width="16.5703125" customWidth="true" style="0"/>
    <col min="27" max="27" width="9.140625" customWidth="true" style="0"/>
    <col min="28" max="28" width="11.140625" customWidth="true" style="0"/>
    <col min="29" max="29" width="9.140625" customWidth="true" style="0"/>
    <col min="30" max="30" width="9.140625" customWidth="true" style="0"/>
    <col min="31" max="31" width="9.140625" customWidth="true" style="0"/>
    <col min="32" max="32" width="9.140625" customWidth="true" style="0"/>
    <col min="33" max="33" width="11.140625" customWidth="true" style="0"/>
    <col min="34" max="34" width="9.140625" customWidth="true" style="0"/>
    <col min="35" max="35" width="9.140625" customWidth="true" style="0"/>
    <col min="36" max="36" width="9.140625" customWidth="true" style="0"/>
    <col min="37" max="37" width="9.140625" customWidth="true" style="0"/>
    <col min="38" max="38" width="9.140625" customWidth="true" style="0"/>
    <col min="39" max="39" width="9.140625" customWidth="true" style="0"/>
    <col min="40" max="40" width="9.140625" customWidth="true" style="0"/>
    <col min="41" max="41" width="12.5703125" customWidth="true" style="0"/>
    <col min="42" max="42" width="12.5703125" customWidth="true" style="0"/>
    <col min="43" max="43" width="12.5703125" customWidth="true" style="0"/>
    <col min="44" max="44" width="12.5703125" customWidth="true" style="0"/>
    <col min="45" max="45" width="14" customWidth="true" style="0"/>
    <col min="46" max="46" width="2.5703125" customWidth="true" style="0"/>
    <col min="47" max="47" width="10.7109375" customWidth="true" style="0"/>
    <col min="48" max="48" width="11.140625" customWidth="true" style="0"/>
  </cols>
  <sheetData>
    <row r="1" spans="1:60" customHeight="1" ht="15" s="265" customFormat="1">
      <c r="A1" s="515"/>
      <c r="B1" s="561" t="s">
        <v>3</v>
      </c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  <c r="R1" s="562"/>
      <c r="S1" s="562"/>
      <c r="T1" s="562"/>
      <c r="U1" s="562"/>
      <c r="V1" s="562"/>
      <c r="W1" s="562"/>
      <c r="X1" s="562"/>
      <c r="Y1" s="562"/>
      <c r="Z1" s="562"/>
      <c r="AA1" s="562"/>
      <c r="AB1" s="562"/>
      <c r="AC1" s="562"/>
      <c r="AD1" s="562"/>
      <c r="AE1" s="562"/>
      <c r="AF1" s="562"/>
      <c r="AG1" s="562"/>
      <c r="AH1" s="562"/>
      <c r="AI1" s="562"/>
      <c r="AJ1" s="562"/>
      <c r="AK1" s="562"/>
      <c r="AL1" s="562"/>
      <c r="AM1" s="562"/>
      <c r="AN1" s="563"/>
      <c r="AO1" s="567" t="s">
        <v>1</v>
      </c>
      <c r="AP1" s="568"/>
      <c r="AQ1" s="568"/>
      <c r="AR1" s="568"/>
      <c r="AS1" s="569"/>
      <c r="BF1" s="273"/>
      <c r="BG1" s="273"/>
      <c r="BH1" s="273"/>
    </row>
    <row r="2" spans="1:60" customHeight="1" ht="15" s="265" customFormat="1">
      <c r="A2" s="516"/>
      <c r="B2" s="564"/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5"/>
      <c r="S2" s="565"/>
      <c r="T2" s="565"/>
      <c r="U2" s="565"/>
      <c r="V2" s="565"/>
      <c r="W2" s="565"/>
      <c r="X2" s="565"/>
      <c r="Y2" s="565"/>
      <c r="Z2" s="565"/>
      <c r="AA2" s="565"/>
      <c r="AB2" s="565"/>
      <c r="AC2" s="565"/>
      <c r="AD2" s="565"/>
      <c r="AE2" s="565"/>
      <c r="AF2" s="565"/>
      <c r="AG2" s="565"/>
      <c r="AH2" s="565"/>
      <c r="AI2" s="565"/>
      <c r="AJ2" s="565"/>
      <c r="AK2" s="565"/>
      <c r="AL2" s="565"/>
      <c r="AM2" s="565"/>
      <c r="AN2" s="566"/>
      <c r="AO2" s="570"/>
      <c r="AP2" s="571"/>
      <c r="AQ2" s="571"/>
      <c r="AR2" s="571"/>
      <c r="AS2" s="572"/>
      <c r="BF2" s="273"/>
      <c r="BG2" s="273"/>
      <c r="BH2" s="273"/>
    </row>
    <row r="3" spans="1:60" customHeight="1" ht="15" s="265" customFormat="1">
      <c r="A3" s="516"/>
      <c r="B3" s="274" t="s">
        <v>2</v>
      </c>
      <c r="C3" s="558" t="s">
        <v>3</v>
      </c>
      <c r="D3" s="559"/>
      <c r="E3" s="559"/>
      <c r="F3" s="560"/>
      <c r="G3" s="279"/>
      <c r="H3" s="275" t="s">
        <v>4</v>
      </c>
      <c r="I3" s="573" t="str">
        <f>'Fr-01'!$B$6</f>
        <v>ชื่อองค์กรที่ขอขึ้นทะเบียน</v>
      </c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5"/>
      <c r="AB3" s="579" t="s">
        <v>79</v>
      </c>
      <c r="AC3" s="580"/>
      <c r="AD3" s="581"/>
      <c r="AE3" s="573" t="str">
        <f>'Fr-01'!H22</f>
        <v> ระบุปีที่เก็บข้อมูล เช่น ม.ค.63-ธ.ค.63</v>
      </c>
      <c r="AF3" s="574"/>
      <c r="AG3" s="574"/>
      <c r="AH3" s="574"/>
      <c r="AI3" s="574"/>
      <c r="AJ3" s="574"/>
      <c r="AK3" s="574"/>
      <c r="AL3" s="574"/>
      <c r="AM3" s="574"/>
      <c r="AN3" s="575"/>
      <c r="AO3" s="587" t="s">
        <v>5</v>
      </c>
      <c r="AP3" s="588"/>
      <c r="AQ3" s="589"/>
      <c r="AR3" s="590">
        <v>4</v>
      </c>
      <c r="AS3" s="591"/>
      <c r="BF3" s="273"/>
      <c r="BG3" s="273"/>
      <c r="BH3" s="273"/>
    </row>
    <row r="4" spans="1:60" customHeight="1" ht="21" s="265" customFormat="1">
      <c r="A4" s="517"/>
      <c r="B4" s="274" t="s">
        <v>6</v>
      </c>
      <c r="C4" s="558" t="s">
        <v>80</v>
      </c>
      <c r="D4" s="559"/>
      <c r="E4" s="559"/>
      <c r="F4" s="560"/>
      <c r="G4" s="279"/>
      <c r="H4" s="275" t="s">
        <v>8</v>
      </c>
      <c r="I4" s="576">
        <f>'Fr-01'!$G$4</f>
        <v>0</v>
      </c>
      <c r="J4" s="577"/>
      <c r="K4" s="577"/>
      <c r="L4" s="577"/>
      <c r="M4" s="577"/>
      <c r="N4" s="577"/>
      <c r="O4" s="577"/>
      <c r="P4" s="577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8"/>
      <c r="AB4" s="276"/>
      <c r="AC4" s="278"/>
      <c r="AD4" s="277"/>
      <c r="AE4" s="278"/>
      <c r="AF4" s="278"/>
      <c r="AG4" s="278"/>
      <c r="AH4" s="278"/>
      <c r="AI4" s="278"/>
      <c r="AJ4" s="278"/>
      <c r="AK4" s="278"/>
      <c r="AL4" s="278"/>
      <c r="AM4" s="278"/>
      <c r="AN4" s="277"/>
      <c r="AO4" s="587" t="s">
        <v>30</v>
      </c>
      <c r="AP4" s="588"/>
      <c r="AQ4" s="589"/>
      <c r="AR4" s="587"/>
      <c r="AS4" s="589"/>
      <c r="BF4" s="273"/>
      <c r="BG4" s="273"/>
      <c r="BH4" s="273"/>
    </row>
    <row r="5" spans="1:60">
      <c r="A5" s="518"/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  <c r="AS5" s="520"/>
    </row>
    <row r="6" spans="1:60" customHeight="1" ht="15">
      <c r="A6" s="521" t="s">
        <v>81</v>
      </c>
      <c r="B6" s="524" t="s">
        <v>82</v>
      </c>
      <c r="C6" s="527" t="s">
        <v>83</v>
      </c>
      <c r="D6" s="528"/>
      <c r="E6" s="533" t="s">
        <v>84</v>
      </c>
      <c r="F6" s="534"/>
      <c r="G6" s="534"/>
      <c r="H6" s="534"/>
      <c r="I6" s="534"/>
      <c r="J6" s="534"/>
      <c r="K6" s="534"/>
      <c r="L6" s="534"/>
      <c r="M6" s="534"/>
      <c r="N6" s="535"/>
      <c r="O6" s="533" t="s">
        <v>85</v>
      </c>
      <c r="P6" s="535"/>
      <c r="Q6" s="539" t="s">
        <v>86</v>
      </c>
      <c r="R6" s="509" t="s">
        <v>87</v>
      </c>
      <c r="S6" s="510"/>
      <c r="T6" s="510"/>
      <c r="U6" s="510"/>
      <c r="V6" s="510"/>
      <c r="W6" s="510"/>
      <c r="X6" s="513"/>
      <c r="Y6" s="504" t="s">
        <v>88</v>
      </c>
      <c r="Z6" s="502" t="s">
        <v>89</v>
      </c>
      <c r="AA6" s="547" t="s">
        <v>90</v>
      </c>
      <c r="AB6" s="548"/>
      <c r="AC6" s="548"/>
      <c r="AD6" s="548"/>
      <c r="AE6" s="548"/>
      <c r="AF6" s="549"/>
      <c r="AG6" s="548" t="s">
        <v>91</v>
      </c>
      <c r="AH6" s="548"/>
      <c r="AI6" s="548"/>
      <c r="AJ6" s="548"/>
      <c r="AK6" s="548"/>
      <c r="AL6" s="548"/>
      <c r="AM6" s="548"/>
      <c r="AN6" s="549"/>
      <c r="AO6" s="556" t="s">
        <v>92</v>
      </c>
      <c r="AP6" s="584" t="s">
        <v>93</v>
      </c>
      <c r="AQ6" s="584" t="s">
        <v>94</v>
      </c>
      <c r="AR6" s="584" t="s">
        <v>95</v>
      </c>
      <c r="AS6" s="592" t="s">
        <v>96</v>
      </c>
      <c r="AU6" s="582" t="s">
        <v>97</v>
      </c>
      <c r="AV6" s="583"/>
    </row>
    <row r="7" spans="1:60" customHeight="1" ht="15">
      <c r="A7" s="522"/>
      <c r="B7" s="525"/>
      <c r="C7" s="529"/>
      <c r="D7" s="530"/>
      <c r="E7" s="536"/>
      <c r="F7" s="537"/>
      <c r="G7" s="537"/>
      <c r="H7" s="537"/>
      <c r="I7" s="537"/>
      <c r="J7" s="537"/>
      <c r="K7" s="537"/>
      <c r="L7" s="537"/>
      <c r="M7" s="537"/>
      <c r="N7" s="538"/>
      <c r="O7" s="536"/>
      <c r="P7" s="538"/>
      <c r="Q7" s="540"/>
      <c r="R7" s="514" t="s">
        <v>98</v>
      </c>
      <c r="S7" s="514"/>
      <c r="T7" s="509" t="s">
        <v>99</v>
      </c>
      <c r="U7" s="510"/>
      <c r="V7" s="510"/>
      <c r="W7" s="510"/>
      <c r="X7" s="504" t="s">
        <v>100</v>
      </c>
      <c r="Y7" s="505"/>
      <c r="Z7" s="503"/>
      <c r="AA7" s="550"/>
      <c r="AB7" s="551"/>
      <c r="AC7" s="551"/>
      <c r="AD7" s="551"/>
      <c r="AE7" s="551"/>
      <c r="AF7" s="552"/>
      <c r="AG7" s="551"/>
      <c r="AH7" s="551"/>
      <c r="AI7" s="551"/>
      <c r="AJ7" s="551"/>
      <c r="AK7" s="551"/>
      <c r="AL7" s="551"/>
      <c r="AM7" s="551"/>
      <c r="AN7" s="552"/>
      <c r="AO7" s="557"/>
      <c r="AP7" s="585"/>
      <c r="AQ7" s="585"/>
      <c r="AR7" s="585"/>
      <c r="AS7" s="593"/>
      <c r="AT7" s="1"/>
      <c r="AU7" s="2" t="s">
        <v>87</v>
      </c>
      <c r="AV7" s="136" t="s">
        <v>101</v>
      </c>
    </row>
    <row r="8" spans="1:60" customHeight="1" ht="31.5">
      <c r="A8" s="522"/>
      <c r="B8" s="525"/>
      <c r="C8" s="531"/>
      <c r="D8" s="532"/>
      <c r="E8" s="542" t="s">
        <v>102</v>
      </c>
      <c r="F8" s="543"/>
      <c r="G8" s="543"/>
      <c r="H8" s="543"/>
      <c r="I8" s="543"/>
      <c r="J8" s="543"/>
      <c r="K8" s="543"/>
      <c r="L8" s="544"/>
      <c r="M8" s="542" t="s">
        <v>103</v>
      </c>
      <c r="N8" s="544"/>
      <c r="O8" s="545" t="s">
        <v>102</v>
      </c>
      <c r="P8" s="545" t="s">
        <v>103</v>
      </c>
      <c r="Q8" s="540"/>
      <c r="R8" s="504" t="s">
        <v>104</v>
      </c>
      <c r="S8" s="511" t="s">
        <v>105</v>
      </c>
      <c r="T8" s="504" t="s">
        <v>106</v>
      </c>
      <c r="U8" s="504" t="s">
        <v>107</v>
      </c>
      <c r="V8" s="504" t="s">
        <v>108</v>
      </c>
      <c r="W8" s="507" t="s">
        <v>109</v>
      </c>
      <c r="X8" s="505"/>
      <c r="Y8" s="505"/>
      <c r="Z8" s="503"/>
      <c r="AA8" s="553"/>
      <c r="AB8" s="554"/>
      <c r="AC8" s="554"/>
      <c r="AD8" s="554"/>
      <c r="AE8" s="554"/>
      <c r="AF8" s="555"/>
      <c r="AG8" s="554"/>
      <c r="AH8" s="554"/>
      <c r="AI8" s="554"/>
      <c r="AJ8" s="554"/>
      <c r="AK8" s="554"/>
      <c r="AL8" s="554"/>
      <c r="AM8" s="554"/>
      <c r="AN8" s="555"/>
      <c r="AO8" s="3" t="s">
        <v>110</v>
      </c>
      <c r="AP8" s="585"/>
      <c r="AQ8" s="585"/>
      <c r="AR8" s="585"/>
      <c r="AS8" s="593"/>
      <c r="AT8" s="1"/>
      <c r="AU8" s="2" t="s">
        <v>111</v>
      </c>
      <c r="AV8" s="177">
        <v>1</v>
      </c>
    </row>
    <row r="9" spans="1:60">
      <c r="A9" s="523"/>
      <c r="B9" s="526"/>
      <c r="C9" s="4" t="s">
        <v>112</v>
      </c>
      <c r="D9" s="5" t="s">
        <v>113</v>
      </c>
      <c r="E9" s="6" t="s">
        <v>114</v>
      </c>
      <c r="F9" s="7" t="s">
        <v>115</v>
      </c>
      <c r="G9" s="7" t="s">
        <v>116</v>
      </c>
      <c r="H9" s="6" t="s">
        <v>117</v>
      </c>
      <c r="I9" s="8" t="s">
        <v>118</v>
      </c>
      <c r="J9" s="7" t="s">
        <v>119</v>
      </c>
      <c r="K9" s="7" t="s">
        <v>120</v>
      </c>
      <c r="L9" s="7" t="s">
        <v>121</v>
      </c>
      <c r="M9" s="7" t="s">
        <v>120</v>
      </c>
      <c r="N9" s="7" t="s">
        <v>121</v>
      </c>
      <c r="O9" s="546"/>
      <c r="P9" s="546"/>
      <c r="Q9" s="541"/>
      <c r="R9" s="506"/>
      <c r="S9" s="512"/>
      <c r="T9" s="506"/>
      <c r="U9" s="506"/>
      <c r="V9" s="506"/>
      <c r="W9" s="508"/>
      <c r="X9" s="506"/>
      <c r="Y9" s="506"/>
      <c r="Z9" s="503"/>
      <c r="AA9" s="9" t="s">
        <v>111</v>
      </c>
      <c r="AB9" s="10" t="s">
        <v>115</v>
      </c>
      <c r="AC9" s="10" t="s">
        <v>122</v>
      </c>
      <c r="AD9" s="11" t="s">
        <v>123</v>
      </c>
      <c r="AE9" s="11" t="s">
        <v>124</v>
      </c>
      <c r="AF9" s="12" t="s">
        <v>125</v>
      </c>
      <c r="AG9" s="10" t="s">
        <v>115</v>
      </c>
      <c r="AH9" s="10" t="s">
        <v>122</v>
      </c>
      <c r="AI9" s="11" t="s">
        <v>123</v>
      </c>
      <c r="AJ9" s="11" t="s">
        <v>124</v>
      </c>
      <c r="AK9" s="11" t="s">
        <v>125</v>
      </c>
      <c r="AL9" s="11" t="s">
        <v>120</v>
      </c>
      <c r="AM9" s="11" t="s">
        <v>121</v>
      </c>
      <c r="AN9" s="11" t="s">
        <v>100</v>
      </c>
      <c r="AO9" s="13"/>
      <c r="AP9" s="586"/>
      <c r="AQ9" s="586"/>
      <c r="AR9" s="586"/>
      <c r="AS9" s="594"/>
      <c r="AU9" s="2" t="s">
        <v>115</v>
      </c>
      <c r="AV9" s="177">
        <v>30</v>
      </c>
    </row>
    <row r="10" spans="1:60">
      <c r="A10" s="475" t="s">
        <v>126</v>
      </c>
      <c r="B10" s="14"/>
      <c r="C10" s="15"/>
      <c r="D10" s="16"/>
      <c r="E10" s="246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>D10*E10/1000</f>
        <v>0</v>
      </c>
      <c r="AB10" s="23">
        <f>D10*F10/1000</f>
        <v>0</v>
      </c>
      <c r="AC10" s="23">
        <f>D10*G10/1000</f>
        <v>0</v>
      </c>
      <c r="AD10" s="23">
        <f>D10*H10/1000</f>
        <v>0</v>
      </c>
      <c r="AE10" s="23">
        <f>D10*I10/1000</f>
        <v>0</v>
      </c>
      <c r="AF10" s="23">
        <f>D10*J10/1000</f>
        <v>0</v>
      </c>
      <c r="AG10" s="23">
        <f>D10*F10*$AV$9/1000</f>
        <v>0</v>
      </c>
      <c r="AH10" s="23">
        <f>D10*G10*$AV$10/1000</f>
        <v>0</v>
      </c>
      <c r="AI10" s="23">
        <f>D10*H10*$AV$11/1000</f>
        <v>0</v>
      </c>
      <c r="AJ10" s="23">
        <f>D10*I10*$AV$12/1000</f>
        <v>0</v>
      </c>
      <c r="AK10" s="23">
        <f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154" t="e">
        <f>AO10/$AO$24</f>
        <v>#VALUE!</v>
      </c>
      <c r="AQ10" s="154" t="e">
        <f>AO10/$AO$44</f>
        <v>#VALUE!</v>
      </c>
      <c r="AR10" s="154" t="e">
        <f>AO10/$AO$45</f>
        <v>#VALUE!</v>
      </c>
      <c r="AS10" s="25"/>
      <c r="AU10" s="2" t="s">
        <v>122</v>
      </c>
      <c r="AV10" s="177">
        <v>28</v>
      </c>
    </row>
    <row r="11" spans="1:60">
      <c r="A11" s="476"/>
      <c r="B11" s="26" t="str">
        <f>IF($AP11="","",_xlfn.XLOOKUP($AP11,tblScope11Stationary[RowId],tblScope11Stationary[ItemLabel],""))</f>
        <v/>
      </c>
      <c r="C11" s="15" t="str">
        <f>IF($AP11="","",_xlfn.XLOOKUP($AP11,tblScope11Stationary[RowId],tblScope11Stationary[Unit],""))</f>
        <v/>
      </c>
      <c r="D11" s="27" t="str">
        <f>IF($AP11="","",SUM(INDEX(tblScope11Stationary[[M1]:[M12]],MATCH($AP11,tblScope11Stationary[RowId],0),0)))</f>
        <v/>
      </c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>(E11*$AV$8)+(F11*$AV$9)+(G11*$AV$10)+(H11*$AV$11)+(I11*$AV$12)+(J11*$AV$13)+(K11*M11)+(L11*N11)</f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 t="e">
        <f>D11*E11/1000</f>
        <v>#VALUE!</v>
      </c>
      <c r="AB11" s="23" t="e">
        <f>D11*F11/1000</f>
        <v>#VALUE!</v>
      </c>
      <c r="AC11" s="23" t="e">
        <f>D11*G11/1000</f>
        <v>#VALUE!</v>
      </c>
      <c r="AD11" s="23" t="e">
        <f>D11*H11/1000</f>
        <v>#VALUE!</v>
      </c>
      <c r="AE11" s="23" t="e">
        <f>D11*I11/1000</f>
        <v>#VALUE!</v>
      </c>
      <c r="AF11" s="23" t="e">
        <f>D11*J11/1000</f>
        <v>#VALUE!</v>
      </c>
      <c r="AG11" s="23" t="e">
        <f>D11*F11*$AV$9/1000</f>
        <v>#VALUE!</v>
      </c>
      <c r="AH11" s="23" t="e">
        <f>D11*G11*$AV$10/1000</f>
        <v>#VALUE!</v>
      </c>
      <c r="AI11" s="23" t="e">
        <f>D11*H11*$AV$11/1000</f>
        <v>#VALUE!</v>
      </c>
      <c r="AJ11" s="23" t="e">
        <f>D11*I11*$AV$12/1000</f>
        <v>#VALUE!</v>
      </c>
      <c r="AK11" s="23" t="e">
        <f>D11*J11*$AV$13/1000</f>
        <v>#VALUE!</v>
      </c>
      <c r="AL11" s="23" t="e">
        <f>D11*K11*M11/1000</f>
        <v>#VALUE!</v>
      </c>
      <c r="AM11" s="23" t="e">
        <f>D11*L11*N11/1000</f>
        <v>#VALUE!</v>
      </c>
      <c r="AN11" s="24"/>
      <c r="AO11" s="23" t="e">
        <f>D11*Q11/1000</f>
        <v>#VALUE!</v>
      </c>
      <c r="AP11" s="154" t="str">
        <f>IFERROR(INDEX(_xlfn._xlws.FILTER(tblFR041Sel[RowId],tblFR041Sel[Include]=1),ROWS($AP$11:AP11)),"")</f>
        <v/>
      </c>
      <c r="AQ11" s="154" t="e">
        <f>AO11/$AO$44</f>
        <v>#VALUE!</v>
      </c>
      <c r="AR11" s="154" t="e">
        <f>AO11/$AO$45</f>
        <v>#VALUE!</v>
      </c>
      <c r="AS11" s="30"/>
      <c r="AT11" s="31"/>
      <c r="AU11" s="2" t="s">
        <v>123</v>
      </c>
      <c r="AV11" s="177">
        <v>265</v>
      </c>
    </row>
    <row r="12" spans="1:60">
      <c r="A12" s="476"/>
      <c r="B12" s="26" t="str">
        <f>IF($AP12="","",_xlfn.XLOOKUP($AP12,tblScope11Stationary[RowId],tblScope11Stationary[ItemLabel],""))</f>
        <v/>
      </c>
      <c r="C12" s="15" t="str">
        <f>IF($AP12="","",_xlfn.XLOOKUP($AP12,tblScope11Stationary[RowId],tblScope11Stationary[Unit],""))</f>
        <v/>
      </c>
      <c r="D12" s="27" t="str">
        <f>IF($AP12="","",SUM(INDEX(tblScope11Stationary[[M1]:[M12]],MATCH($AP12,tblScope11Stationary[RowId],0),0)))</f>
        <v/>
      </c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>(E12*$AV$8)+(F12*$AV$9)+(G12*$AV$10)+(H12*$AV$11)+(I12*$AV$12)+(J12*$AV$13)+(K12*M12)+(L12*N12)</f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 t="e">
        <f>D12*E12/1000</f>
        <v>#VALUE!</v>
      </c>
      <c r="AB12" s="23" t="e">
        <f>D12*F12/1000</f>
        <v>#VALUE!</v>
      </c>
      <c r="AC12" s="23" t="e">
        <f>D12*G12/1000</f>
        <v>#VALUE!</v>
      </c>
      <c r="AD12" s="23" t="e">
        <f>D12*H12/1000</f>
        <v>#VALUE!</v>
      </c>
      <c r="AE12" s="23" t="e">
        <f>D12*I12/1000</f>
        <v>#VALUE!</v>
      </c>
      <c r="AF12" s="23" t="e">
        <f>D12*J12/1000</f>
        <v>#VALUE!</v>
      </c>
      <c r="AG12" s="23" t="e">
        <f>D12*F12*$AV$9/1000</f>
        <v>#VALUE!</v>
      </c>
      <c r="AH12" s="23" t="e">
        <f>D12*G12*$AV$10/1000</f>
        <v>#VALUE!</v>
      </c>
      <c r="AI12" s="23" t="e">
        <f>D12*H12*$AV$11/1000</f>
        <v>#VALUE!</v>
      </c>
      <c r="AJ12" s="23" t="e">
        <f>D12*I12*$AV$12/1000</f>
        <v>#VALUE!</v>
      </c>
      <c r="AK12" s="23" t="e">
        <f>D12*J12*$AV$13/1000</f>
        <v>#VALUE!</v>
      </c>
      <c r="AL12" s="23" t="e">
        <f>D12*K12*M12/1000</f>
        <v>#VALUE!</v>
      </c>
      <c r="AM12" s="23" t="e">
        <f>D12*L12*N12/1000</f>
        <v>#VALUE!</v>
      </c>
      <c r="AN12" s="24"/>
      <c r="AO12" s="23" t="e">
        <f>D12*Q12/1000</f>
        <v>#VALUE!</v>
      </c>
      <c r="AP12" s="154" t="str">
        <f>IFERROR(INDEX(_xlfn._xlws.FILTER(tblFR041Sel[RowId],tblFR041Sel[Include]=1),ROWS($AP$11:AP12)),"")</f>
        <v/>
      </c>
      <c r="AQ12" s="154" t="e">
        <f>AO12/$AO$44</f>
        <v>#VALUE!</v>
      </c>
      <c r="AR12" s="154" t="e">
        <f>AO12/$AO$45</f>
        <v>#VALUE!</v>
      </c>
      <c r="AS12" s="30"/>
      <c r="AT12" s="31"/>
      <c r="AU12" s="2" t="s">
        <v>124</v>
      </c>
      <c r="AV12" s="177">
        <v>23500</v>
      </c>
    </row>
    <row r="13" spans="1:60">
      <c r="A13" s="476"/>
      <c r="B13" s="26" t="str">
        <f>IF($AP13="","",_xlfn.XLOOKUP($AP13,tblScope11Stationary[RowId],tblScope11Stationary[ItemLabel],""))</f>
        <v/>
      </c>
      <c r="C13" s="15" t="str">
        <f>IF($AP13="","",_xlfn.XLOOKUP($AP13,tblScope11Stationary[RowId],tblScope11Stationary[Unit],""))</f>
        <v/>
      </c>
      <c r="D13" s="27" t="str">
        <f>IF($AP13="","",SUM(INDEX(tblScope11Stationary[[M1]:[M12]],MATCH($AP13,tblScope11Stationary[RowId],0),0)))</f>
        <v/>
      </c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>(E13*$AV$8)+(F13*$AV$9)+(G13*$AV$10)+(H13*$AV$11)+(I13*$AV$12)+(J13*$AV$13)+(K13*M13)+(L13*N13)</f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 t="e">
        <f>D13*E13/1000</f>
        <v>#VALUE!</v>
      </c>
      <c r="AB13" s="23" t="e">
        <f>D13*F13/1000</f>
        <v>#VALUE!</v>
      </c>
      <c r="AC13" s="23" t="e">
        <f>D13*G13/1000</f>
        <v>#VALUE!</v>
      </c>
      <c r="AD13" s="23" t="e">
        <f>D13*H13/1000</f>
        <v>#VALUE!</v>
      </c>
      <c r="AE13" s="23" t="e">
        <f>D13*I13/1000</f>
        <v>#VALUE!</v>
      </c>
      <c r="AF13" s="23" t="e">
        <f>D13*J13/1000</f>
        <v>#VALUE!</v>
      </c>
      <c r="AG13" s="23" t="e">
        <f>D13*F13*$AV$9/1000</f>
        <v>#VALUE!</v>
      </c>
      <c r="AH13" s="23" t="e">
        <f>D13*G13*$AV$10/1000</f>
        <v>#VALUE!</v>
      </c>
      <c r="AI13" s="23" t="e">
        <f>D13*H13*$AV$11/1000</f>
        <v>#VALUE!</v>
      </c>
      <c r="AJ13" s="23" t="e">
        <f>D13*I13*$AV$12/1000</f>
        <v>#VALUE!</v>
      </c>
      <c r="AK13" s="23" t="e">
        <f>D13*J13*$AV$13/1000</f>
        <v>#VALUE!</v>
      </c>
      <c r="AL13" s="23" t="e">
        <f>D13*K13*M13/1000</f>
        <v>#VALUE!</v>
      </c>
      <c r="AM13" s="23" t="e">
        <f>D13*L13*N13/1000</f>
        <v>#VALUE!</v>
      </c>
      <c r="AN13" s="24"/>
      <c r="AO13" s="23" t="e">
        <f>D13*Q13/1000</f>
        <v>#VALUE!</v>
      </c>
      <c r="AP13" s="154" t="str">
        <f>IFERROR(INDEX(_xlfn._xlws.FILTER(tblFR041Sel[RowId],tblFR041Sel[Include]=1),ROWS($AP$11:AP13)),"")</f>
        <v/>
      </c>
      <c r="AQ13" s="154" t="e">
        <f>AO13/$AO$44</f>
        <v>#VALUE!</v>
      </c>
      <c r="AR13" s="154" t="e">
        <f>AO13/$AO$45</f>
        <v>#VALUE!</v>
      </c>
      <c r="AS13" s="32"/>
      <c r="AT13" s="31"/>
      <c r="AU13" s="2" t="s">
        <v>125</v>
      </c>
      <c r="AV13" s="177">
        <v>16100</v>
      </c>
    </row>
    <row r="14" spans="1:60">
      <c r="A14" s="476"/>
      <c r="B14" s="14" t="str">
        <f>IF($AP14="","",_xlfn.XLOOKUP($AP14,tblScope11Stationary[RowId],tblScope11Stationary[ItemLabel],""))</f>
        <v/>
      </c>
      <c r="C14" s="15" t="str">
        <f>IF($AP14="","",_xlfn.XLOOKUP($AP14,tblScope11Stationary[RowId],tblScope11Stationary[Unit],""))</f>
        <v/>
      </c>
      <c r="D14" s="33" t="str">
        <f>IF($AP14="","",SUM(INDEX(tblScope11Stationary[[M1]:[M12]],MATCH($AP14,tblScope11Stationary[RowId],0),0)))</f>
        <v/>
      </c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>(E14*$AV$8)+(F14*$AV$9)+(G14*$AV$10)+(H14*$AV$11)+(I14*$AV$12)+(J14*$AV$13)+(K14*M14)+(L14*N14)</f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 t="e">
        <f>D14*E14/1000</f>
        <v>#VALUE!</v>
      </c>
      <c r="AB14" s="23" t="e">
        <f>D14*F14/1000</f>
        <v>#VALUE!</v>
      </c>
      <c r="AC14" s="23" t="e">
        <f>D14*G14/1000</f>
        <v>#VALUE!</v>
      </c>
      <c r="AD14" s="23" t="e">
        <f>D14*H14/1000</f>
        <v>#VALUE!</v>
      </c>
      <c r="AE14" s="23" t="e">
        <f>D14*I14/1000</f>
        <v>#VALUE!</v>
      </c>
      <c r="AF14" s="23" t="e">
        <f>D14*J14/1000</f>
        <v>#VALUE!</v>
      </c>
      <c r="AG14" s="23" t="e">
        <f>D14*F14*$AV$9/1000</f>
        <v>#VALUE!</v>
      </c>
      <c r="AH14" s="23" t="e">
        <f>D14*G14*$AV$10/1000</f>
        <v>#VALUE!</v>
      </c>
      <c r="AI14" s="23" t="e">
        <f>D14*H14*$AV$11/1000</f>
        <v>#VALUE!</v>
      </c>
      <c r="AJ14" s="23" t="e">
        <f>D14*I14*$AV$12/1000</f>
        <v>#VALUE!</v>
      </c>
      <c r="AK14" s="23" t="e">
        <f>D14*J14*$AV$13/1000</f>
        <v>#VALUE!</v>
      </c>
      <c r="AL14" s="23" t="e">
        <f>D14*K14*M14/1000</f>
        <v>#VALUE!</v>
      </c>
      <c r="AM14" s="23" t="e">
        <f>D14*L14*N14/1000</f>
        <v>#VALUE!</v>
      </c>
      <c r="AN14" s="24"/>
      <c r="AO14" s="23" t="e">
        <f>D14*Q14/1000</f>
        <v>#VALUE!</v>
      </c>
      <c r="AP14" s="154" t="str">
        <f>IFERROR(INDEX(_xlfn._xlws.FILTER(tblFR041Sel[RowId],tblFR041Sel[Include]=1),ROWS($AP$11:AP14)),"")</f>
        <v/>
      </c>
      <c r="AQ14" s="154" t="e">
        <f>AO14/$AO$44</f>
        <v>#VALUE!</v>
      </c>
      <c r="AR14" s="154" t="e">
        <f>AO14/$AO$45</f>
        <v>#VALUE!</v>
      </c>
      <c r="AS14" s="30"/>
      <c r="AT14" s="31"/>
    </row>
    <row r="15" spans="1:60">
      <c r="A15" s="476"/>
      <c r="B15" s="26" t="str">
        <f>IF($AP15="","",_xlfn.XLOOKUP($AP15,tblScope11Stationary[RowId],tblScope11Stationary[ItemLabel],""))</f>
        <v/>
      </c>
      <c r="C15" s="15" t="str">
        <f>IF($AP15="","",_xlfn.XLOOKUP($AP15,tblScope11Stationary[RowId],tblScope11Stationary[Unit],""))</f>
        <v/>
      </c>
      <c r="D15" s="33" t="str">
        <f>IF($AP15="","",SUM(INDEX(tblScope11Stationary[[M1]:[M12]],MATCH($AP15,tblScope11Stationary[RowId],0),0)))</f>
        <v/>
      </c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>(E15*$AV$8)+(F15*$AV$9)+(G15*$AV$10)+(H15*$AV$11)+(I15*$AV$12)+(J15*$AV$13)+(K15*M15)+(L15*N15)</f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 t="e">
        <f>D15*E15/1000</f>
        <v>#VALUE!</v>
      </c>
      <c r="AB15" s="23" t="e">
        <f>D15*F15/1000</f>
        <v>#VALUE!</v>
      </c>
      <c r="AC15" s="23" t="e">
        <f>D15*G15/1000</f>
        <v>#VALUE!</v>
      </c>
      <c r="AD15" s="23" t="e">
        <f>D15*H15/1000</f>
        <v>#VALUE!</v>
      </c>
      <c r="AE15" s="23" t="e">
        <f>D15*I15/1000</f>
        <v>#VALUE!</v>
      </c>
      <c r="AF15" s="23" t="e">
        <f>D15*J15/1000</f>
        <v>#VALUE!</v>
      </c>
      <c r="AG15" s="23" t="e">
        <f>D15*F15*$AV$9/1000</f>
        <v>#VALUE!</v>
      </c>
      <c r="AH15" s="23" t="e">
        <f>D15*G15*$AV$10/1000</f>
        <v>#VALUE!</v>
      </c>
      <c r="AI15" s="23" t="e">
        <f>D15*H15*$AV$11/1000</f>
        <v>#VALUE!</v>
      </c>
      <c r="AJ15" s="23" t="e">
        <f>D15*I15*$AV$12/1000</f>
        <v>#VALUE!</v>
      </c>
      <c r="AK15" s="23" t="e">
        <f>D15*J15*$AV$13/1000</f>
        <v>#VALUE!</v>
      </c>
      <c r="AL15" s="23" t="e">
        <f>D15*K15*M15/1000</f>
        <v>#VALUE!</v>
      </c>
      <c r="AM15" s="23" t="e">
        <f>D15*L15*N15/1000</f>
        <v>#VALUE!</v>
      </c>
      <c r="AN15" s="24"/>
      <c r="AO15" s="23" t="e">
        <f>D15*Q15/1000</f>
        <v>#VALUE!</v>
      </c>
      <c r="AP15" s="154" t="str">
        <f>IFERROR(INDEX(_xlfn._xlws.FILTER(tblFR041Sel[RowId],tblFR041Sel[Include]=1),ROWS($AP$11:AP15)),"")</f>
        <v/>
      </c>
      <c r="AQ15" s="154" t="e">
        <f>AO15/$AO$44</f>
        <v>#VALUE!</v>
      </c>
      <c r="AR15" s="154" t="e">
        <f>AO15/$AO$45</f>
        <v>#VALUE!</v>
      </c>
      <c r="AS15" s="30"/>
      <c r="AT15" s="31"/>
    </row>
    <row r="16" spans="1:60">
      <c r="A16" s="476"/>
      <c r="B16" s="26" t="str">
        <f>IF($AP16="","",_xlfn.XLOOKUP($AP16,tblScope11Stationary[RowId],tblScope11Stationary[ItemLabel],""))</f>
        <v/>
      </c>
      <c r="C16" s="15" t="str">
        <f>IF($AP16="","",_xlfn.XLOOKUP($AP16,tblScope11Stationary[RowId],tblScope11Stationary[Unit],""))</f>
        <v/>
      </c>
      <c r="D16" s="33" t="str">
        <f>IF($AP16="","",SUM(INDEX(tblScope11Stationary[[M1]:[M12]],MATCH($AP16,tblScope11Stationary[RowId],0),0)))</f>
        <v/>
      </c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>(E16*$AV$8)+(F16*$AV$9)+(G16*$AV$10)+(H16*$AV$11)+(I16*$AV$12)+(J16*$AV$13)+(K16*M16)+(L16*N16)</f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 t="e">
        <f>D16*E16/1000</f>
        <v>#VALUE!</v>
      </c>
      <c r="AB16" s="23" t="e">
        <f>D16*F16/1000</f>
        <v>#VALUE!</v>
      </c>
      <c r="AC16" s="23" t="e">
        <f>D16*G16/1000</f>
        <v>#VALUE!</v>
      </c>
      <c r="AD16" s="23" t="e">
        <f>D16*H16/1000</f>
        <v>#VALUE!</v>
      </c>
      <c r="AE16" s="23" t="e">
        <f>D16*I16/1000</f>
        <v>#VALUE!</v>
      </c>
      <c r="AF16" s="23" t="e">
        <f>D16*J16/1000</f>
        <v>#VALUE!</v>
      </c>
      <c r="AG16" s="23" t="e">
        <f>D16*F16*$AV$9/1000</f>
        <v>#VALUE!</v>
      </c>
      <c r="AH16" s="23" t="e">
        <f>D16*G16*$AV$10/1000</f>
        <v>#VALUE!</v>
      </c>
      <c r="AI16" s="23" t="e">
        <f>D16*H16*$AV$11/1000</f>
        <v>#VALUE!</v>
      </c>
      <c r="AJ16" s="23" t="e">
        <f>D16*I16*$AV$12/1000</f>
        <v>#VALUE!</v>
      </c>
      <c r="AK16" s="23" t="e">
        <f>D16*J16*$AV$13/1000</f>
        <v>#VALUE!</v>
      </c>
      <c r="AL16" s="23" t="e">
        <f>D16*K16*M16/1000</f>
        <v>#VALUE!</v>
      </c>
      <c r="AM16" s="23" t="e">
        <f>D16*L16*N16/1000</f>
        <v>#VALUE!</v>
      </c>
      <c r="AN16" s="24"/>
      <c r="AO16" s="23" t="e">
        <f>D16*Q16/1000</f>
        <v>#VALUE!</v>
      </c>
      <c r="AP16" s="154" t="str">
        <f>IFERROR(INDEX(_xlfn._xlws.FILTER(tblFR041Sel[RowId],tblFR041Sel[Include]=1),ROWS($AP$11:AP16)),"")</f>
        <v/>
      </c>
      <c r="AQ16" s="154" t="e">
        <f>AO16/$AO$44</f>
        <v>#VALUE!</v>
      </c>
      <c r="AR16" s="154" t="e">
        <f>AO16/$AO$45</f>
        <v>#VALUE!</v>
      </c>
      <c r="AS16" s="30"/>
      <c r="AT16" s="31"/>
    </row>
    <row r="17" spans="1:60">
      <c r="A17" s="476"/>
      <c r="B17" s="14" t="str">
        <f>IF($AP17="","",_xlfn.XLOOKUP($AP17,tblScope11Stationary[RowId],tblScope11Stationary[ItemLabel],""))</f>
        <v/>
      </c>
      <c r="C17" s="15" t="str">
        <f>IF($AP17="","",_xlfn.XLOOKUP($AP17,tblScope11Stationary[RowId],tblScope11Stationary[Unit],""))</f>
        <v/>
      </c>
      <c r="D17" s="33" t="str">
        <f>IF($AP17="","",SUM(INDEX(tblScope11Stationary[[M1]:[M12]],MATCH($AP17,tblScope11Stationary[RowId],0),0)))</f>
        <v/>
      </c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>(E17*$AV$8)+(F17*$AV$9)+(G17*$AV$10)+(H17*$AV$11)+(I17*$AV$12)+(J17*$AV$13)+(K17*M17)+(L17*N17)</f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 t="e">
        <f>D17*E17/1000</f>
        <v>#VALUE!</v>
      </c>
      <c r="AB17" s="23" t="e">
        <f>D17*F17/1000</f>
        <v>#VALUE!</v>
      </c>
      <c r="AC17" s="23" t="e">
        <f>D17*G17/1000</f>
        <v>#VALUE!</v>
      </c>
      <c r="AD17" s="23" t="e">
        <f>D17*H17/1000</f>
        <v>#VALUE!</v>
      </c>
      <c r="AE17" s="23" t="e">
        <f>D17*I17/1000</f>
        <v>#VALUE!</v>
      </c>
      <c r="AF17" s="23" t="e">
        <f>D17*J17/1000</f>
        <v>#VALUE!</v>
      </c>
      <c r="AG17" s="23" t="e">
        <f>D17*F17*$AV$9/1000</f>
        <v>#VALUE!</v>
      </c>
      <c r="AH17" s="23" t="e">
        <f>D17*G17*$AV$10/1000</f>
        <v>#VALUE!</v>
      </c>
      <c r="AI17" s="23" t="e">
        <f>D17*H17*$AV$11/1000</f>
        <v>#VALUE!</v>
      </c>
      <c r="AJ17" s="23" t="e">
        <f>D17*I17*$AV$12/1000</f>
        <v>#VALUE!</v>
      </c>
      <c r="AK17" s="23" t="e">
        <f>D17*J17*$AV$13/1000</f>
        <v>#VALUE!</v>
      </c>
      <c r="AL17" s="23" t="e">
        <f>D17*K17*M17/1000</f>
        <v>#VALUE!</v>
      </c>
      <c r="AM17" s="23" t="e">
        <f>D17*L17*N17/1000</f>
        <v>#VALUE!</v>
      </c>
      <c r="AN17" s="24"/>
      <c r="AO17" s="23" t="e">
        <f>D17*Q17/1000</f>
        <v>#VALUE!</v>
      </c>
      <c r="AP17" s="154" t="str">
        <f>IFERROR(INDEX(_xlfn._xlws.FILTER(tblFR041Sel[RowId],tblFR041Sel[Include]=1),ROWS($AP$11:AP17)),"")</f>
        <v/>
      </c>
      <c r="AQ17" s="154" t="e">
        <f>AO17/$AO$44</f>
        <v>#VALUE!</v>
      </c>
      <c r="AR17" s="154" t="e">
        <f>AO17/$AO$45</f>
        <v>#VALUE!</v>
      </c>
      <c r="AS17" s="30"/>
      <c r="AT17" s="31"/>
    </row>
    <row r="18" spans="1:60">
      <c r="A18" s="476"/>
      <c r="B18" s="26" t="str">
        <f>IF($AP18="","",_xlfn.XLOOKUP($AP18,tblScope11Stationary[RowId],tblScope11Stationary[ItemLabel],""))</f>
        <v/>
      </c>
      <c r="C18" s="15" t="str">
        <f>IF($AP18="","",_xlfn.XLOOKUP($AP18,tblScope11Stationary[RowId],tblScope11Stationary[Unit],""))</f>
        <v/>
      </c>
      <c r="D18" s="33" t="str">
        <f>IF($AP18="","",SUM(INDEX(tblScope11Stationary[[M1]:[M12]],MATCH($AP18,tblScope11Stationary[RowId],0),0)))</f>
        <v/>
      </c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>(E18*$AV$8)+(F18*$AV$9)+(G18*$AV$10)+(H18*$AV$11)+(I18*$AV$12)+(J18*$AV$13)+(K18*M18)+(L18*N18)</f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 t="e">
        <f>D18*E18/1000</f>
        <v>#VALUE!</v>
      </c>
      <c r="AB18" s="23" t="e">
        <f>D18*F18/1000</f>
        <v>#VALUE!</v>
      </c>
      <c r="AC18" s="23" t="e">
        <f>D18*G18/1000</f>
        <v>#VALUE!</v>
      </c>
      <c r="AD18" s="23" t="e">
        <f>D18*H18/1000</f>
        <v>#VALUE!</v>
      </c>
      <c r="AE18" s="23" t="e">
        <f>D18*I18/1000</f>
        <v>#VALUE!</v>
      </c>
      <c r="AF18" s="23" t="e">
        <f>D18*J18/1000</f>
        <v>#VALUE!</v>
      </c>
      <c r="AG18" s="23" t="e">
        <f>D18*F18*$AV$9/1000</f>
        <v>#VALUE!</v>
      </c>
      <c r="AH18" s="23" t="e">
        <f>D18*G18*$AV$10/1000</f>
        <v>#VALUE!</v>
      </c>
      <c r="AI18" s="23" t="e">
        <f>D18*H18*$AV$11/1000</f>
        <v>#VALUE!</v>
      </c>
      <c r="AJ18" s="23" t="e">
        <f>D18*I18*$AV$12/1000</f>
        <v>#VALUE!</v>
      </c>
      <c r="AK18" s="23" t="e">
        <f>D18*J18*$AV$13/1000</f>
        <v>#VALUE!</v>
      </c>
      <c r="AL18" s="23" t="e">
        <f>D18*K18*M18/1000</f>
        <v>#VALUE!</v>
      </c>
      <c r="AM18" s="23" t="e">
        <f>D18*L18*N18/1000</f>
        <v>#VALUE!</v>
      </c>
      <c r="AN18" s="24"/>
      <c r="AO18" s="23" t="e">
        <f>D18*Q18/1000</f>
        <v>#VALUE!</v>
      </c>
      <c r="AP18" s="154" t="str">
        <f>IFERROR(INDEX(_xlfn._xlws.FILTER(tblFR041Sel[RowId],tblFR041Sel[Include]=1),ROWS($AP$11:AP18)),"")</f>
        <v/>
      </c>
      <c r="AQ18" s="154" t="e">
        <f>AO18/$AO$44</f>
        <v>#VALUE!</v>
      </c>
      <c r="AR18" s="154" t="e">
        <f>AO18/$AO$45</f>
        <v>#VALUE!</v>
      </c>
      <c r="AS18" s="30"/>
      <c r="AT18" s="31"/>
    </row>
    <row r="19" spans="1:60">
      <c r="A19" s="476"/>
      <c r="B19" s="14" t="str">
        <f>IF($AP19="","",_xlfn.XLOOKUP($AP19,tblScope11Stationary[RowId],tblScope11Stationary[ItemLabel],""))</f>
        <v/>
      </c>
      <c r="C19" s="15" t="str">
        <f>IF($AP19="","",_xlfn.XLOOKUP($AP19,tblScope11Stationary[RowId],tblScope11Stationary[Unit],""))</f>
        <v/>
      </c>
      <c r="D19" s="33" t="str">
        <f>IF($AP19="","",SUM(INDEX(tblScope11Stationary[[M1]:[M12]],MATCH($AP19,tblScope11Stationary[RowId],0),0)))</f>
        <v/>
      </c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>(E19*$AV$8)+(F19*$AV$9)+(G19*$AV$10)+(H19*$AV$11)+(I19*$AV$12)+(J19*$AV$13)+(K19*M19)+(L19*N19)</f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 t="e">
        <f>D19*E19/1000</f>
        <v>#VALUE!</v>
      </c>
      <c r="AB19" s="23" t="e">
        <f>D19*F19/1000</f>
        <v>#VALUE!</v>
      </c>
      <c r="AC19" s="23" t="e">
        <f>D19*G19/1000</f>
        <v>#VALUE!</v>
      </c>
      <c r="AD19" s="23" t="e">
        <f>D19*H19/1000</f>
        <v>#VALUE!</v>
      </c>
      <c r="AE19" s="23" t="e">
        <f>D19*I19/1000</f>
        <v>#VALUE!</v>
      </c>
      <c r="AF19" s="23" t="e">
        <f>D19*J19/1000</f>
        <v>#VALUE!</v>
      </c>
      <c r="AG19" s="23" t="e">
        <f>D19*F19*$AV$9/1000</f>
        <v>#VALUE!</v>
      </c>
      <c r="AH19" s="23" t="e">
        <f>D19*G19*$AV$10/1000</f>
        <v>#VALUE!</v>
      </c>
      <c r="AI19" s="23" t="e">
        <f>D19*H19*$AV$11/1000</f>
        <v>#VALUE!</v>
      </c>
      <c r="AJ19" s="23" t="e">
        <f>D19*I19*$AV$12/1000</f>
        <v>#VALUE!</v>
      </c>
      <c r="AK19" s="23" t="e">
        <f>D19*J19*$AV$13/1000</f>
        <v>#VALUE!</v>
      </c>
      <c r="AL19" s="23" t="e">
        <f>D19*K19*M19/1000</f>
        <v>#VALUE!</v>
      </c>
      <c r="AM19" s="23" t="e">
        <f>D19*L19*N19/1000</f>
        <v>#VALUE!</v>
      </c>
      <c r="AN19" s="24"/>
      <c r="AO19" s="23" t="e">
        <f>D19*Q19/1000</f>
        <v>#VALUE!</v>
      </c>
      <c r="AP19" s="154" t="str">
        <f>IFERROR(INDEX(_xlfn._xlws.FILTER(tblFR041Sel[RowId],tblFR041Sel[Include]=1),ROWS($AP$11:AP19)),"")</f>
        <v/>
      </c>
      <c r="AQ19" s="154" t="e">
        <f>AO19/$AO$44</f>
        <v>#VALUE!</v>
      </c>
      <c r="AR19" s="154" t="e">
        <f>AO19/$AO$45</f>
        <v>#VALUE!</v>
      </c>
      <c r="AS19" s="30"/>
      <c r="AT19" s="31"/>
    </row>
    <row r="20" spans="1:60">
      <c r="A20" s="476"/>
      <c r="B20" s="26" t="str">
        <f>IF($AP20="","",_xlfn.XLOOKUP($AP20,tblScope11Stationary[RowId],tblScope11Stationary[ItemLabel],""))</f>
        <v/>
      </c>
      <c r="C20" s="15" t="str">
        <f>IF($AP20="","",_xlfn.XLOOKUP($AP20,tblScope11Stationary[RowId],tblScope11Stationary[Unit],""))</f>
        <v/>
      </c>
      <c r="D20" s="27" t="str">
        <f>IF($AP20="","",SUM(INDEX(tblScope11Stationary[[M1]:[M12]],MATCH($AP20,tblScope11Stationary[RowId],0),0)))</f>
        <v/>
      </c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>(E20*$AV$8)+(F20*$AV$9)+(G20*$AV$10)+(H20*$AV$11)+(I20*$AV$12)+(J20*$AV$13)+(K20*M20)+(L20*N20)</f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 t="e">
        <f>D20*E20/1000</f>
        <v>#VALUE!</v>
      </c>
      <c r="AB20" s="23" t="e">
        <f>D20*F20/1000</f>
        <v>#VALUE!</v>
      </c>
      <c r="AC20" s="23" t="e">
        <f>D20*G20/1000</f>
        <v>#VALUE!</v>
      </c>
      <c r="AD20" s="23" t="e">
        <f>D20*H20/1000</f>
        <v>#VALUE!</v>
      </c>
      <c r="AE20" s="23" t="e">
        <f>D20*I20/1000</f>
        <v>#VALUE!</v>
      </c>
      <c r="AF20" s="23" t="e">
        <f>D20*J20/1000</f>
        <v>#VALUE!</v>
      </c>
      <c r="AG20" s="23" t="e">
        <f>D20*F20*$AV$9/1000</f>
        <v>#VALUE!</v>
      </c>
      <c r="AH20" s="23" t="e">
        <f>D20*G20*$AV$10/1000</f>
        <v>#VALUE!</v>
      </c>
      <c r="AI20" s="23" t="e">
        <f>D20*H20*$AV$11/1000</f>
        <v>#VALUE!</v>
      </c>
      <c r="AJ20" s="23" t="e">
        <f>D20*I20*$AV$12/1000</f>
        <v>#VALUE!</v>
      </c>
      <c r="AK20" s="23" t="e">
        <f>D20*J20*$AV$13/1000</f>
        <v>#VALUE!</v>
      </c>
      <c r="AL20" s="23" t="e">
        <f>D20*K20*M20/1000</f>
        <v>#VALUE!</v>
      </c>
      <c r="AM20" s="23" t="e">
        <f>D20*L20*N20/1000</f>
        <v>#VALUE!</v>
      </c>
      <c r="AN20" s="24"/>
      <c r="AO20" s="23" t="e">
        <f>D20*Q20/1000</f>
        <v>#VALUE!</v>
      </c>
      <c r="AP20" s="154" t="str">
        <f>IFERROR(INDEX(_xlfn._xlws.FILTER(tblFR041Sel[RowId],tblFR041Sel[Include]=1),ROWS($AP$11:AP20)),"")</f>
        <v/>
      </c>
      <c r="AQ20" s="154" t="e">
        <f>AO20/$AO$44</f>
        <v>#VALUE!</v>
      </c>
      <c r="AR20" s="154" t="e">
        <f>AO20/$AO$45</f>
        <v>#VALUE!</v>
      </c>
      <c r="AS20" s="30"/>
      <c r="AT20" s="31"/>
    </row>
    <row r="21" spans="1:60">
      <c r="A21" s="476"/>
      <c r="B21" s="26" t="str">
        <f>IF($AP21="","",_xlfn.XLOOKUP($AP21,tblScope11Stationary[RowId],tblScope11Stationary[ItemLabel],""))</f>
        <v/>
      </c>
      <c r="C21" s="15" t="str">
        <f>IF($AP21="","",_xlfn.XLOOKUP($AP21,tblScope11Stationary[RowId],tblScope11Stationary[Unit],""))</f>
        <v/>
      </c>
      <c r="D21" s="27" t="str">
        <f>IF($AP21="","",SUM(INDEX(tblScope11Stationary[[M1]:[M12]],MATCH($AP21,tblScope11Stationary[RowId],0),0)))</f>
        <v/>
      </c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>(E21*$AV$8)+(F21*$AV$9)+(G21*$AV$10)+(H21*$AV$11)+(I21*$AV$12)+(J21*$AV$13)+(K21*M21)+(L21*N21)</f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 t="e">
        <f>D21*E21/1000</f>
        <v>#VALUE!</v>
      </c>
      <c r="AB21" s="23" t="e">
        <f>D21*F21/1000</f>
        <v>#VALUE!</v>
      </c>
      <c r="AC21" s="23" t="e">
        <f>D21*G21/1000</f>
        <v>#VALUE!</v>
      </c>
      <c r="AD21" s="23" t="e">
        <f>D21*H21/1000</f>
        <v>#VALUE!</v>
      </c>
      <c r="AE21" s="23" t="e">
        <f>D21*I21/1000</f>
        <v>#VALUE!</v>
      </c>
      <c r="AF21" s="23" t="e">
        <f>D21*J21/1000</f>
        <v>#VALUE!</v>
      </c>
      <c r="AG21" s="23" t="e">
        <f>D21*F21*$AV$9/1000</f>
        <v>#VALUE!</v>
      </c>
      <c r="AH21" s="23" t="e">
        <f>D21*G21*$AV$10/1000</f>
        <v>#VALUE!</v>
      </c>
      <c r="AI21" s="23" t="e">
        <f>D21*H21*$AV$11/1000</f>
        <v>#VALUE!</v>
      </c>
      <c r="AJ21" s="23" t="e">
        <f>D21*I21*$AV$12/1000</f>
        <v>#VALUE!</v>
      </c>
      <c r="AK21" s="23" t="e">
        <f>D21*J21*$AV$13/1000</f>
        <v>#VALUE!</v>
      </c>
      <c r="AL21" s="23" t="e">
        <f>D21*K21*M21/1000</f>
        <v>#VALUE!</v>
      </c>
      <c r="AM21" s="23" t="e">
        <f>D21*L21*N21/1000</f>
        <v>#VALUE!</v>
      </c>
      <c r="AN21" s="24"/>
      <c r="AO21" s="23" t="e">
        <f>D21*Q21/1000</f>
        <v>#VALUE!</v>
      </c>
      <c r="AP21" s="154" t="str">
        <f>IFERROR(INDEX(_xlfn._xlws.FILTER(tblFR041Sel[RowId],tblFR041Sel[Include]=1),ROWS($AP$11:AP21)),"")</f>
        <v/>
      </c>
      <c r="AQ21" s="154" t="e">
        <f>AO21/$AO$44</f>
        <v>#VALUE!</v>
      </c>
      <c r="AR21" s="154" t="e">
        <f>AO21/$AO$45</f>
        <v>#VALUE!</v>
      </c>
      <c r="AS21" s="30"/>
      <c r="AT21" s="31"/>
    </row>
    <row r="22" spans="1:60">
      <c r="A22" s="476"/>
      <c r="B22" s="26" t="str">
        <f>IF($AP22="","",_xlfn.XLOOKUP($AP22,tblScope11Stationary[RowId],tblScope11Stationary[ItemLabel],""))</f>
        <v/>
      </c>
      <c r="C22" s="15" t="str">
        <f>IF($AP22="","",_xlfn.XLOOKUP($AP22,tblScope11Stationary[RowId],tblScope11Stationary[Unit],""))</f>
        <v/>
      </c>
      <c r="D22" s="27" t="str">
        <f>IF($AP22="","",SUM(INDEX(tblScope11Stationary[[M1]:[M12]],MATCH($AP22,tblScope11Stationary[RowId],0),0)))</f>
        <v/>
      </c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>(E22*$AV$8)+(F22*$AV$9)+(G22*$AV$10)+(H22*$AV$11)+(I22*$AV$12)+(J22*$AV$13)+(K22*M22)+(L22*N22)</f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 t="e">
        <f>D22*E22/1000</f>
        <v>#VALUE!</v>
      </c>
      <c r="AB22" s="23" t="e">
        <f>D22*F22/1000</f>
        <v>#VALUE!</v>
      </c>
      <c r="AC22" s="23" t="e">
        <f>D22*G22/1000</f>
        <v>#VALUE!</v>
      </c>
      <c r="AD22" s="23" t="e">
        <f>D22*H22/1000</f>
        <v>#VALUE!</v>
      </c>
      <c r="AE22" s="23" t="e">
        <f>D22*I22/1000</f>
        <v>#VALUE!</v>
      </c>
      <c r="AF22" s="23" t="e">
        <f>D22*J22/1000</f>
        <v>#VALUE!</v>
      </c>
      <c r="AG22" s="23" t="e">
        <f>D22*F22*$AV$9/1000</f>
        <v>#VALUE!</v>
      </c>
      <c r="AH22" s="23" t="e">
        <f>D22*G22*$AV$10/1000</f>
        <v>#VALUE!</v>
      </c>
      <c r="AI22" s="23" t="e">
        <f>D22*H22*$AV$11/1000</f>
        <v>#VALUE!</v>
      </c>
      <c r="AJ22" s="23" t="e">
        <f>D22*I22*$AV$12/1000</f>
        <v>#VALUE!</v>
      </c>
      <c r="AK22" s="23" t="e">
        <f>D22*J22*$AV$13/1000</f>
        <v>#VALUE!</v>
      </c>
      <c r="AL22" s="23" t="e">
        <f>D22*K22*M22/1000</f>
        <v>#VALUE!</v>
      </c>
      <c r="AM22" s="23" t="e">
        <f>D22*L22*N22/1000</f>
        <v>#VALUE!</v>
      </c>
      <c r="AN22" s="24"/>
      <c r="AO22" s="23" t="e">
        <f>D22*Q22/1000</f>
        <v>#VALUE!</v>
      </c>
      <c r="AP22" s="154" t="str">
        <f>IFERROR(INDEX(_xlfn._xlws.FILTER(tblFR041Sel[RowId],tblFR041Sel[Include]=1),ROWS($AP$11:AP22)),"")</f>
        <v/>
      </c>
      <c r="AQ22" s="154" t="e">
        <f>AO22/$AO$44</f>
        <v>#VALUE!</v>
      </c>
      <c r="AR22" s="154" t="e">
        <f>AO22/$AO$45</f>
        <v>#VALUE!</v>
      </c>
      <c r="AS22" s="35"/>
      <c r="AT22" s="31"/>
    </row>
    <row r="23" spans="1:60">
      <c r="A23" s="476"/>
      <c r="B23" s="26" t="str">
        <f>IF($AP23="","",_xlfn.XLOOKUP($AP23,tblScope11Stationary[RowId],tblScope11Stationary[ItemLabel],""))</f>
        <v/>
      </c>
      <c r="C23" s="15" t="str">
        <f>IF($AP23="","",_xlfn.XLOOKUP($AP23,tblScope11Stationary[RowId],tblScope11Stationary[Unit],""))</f>
        <v/>
      </c>
      <c r="D23" s="36" t="str">
        <f>IF($AP23="","",SUM(INDEX(tblScope11Stationary[[M1]:[M12]],MATCH($AP23,tblScope11Stationary[RowId],0),0)))</f>
        <v/>
      </c>
      <c r="E23" s="37"/>
      <c r="F23" s="37"/>
      <c r="G23" s="37"/>
      <c r="H23" s="37"/>
      <c r="I23" s="37"/>
      <c r="J23" s="37"/>
      <c r="K23" s="37"/>
      <c r="L23" s="37"/>
      <c r="M23" s="18"/>
      <c r="N23" s="38"/>
      <c r="O23" s="29"/>
      <c r="P23" s="21"/>
      <c r="Q23" s="22">
        <f>(E23*$AV$8)+(F23*$AV$9)+(G23*$AV$10)+(H23*$AV$11)+(I23*$AV$12)+(J23*$AV$13)+(K23*M23)+(L23*N23)</f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 t="e">
        <f>D23*E23/1000</f>
        <v>#VALUE!</v>
      </c>
      <c r="AB23" s="23" t="e">
        <f>D23*F23/1000</f>
        <v>#VALUE!</v>
      </c>
      <c r="AC23" s="23" t="e">
        <f>D23*G23/1000</f>
        <v>#VALUE!</v>
      </c>
      <c r="AD23" s="23" t="e">
        <f>D23*H23/1000</f>
        <v>#VALUE!</v>
      </c>
      <c r="AE23" s="23" t="e">
        <f>D23*I23/1000</f>
        <v>#VALUE!</v>
      </c>
      <c r="AF23" s="23" t="e">
        <f>D23*J23/1000</f>
        <v>#VALUE!</v>
      </c>
      <c r="AG23" s="23" t="e">
        <f>D23*F23*$AV$9/1000</f>
        <v>#VALUE!</v>
      </c>
      <c r="AH23" s="23" t="e">
        <f>D23*G23*$AV$10/1000</f>
        <v>#VALUE!</v>
      </c>
      <c r="AI23" s="23" t="e">
        <f>D23*H23*$AV$11/1000</f>
        <v>#VALUE!</v>
      </c>
      <c r="AJ23" s="23" t="e">
        <f>D23*I23*$AV$12/1000</f>
        <v>#VALUE!</v>
      </c>
      <c r="AK23" s="23" t="e">
        <f>D23*J23*$AV$13/1000</f>
        <v>#VALUE!</v>
      </c>
      <c r="AL23" s="23" t="e">
        <f>D23*K23*M23/1000</f>
        <v>#VALUE!</v>
      </c>
      <c r="AM23" s="23" t="e">
        <f>D23*L23*N23/1000</f>
        <v>#VALUE!</v>
      </c>
      <c r="AN23" s="24"/>
      <c r="AO23" s="23" t="e">
        <f>D23*Q23/1000</f>
        <v>#VALUE!</v>
      </c>
      <c r="AP23" s="154" t="str">
        <f>IFERROR(INDEX(_xlfn._xlws.FILTER(tblFR041Sel[RowId],tblFR041Sel[Include]=1),ROWS($AP$11:AP23)),"")</f>
        <v/>
      </c>
      <c r="AQ23" s="154" t="e">
        <f>AO23/$AO$44</f>
        <v>#VALUE!</v>
      </c>
      <c r="AR23" s="154" t="e">
        <f>AO23/$AO$45</f>
        <v>#VALUE!</v>
      </c>
      <c r="AS23" s="25"/>
      <c r="AT23" s="31"/>
    </row>
    <row r="24" spans="1:60">
      <c r="A24" s="477"/>
      <c r="B24" s="39" t="str">
        <f>IF($AP24="","",_xlfn.XLOOKUP($AP24,tblScope11Stationary[RowId],tblScope11Stationary[ItemLabel],""))</f>
        <v/>
      </c>
      <c r="C24" s="40" t="str">
        <f>IF($AP24="","",_xlfn.XLOOKUP($AP24,tblScope11Stationary[RowId],tblScope11Stationary[Unit],""))</f>
        <v/>
      </c>
      <c r="D24" s="41" t="str">
        <f>IF($AP24="","",SUM(INDEX(tblScope11Stationary[[M1]:[M12]],MATCH($AP24,tblScope11Stationary[RowId],0),0)))</f>
        <v/>
      </c>
      <c r="E24" s="499"/>
      <c r="F24" s="500"/>
      <c r="G24" s="500"/>
      <c r="H24" s="500"/>
      <c r="I24" s="500"/>
      <c r="J24" s="500"/>
      <c r="K24" s="500"/>
      <c r="L24" s="500"/>
      <c r="M24" s="500"/>
      <c r="N24" s="500"/>
      <c r="O24" s="500"/>
      <c r="P24" s="500"/>
      <c r="Q24" s="501"/>
      <c r="R24" s="113"/>
      <c r="S24" s="113"/>
      <c r="T24" s="113"/>
      <c r="U24" s="113"/>
      <c r="V24" s="113"/>
      <c r="W24" s="113"/>
      <c r="X24" s="113"/>
      <c r="Y24" s="113"/>
      <c r="Z24" s="113"/>
      <c r="AA24" s="42" t="e">
        <f>SUM(AA10:AA23)</f>
        <v>#VALUE!</v>
      </c>
      <c r="AB24" s="42" t="e">
        <f>SUM(AB10:AB23)</f>
        <v>#VALUE!</v>
      </c>
      <c r="AC24" s="42" t="e">
        <f>SUM(AC10:AC23)</f>
        <v>#VALUE!</v>
      </c>
      <c r="AD24" s="42" t="e">
        <f>SUM(AD10:AD23)</f>
        <v>#VALUE!</v>
      </c>
      <c r="AE24" s="42" t="e">
        <f>SUM(AE10:AE23)</f>
        <v>#VALUE!</v>
      </c>
      <c r="AF24" s="42" t="e">
        <f>SUM(AF10:AF23)</f>
        <v>#VALUE!</v>
      </c>
      <c r="AG24" s="42" t="e">
        <f>SUM(AG10:AG23)</f>
        <v>#VALUE!</v>
      </c>
      <c r="AH24" s="42" t="e">
        <f>SUM(AH10:AH23)</f>
        <v>#VALUE!</v>
      </c>
      <c r="AI24" s="42" t="e">
        <f>SUM(AI10:AI23)</f>
        <v>#VALUE!</v>
      </c>
      <c r="AJ24" s="42" t="e">
        <f>SUM(AJ10:AJ23)</f>
        <v>#VALUE!</v>
      </c>
      <c r="AK24" s="42" t="e">
        <f>SUM(AK10:AK23)</f>
        <v>#VALUE!</v>
      </c>
      <c r="AL24" s="42" t="e">
        <f>SUM(AL10:AL23)</f>
        <v>#VALUE!</v>
      </c>
      <c r="AM24" s="42" t="e">
        <f>SUM(AM10:AM23)</f>
        <v>#VALUE!</v>
      </c>
      <c r="AN24" s="42">
        <f>SUM(AN10:AN23)</f>
        <v>0</v>
      </c>
      <c r="AO24" s="42" t="e">
        <f>SUM(AO10:AO23)</f>
        <v>#VALUE!</v>
      </c>
      <c r="AP24" s="155" t="str">
        <f>IFERROR(INDEX(_xlfn._xlws.FILTER(tblFR041Sel[RowId],tblFR041Sel[Include]=1),ROWS($AP$11:AP24)),"")</f>
        <v/>
      </c>
      <c r="AQ24" s="155"/>
      <c r="AR24" s="155"/>
      <c r="AS24" s="43"/>
    </row>
    <row r="25" spans="1:60">
      <c r="A25" s="484" t="s">
        <v>127</v>
      </c>
      <c r="B25" s="44"/>
      <c r="C25" s="45"/>
      <c r="D25" s="46"/>
      <c r="E25" s="17"/>
      <c r="F25" s="47"/>
      <c r="G25" s="48"/>
      <c r="H25" s="48"/>
      <c r="I25" s="48"/>
      <c r="J25" s="48"/>
      <c r="K25" s="48"/>
      <c r="L25" s="48"/>
      <c r="M25" s="48"/>
      <c r="N25" s="49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50"/>
      <c r="AC25" s="51"/>
      <c r="AD25" s="51"/>
      <c r="AE25" s="51"/>
      <c r="AF25" s="51"/>
      <c r="AG25" s="50"/>
      <c r="AH25" s="51"/>
      <c r="AI25" s="51"/>
      <c r="AJ25" s="51"/>
      <c r="AK25" s="51"/>
      <c r="AL25" s="51"/>
      <c r="AM25" s="51"/>
      <c r="AN25" s="23">
        <f>D25*O25*P25/1000</f>
        <v>0</v>
      </c>
      <c r="AO25" s="23">
        <f>D25*Q25/1000</f>
        <v>0</v>
      </c>
      <c r="AP25" s="154" t="e">
        <f>AO25/$AO$30</f>
        <v>#DIV/0!</v>
      </c>
      <c r="AQ25" s="154"/>
      <c r="AR25" s="154"/>
      <c r="AS25" s="30"/>
    </row>
    <row r="26" spans="1:60">
      <c r="A26" s="485"/>
      <c r="B26" s="52"/>
      <c r="C26" s="53"/>
      <c r="D26" s="54"/>
      <c r="E26" s="19"/>
      <c r="F26" s="34"/>
      <c r="G26" s="252"/>
      <c r="H26" s="21"/>
      <c r="I26" s="21"/>
      <c r="J26" s="21"/>
      <c r="K26" s="21"/>
      <c r="L26" s="21"/>
      <c r="M26" s="21"/>
      <c r="N26" s="55"/>
      <c r="O26" s="28"/>
      <c r="P26" s="28"/>
      <c r="Q26" s="22">
        <f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>D26*E26*$AV$8/1000</f>
        <v>0</v>
      </c>
      <c r="AB26" s="56"/>
      <c r="AC26" s="253"/>
      <c r="AD26" s="57"/>
      <c r="AE26" s="57"/>
      <c r="AF26" s="57"/>
      <c r="AG26" s="56"/>
      <c r="AH26" s="253"/>
      <c r="AI26" s="57"/>
      <c r="AJ26" s="57"/>
      <c r="AK26" s="57"/>
      <c r="AL26" s="57"/>
      <c r="AM26" s="57"/>
      <c r="AN26" s="23">
        <f>D26*O26*P26/1000</f>
        <v>0</v>
      </c>
      <c r="AO26" s="23">
        <f>D26*Q26/1000</f>
        <v>0</v>
      </c>
      <c r="AP26" s="154" t="e">
        <f>AO26/$AO$30</f>
        <v>#DIV/0!</v>
      </c>
      <c r="AQ26" s="156"/>
      <c r="AR26" s="156"/>
      <c r="AS26" s="58"/>
    </row>
    <row r="27" spans="1:60">
      <c r="A27" s="485"/>
      <c r="B27" s="52"/>
      <c r="C27" s="53"/>
      <c r="D27" s="54"/>
      <c r="E27" s="19"/>
      <c r="F27" s="34"/>
      <c r="G27" s="252"/>
      <c r="H27" s="21"/>
      <c r="I27" s="21"/>
      <c r="J27" s="21"/>
      <c r="K27" s="21"/>
      <c r="L27" s="21"/>
      <c r="M27" s="21"/>
      <c r="N27" s="55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>D27*E27*$AV$8/1000</f>
        <v>0</v>
      </c>
      <c r="AB27" s="56"/>
      <c r="AC27" s="253"/>
      <c r="AD27" s="57"/>
      <c r="AE27" s="57"/>
      <c r="AF27" s="57"/>
      <c r="AG27" s="56"/>
      <c r="AH27" s="253"/>
      <c r="AI27" s="57"/>
      <c r="AJ27" s="57"/>
      <c r="AK27" s="57"/>
      <c r="AL27" s="57"/>
      <c r="AM27" s="57"/>
      <c r="AN27" s="23">
        <f>D27*O27*P27/1000</f>
        <v>0</v>
      </c>
      <c r="AO27" s="23">
        <f>D27*Q27/1000</f>
        <v>0</v>
      </c>
      <c r="AP27" s="154" t="e">
        <f>AO27/$AO$30</f>
        <v>#DIV/0!</v>
      </c>
      <c r="AQ27" s="156"/>
      <c r="AR27" s="156"/>
      <c r="AS27" s="58"/>
    </row>
    <row r="28" spans="1:60">
      <c r="A28" s="485"/>
      <c r="B28" s="52"/>
      <c r="C28" s="59"/>
      <c r="D28" s="54"/>
      <c r="E28" s="60"/>
      <c r="F28" s="34"/>
      <c r="G28" s="252"/>
      <c r="H28" s="21"/>
      <c r="I28" s="21"/>
      <c r="J28" s="21"/>
      <c r="K28" s="21"/>
      <c r="L28" s="21"/>
      <c r="M28" s="61"/>
      <c r="N28" s="55"/>
      <c r="O28" s="28"/>
      <c r="P28" s="54"/>
      <c r="Q28" s="22">
        <f>(E28*$AV$8)+(O28*P28)</f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>D28*E28*$AV$8/1000</f>
        <v>0</v>
      </c>
      <c r="AB28" s="56"/>
      <c r="AC28" s="253"/>
      <c r="AD28" s="57"/>
      <c r="AE28" s="57"/>
      <c r="AF28" s="57"/>
      <c r="AG28" s="56"/>
      <c r="AH28" s="253"/>
      <c r="AI28" s="57"/>
      <c r="AJ28" s="57"/>
      <c r="AK28" s="57"/>
      <c r="AL28" s="57"/>
      <c r="AM28" s="57"/>
      <c r="AN28" s="23">
        <f>D28*O28*P28/1000</f>
        <v>0</v>
      </c>
      <c r="AO28" s="23">
        <f>D28*Q28/1000</f>
        <v>0</v>
      </c>
      <c r="AP28" s="154" t="e">
        <f>AO28/$AO$30</f>
        <v>#DIV/0!</v>
      </c>
      <c r="AQ28" s="156"/>
      <c r="AR28" s="156"/>
      <c r="AS28" s="62"/>
      <c r="AT28" s="63"/>
    </row>
    <row r="29" spans="1:60">
      <c r="A29" s="485"/>
      <c r="B29" s="52"/>
      <c r="C29" s="59"/>
      <c r="D29" s="54"/>
      <c r="E29" s="60"/>
      <c r="F29" s="64"/>
      <c r="G29" s="65"/>
      <c r="H29" s="65"/>
      <c r="I29" s="65"/>
      <c r="J29" s="65"/>
      <c r="K29" s="65"/>
      <c r="L29" s="65"/>
      <c r="M29" s="66"/>
      <c r="N29" s="67"/>
      <c r="O29" s="37"/>
      <c r="P29" s="68"/>
      <c r="Q29" s="22">
        <f>(E29*$AV$8)+(O29*P29)</f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>D29*E29*$AV$8/1000</f>
        <v>0</v>
      </c>
      <c r="AB29" s="69"/>
      <c r="AC29" s="70"/>
      <c r="AD29" s="70"/>
      <c r="AE29" s="70"/>
      <c r="AF29" s="70"/>
      <c r="AG29" s="69"/>
      <c r="AH29" s="70"/>
      <c r="AI29" s="70"/>
      <c r="AJ29" s="70"/>
      <c r="AK29" s="70"/>
      <c r="AL29" s="70"/>
      <c r="AM29" s="70"/>
      <c r="AN29" s="23">
        <f>D29*O29*P29/1000</f>
        <v>0</v>
      </c>
      <c r="AO29" s="23">
        <f>D29*Q29/1000</f>
        <v>0</v>
      </c>
      <c r="AP29" s="154" t="e">
        <f>AO29/$AO$30</f>
        <v>#DIV/0!</v>
      </c>
      <c r="AQ29" s="156"/>
      <c r="AR29" s="156"/>
      <c r="AS29" s="62"/>
      <c r="AT29" s="63"/>
    </row>
    <row r="30" spans="1:60">
      <c r="A30" s="486"/>
      <c r="B30" s="487"/>
      <c r="C30" s="488"/>
      <c r="D30" s="488"/>
      <c r="E30" s="488"/>
      <c r="F30" s="488"/>
      <c r="G30" s="488"/>
      <c r="H30" s="488"/>
      <c r="I30" s="488"/>
      <c r="J30" s="488"/>
      <c r="K30" s="488"/>
      <c r="L30" s="488"/>
      <c r="M30" s="488"/>
      <c r="N30" s="488"/>
      <c r="O30" s="488"/>
      <c r="P30" s="488"/>
      <c r="Q30" s="489"/>
      <c r="R30" s="114"/>
      <c r="S30" s="114"/>
      <c r="T30" s="114"/>
      <c r="U30" s="114"/>
      <c r="V30" s="114"/>
      <c r="W30" s="114"/>
      <c r="X30" s="114"/>
      <c r="Y30" s="114"/>
      <c r="Z30" s="114"/>
      <c r="AA30" s="71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1">
        <f>SUM(AO25:AO29)</f>
        <v>0</v>
      </c>
      <c r="AP30" s="157" t="e">
        <f>SUM(AP25:AP29)</f>
        <v>#DIV/0!</v>
      </c>
      <c r="AQ30" s="157"/>
      <c r="AR30" s="157"/>
      <c r="AS30" s="73"/>
      <c r="AT30" s="63"/>
    </row>
    <row r="31" spans="1:60">
      <c r="A31" s="475" t="s">
        <v>128</v>
      </c>
      <c r="B31" s="74"/>
      <c r="C31" s="15"/>
      <c r="D31" s="75"/>
      <c r="E31" s="490"/>
      <c r="F31" s="491"/>
      <c r="G31" s="491"/>
      <c r="H31" s="491"/>
      <c r="I31" s="491"/>
      <c r="J31" s="491"/>
      <c r="K31" s="491"/>
      <c r="L31" s="491"/>
      <c r="M31" s="491"/>
      <c r="N31" s="491"/>
      <c r="O31" s="491"/>
      <c r="P31" s="492"/>
      <c r="Q31" s="76"/>
      <c r="R31" s="28"/>
      <c r="S31" s="28"/>
      <c r="T31" s="28"/>
      <c r="U31" s="28"/>
      <c r="V31" s="28"/>
      <c r="W31" s="28"/>
      <c r="X31" s="28"/>
      <c r="Y31" s="28"/>
      <c r="Z31" s="28"/>
      <c r="AA31" s="466"/>
      <c r="AB31" s="466"/>
      <c r="AC31" s="466"/>
      <c r="AD31" s="466"/>
      <c r="AE31" s="466"/>
      <c r="AF31" s="466"/>
      <c r="AG31" s="466"/>
      <c r="AH31" s="466"/>
      <c r="AI31" s="466"/>
      <c r="AJ31" s="466"/>
      <c r="AK31" s="466"/>
      <c r="AL31" s="466"/>
      <c r="AM31" s="466"/>
      <c r="AN31" s="467"/>
      <c r="AO31" s="23">
        <f>D31*Q31/1000</f>
        <v>0</v>
      </c>
      <c r="AP31" s="154" t="e">
        <f>AO31/$AO$35</f>
        <v>#DIV/0!</v>
      </c>
      <c r="AQ31" s="154" t="e">
        <f>AO31/$AO$44</f>
        <v>#VALUE!</v>
      </c>
      <c r="AR31" s="154" t="e">
        <f>AO31/$AO$45</f>
        <v>#VALUE!</v>
      </c>
      <c r="AS31" s="25"/>
      <c r="AU31" s="77"/>
    </row>
    <row r="32" spans="1:60">
      <c r="A32" s="476"/>
      <c r="B32" s="74"/>
      <c r="C32" s="15"/>
      <c r="D32" s="27"/>
      <c r="E32" s="493"/>
      <c r="F32" s="494"/>
      <c r="G32" s="494"/>
      <c r="H32" s="494"/>
      <c r="I32" s="494"/>
      <c r="J32" s="494"/>
      <c r="K32" s="494"/>
      <c r="L32" s="494"/>
      <c r="M32" s="494"/>
      <c r="N32" s="494"/>
      <c r="O32" s="494"/>
      <c r="P32" s="495"/>
      <c r="Q32" s="78"/>
      <c r="R32" s="28"/>
      <c r="S32" s="28"/>
      <c r="T32" s="28"/>
      <c r="U32" s="28"/>
      <c r="V32" s="28"/>
      <c r="W32" s="28"/>
      <c r="X32" s="28"/>
      <c r="Y32" s="28"/>
      <c r="Z32" s="2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9"/>
      <c r="AO32" s="23">
        <f>D32*Q32/1000</f>
        <v>0</v>
      </c>
      <c r="AP32" s="154" t="e">
        <f>AO32/$AO$35</f>
        <v>#DIV/0!</v>
      </c>
      <c r="AQ32" s="154" t="e">
        <f>AO32/$AO$44</f>
        <v>#VALUE!</v>
      </c>
      <c r="AR32" s="154" t="e">
        <f>AO32/$AO$45</f>
        <v>#VALUE!</v>
      </c>
      <c r="AS32" s="30"/>
      <c r="AT32" s="31"/>
      <c r="AU32" s="79"/>
    </row>
    <row r="33" spans="1:60">
      <c r="A33" s="476"/>
      <c r="B33" s="74"/>
      <c r="C33" s="15"/>
      <c r="D33" s="27"/>
      <c r="E33" s="493"/>
      <c r="F33" s="494"/>
      <c r="G33" s="494"/>
      <c r="H33" s="494"/>
      <c r="I33" s="494"/>
      <c r="J33" s="494"/>
      <c r="K33" s="494"/>
      <c r="L33" s="494"/>
      <c r="M33" s="494"/>
      <c r="N33" s="494"/>
      <c r="O33" s="494"/>
      <c r="P33" s="495"/>
      <c r="Q33" s="78"/>
      <c r="R33" s="28"/>
      <c r="S33" s="28"/>
      <c r="T33" s="28"/>
      <c r="U33" s="28"/>
      <c r="V33" s="28"/>
      <c r="W33" s="28"/>
      <c r="X33" s="28"/>
      <c r="Y33" s="28"/>
      <c r="Z33" s="2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9"/>
      <c r="AO33" s="23">
        <f>D33*Q33/1000</f>
        <v>0</v>
      </c>
      <c r="AP33" s="154" t="e">
        <f>AO33/$AO$35</f>
        <v>#DIV/0!</v>
      </c>
      <c r="AQ33" s="154" t="e">
        <f>AO33/$AO$44</f>
        <v>#VALUE!</v>
      </c>
      <c r="AR33" s="154" t="e">
        <f>AO33/$AO$45</f>
        <v>#VALUE!</v>
      </c>
      <c r="AS33" s="25"/>
    </row>
    <row r="34" spans="1:60">
      <c r="A34" s="476"/>
      <c r="B34" s="74"/>
      <c r="C34" s="15"/>
      <c r="D34" s="80"/>
      <c r="E34" s="496"/>
      <c r="F34" s="497"/>
      <c r="G34" s="497"/>
      <c r="H34" s="497"/>
      <c r="I34" s="497"/>
      <c r="J34" s="497"/>
      <c r="K34" s="497"/>
      <c r="L34" s="497"/>
      <c r="M34" s="497"/>
      <c r="N34" s="497"/>
      <c r="O34" s="497"/>
      <c r="P34" s="498"/>
      <c r="Q34" s="81"/>
      <c r="R34" s="28"/>
      <c r="S34" s="28"/>
      <c r="T34" s="28"/>
      <c r="U34" s="28"/>
      <c r="V34" s="28"/>
      <c r="W34" s="28"/>
      <c r="X34" s="28"/>
      <c r="Y34" s="28"/>
      <c r="Z34" s="28"/>
      <c r="AA34" s="470"/>
      <c r="AB34" s="470"/>
      <c r="AC34" s="470"/>
      <c r="AD34" s="470"/>
      <c r="AE34" s="470"/>
      <c r="AF34" s="470"/>
      <c r="AG34" s="470"/>
      <c r="AH34" s="470"/>
      <c r="AI34" s="470"/>
      <c r="AJ34" s="470"/>
      <c r="AK34" s="470"/>
      <c r="AL34" s="470"/>
      <c r="AM34" s="470"/>
      <c r="AN34" s="471"/>
      <c r="AO34" s="23"/>
      <c r="AP34" s="154" t="e">
        <f>AO34/$AO$35</f>
        <v>#DIV/0!</v>
      </c>
      <c r="AQ34" s="154" t="e">
        <f>AO34/$AO$44</f>
        <v>#VALUE!</v>
      </c>
      <c r="AR34" s="154" t="e">
        <f>AO34/$AO$45</f>
        <v>#VALUE!</v>
      </c>
      <c r="AS34" s="25"/>
      <c r="AU34" s="82"/>
    </row>
    <row r="35" spans="1:60">
      <c r="A35" s="477"/>
      <c r="B35" s="47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4"/>
      <c r="R35" s="116"/>
      <c r="S35" s="116"/>
      <c r="T35" s="116"/>
      <c r="U35" s="116"/>
      <c r="V35" s="116"/>
      <c r="W35" s="116"/>
      <c r="X35" s="116"/>
      <c r="Y35" s="116"/>
      <c r="Z35" s="116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>
        <f>SUM(AO31:AO34)</f>
        <v>0</v>
      </c>
      <c r="AP35" s="158" t="e">
        <f>SUM(AP31:AP34)</f>
        <v>#DIV/0!</v>
      </c>
      <c r="AQ35" s="158"/>
      <c r="AR35" s="158"/>
      <c r="AS35" s="83"/>
    </row>
    <row r="36" spans="1:60">
      <c r="A36" s="475" t="s">
        <v>129</v>
      </c>
      <c r="B36" s="84"/>
      <c r="C36" s="85"/>
      <c r="D36" s="86"/>
      <c r="E36" s="478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117"/>
      <c r="R36" s="28"/>
      <c r="S36" s="28"/>
      <c r="T36" s="28"/>
      <c r="U36" s="28"/>
      <c r="V36" s="28"/>
      <c r="W36" s="28"/>
      <c r="X36" s="28"/>
      <c r="Y36" s="28"/>
      <c r="Z36" s="28"/>
      <c r="AA36" s="466"/>
      <c r="AB36" s="466"/>
      <c r="AC36" s="466"/>
      <c r="AD36" s="466"/>
      <c r="AE36" s="466"/>
      <c r="AF36" s="466"/>
      <c r="AG36" s="466"/>
      <c r="AH36" s="466"/>
      <c r="AI36" s="466"/>
      <c r="AJ36" s="466"/>
      <c r="AK36" s="466"/>
      <c r="AL36" s="466"/>
      <c r="AM36" s="466"/>
      <c r="AN36" s="467"/>
      <c r="AO36" s="23">
        <f>D36*Q36/1000</f>
        <v>0</v>
      </c>
      <c r="AP36" s="154" t="e">
        <f>AO36/$AO$43</f>
        <v>#DIV/0!</v>
      </c>
      <c r="AQ36" s="154"/>
      <c r="AR36" s="154" t="e">
        <f>AO36/$AO$45</f>
        <v>#VALUE!</v>
      </c>
      <c r="AS36" s="25"/>
    </row>
    <row r="37" spans="1:60">
      <c r="A37" s="476"/>
      <c r="B37" s="74"/>
      <c r="C37" s="87"/>
      <c r="D37" s="88"/>
      <c r="E37" s="480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118"/>
      <c r="R37" s="28"/>
      <c r="S37" s="28"/>
      <c r="T37" s="28"/>
      <c r="U37" s="28"/>
      <c r="V37" s="28"/>
      <c r="W37" s="28"/>
      <c r="X37" s="28"/>
      <c r="Y37" s="28"/>
      <c r="Z37" s="2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9"/>
      <c r="AO37" s="23">
        <f>D37*Q37/1000</f>
        <v>0</v>
      </c>
      <c r="AP37" s="154" t="e">
        <f>AO37/$AO$43</f>
        <v>#DIV/0!</v>
      </c>
      <c r="AQ37" s="154"/>
      <c r="AR37" s="154" t="e">
        <f>AO37/$AO$45</f>
        <v>#VALUE!</v>
      </c>
      <c r="AS37" s="30"/>
      <c r="AT37" s="31"/>
    </row>
    <row r="38" spans="1:60">
      <c r="A38" s="476"/>
      <c r="B38" s="74"/>
      <c r="C38" s="87"/>
      <c r="D38" s="88"/>
      <c r="E38" s="480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118"/>
      <c r="R38" s="28"/>
      <c r="S38" s="28"/>
      <c r="T38" s="28"/>
      <c r="U38" s="28"/>
      <c r="V38" s="28"/>
      <c r="W38" s="28"/>
      <c r="X38" s="28"/>
      <c r="Y38" s="28"/>
      <c r="Z38" s="2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9"/>
      <c r="AO38" s="23">
        <f>D38*Q38/1000</f>
        <v>0</v>
      </c>
      <c r="AP38" s="154" t="e">
        <f>AO38/$AO$43</f>
        <v>#DIV/0!</v>
      </c>
      <c r="AQ38" s="154"/>
      <c r="AR38" s="154" t="e">
        <f>AO38/$AO$45</f>
        <v>#VALUE!</v>
      </c>
      <c r="AS38" s="30"/>
    </row>
    <row r="39" spans="1:60">
      <c r="A39" s="476"/>
      <c r="B39" s="74"/>
      <c r="C39" s="87"/>
      <c r="D39" s="88"/>
      <c r="E39" s="480"/>
      <c r="F39" s="481"/>
      <c r="G39" s="481"/>
      <c r="H39" s="481"/>
      <c r="I39" s="481"/>
      <c r="J39" s="481"/>
      <c r="K39" s="481"/>
      <c r="L39" s="481"/>
      <c r="M39" s="481"/>
      <c r="N39" s="481"/>
      <c r="O39" s="481"/>
      <c r="P39" s="481"/>
      <c r="Q39" s="118"/>
      <c r="R39" s="28"/>
      <c r="S39" s="28"/>
      <c r="T39" s="28"/>
      <c r="U39" s="28"/>
      <c r="V39" s="28"/>
      <c r="W39" s="28"/>
      <c r="X39" s="28"/>
      <c r="Y39" s="28"/>
      <c r="Z39" s="2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9"/>
      <c r="AO39" s="23">
        <f>D39*Q39/1000</f>
        <v>0</v>
      </c>
      <c r="AP39" s="154" t="e">
        <f>AO39/$AO$43</f>
        <v>#DIV/0!</v>
      </c>
      <c r="AQ39" s="154"/>
      <c r="AR39" s="154" t="e">
        <f>AO39/$AO$45</f>
        <v>#VALUE!</v>
      </c>
      <c r="AS39" s="25"/>
      <c r="AU39" s="89"/>
    </row>
    <row r="40" spans="1:60">
      <c r="A40" s="476"/>
      <c r="B40" s="74"/>
      <c r="C40" s="87"/>
      <c r="D40" s="88"/>
      <c r="E40" s="480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118"/>
      <c r="R40" s="28"/>
      <c r="S40" s="28"/>
      <c r="T40" s="28"/>
      <c r="U40" s="28"/>
      <c r="V40" s="28"/>
      <c r="W40" s="28"/>
      <c r="X40" s="28"/>
      <c r="Y40" s="28"/>
      <c r="Z40" s="2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9"/>
      <c r="AO40" s="23">
        <f>D40*Q40/1000</f>
        <v>0</v>
      </c>
      <c r="AP40" s="154" t="e">
        <f>AO40/$AO$43</f>
        <v>#DIV/0!</v>
      </c>
      <c r="AQ40" s="154"/>
      <c r="AR40" s="154" t="e">
        <f>AO40/$AO$45</f>
        <v>#VALUE!</v>
      </c>
      <c r="AS40" s="25"/>
    </row>
    <row r="41" spans="1:60">
      <c r="A41" s="476"/>
      <c r="B41" s="52"/>
      <c r="C41" s="87"/>
      <c r="D41" s="27"/>
      <c r="E41" s="480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9"/>
      <c r="AO41" s="23">
        <f>D41*Q41/1000</f>
        <v>0</v>
      </c>
      <c r="AP41" s="154" t="e">
        <f>AO41/$AO$43</f>
        <v>#DIV/0!</v>
      </c>
      <c r="AQ41" s="154"/>
      <c r="AR41" s="154" t="e">
        <f>AO41/$AO$45</f>
        <v>#VALUE!</v>
      </c>
      <c r="AS41" s="25"/>
    </row>
    <row r="42" spans="1:60">
      <c r="A42" s="476"/>
      <c r="B42" s="90"/>
      <c r="C42" s="87"/>
      <c r="D42" s="80"/>
      <c r="E42" s="482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37"/>
      <c r="R42" s="28"/>
      <c r="S42" s="28"/>
      <c r="T42" s="28"/>
      <c r="U42" s="28"/>
      <c r="V42" s="28"/>
      <c r="W42" s="28"/>
      <c r="X42" s="28"/>
      <c r="Y42" s="28"/>
      <c r="Z42" s="28"/>
      <c r="AA42" s="470"/>
      <c r="AB42" s="470"/>
      <c r="AC42" s="470"/>
      <c r="AD42" s="470"/>
      <c r="AE42" s="470"/>
      <c r="AF42" s="470"/>
      <c r="AG42" s="470"/>
      <c r="AH42" s="470"/>
      <c r="AI42" s="470"/>
      <c r="AJ42" s="470"/>
      <c r="AK42" s="470"/>
      <c r="AL42" s="470"/>
      <c r="AM42" s="470"/>
      <c r="AN42" s="471"/>
      <c r="AO42" s="23"/>
      <c r="AP42" s="154" t="e">
        <f>AO42/$AO$43</f>
        <v>#DIV/0!</v>
      </c>
      <c r="AQ42" s="154"/>
      <c r="AR42" s="154" t="e">
        <f>AO42/$AO$45</f>
        <v>#VALUE!</v>
      </c>
      <c r="AS42" s="25"/>
    </row>
    <row r="43" spans="1:60">
      <c r="A43" s="477"/>
      <c r="B43" s="47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4"/>
      <c r="R43" s="116"/>
      <c r="S43" s="116"/>
      <c r="T43" s="116"/>
      <c r="U43" s="116"/>
      <c r="V43" s="116"/>
      <c r="W43" s="116"/>
      <c r="X43" s="116"/>
      <c r="Y43" s="116"/>
      <c r="Z43" s="116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>
        <f>SUM(AO36:AO42)</f>
        <v>0</v>
      </c>
      <c r="AP43" s="157" t="e">
        <f>SUM(AP36:AP42)</f>
        <v>#DIV/0!</v>
      </c>
      <c r="AQ43" s="157"/>
      <c r="AR43" s="157"/>
      <c r="AS43" s="73"/>
    </row>
    <row r="44" spans="1:60">
      <c r="A44" s="91"/>
      <c r="B44" s="89"/>
      <c r="C44" s="92"/>
      <c r="D44" s="8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93" t="e">
        <f>AA24+AA35</f>
        <v>#VALUE!</v>
      </c>
      <c r="AB44" s="93" t="e">
        <f>AB24+AB35</f>
        <v>#VALUE!</v>
      </c>
      <c r="AC44" s="93"/>
      <c r="AD44" s="93" t="e">
        <f>AD24+AD35</f>
        <v>#VALUE!</v>
      </c>
      <c r="AE44" s="93" t="e">
        <f>AE24+AE35</f>
        <v>#VALUE!</v>
      </c>
      <c r="AF44" s="93" t="e">
        <f>AF24+AF35</f>
        <v>#VALUE!</v>
      </c>
      <c r="AG44" s="93" t="e">
        <f>AG24+AG35</f>
        <v>#VALUE!</v>
      </c>
      <c r="AH44" s="93"/>
      <c r="AI44" s="93" t="e">
        <f>AI24+AI35</f>
        <v>#VALUE!</v>
      </c>
      <c r="AJ44" s="93" t="e">
        <f>AJ24+AJ35</f>
        <v>#VALUE!</v>
      </c>
      <c r="AK44" s="93" t="e">
        <f>AK24+AK35</f>
        <v>#VALUE!</v>
      </c>
      <c r="AL44" s="93" t="e">
        <f>AL24+AL35</f>
        <v>#VALUE!</v>
      </c>
      <c r="AM44" s="93" t="e">
        <f>AM24+AM35</f>
        <v>#VALUE!</v>
      </c>
      <c r="AN44" s="93">
        <f>AN24+AN35</f>
        <v>0</v>
      </c>
      <c r="AO44" s="93" t="e">
        <f>AO24+AO35</f>
        <v>#VALUE!</v>
      </c>
      <c r="AP44" s="159"/>
      <c r="AQ44" s="159" t="e">
        <f>SUM(AQ10:AQ23)+SUM(AQ31:AQ34)</f>
        <v>#VALUE!</v>
      </c>
      <c r="AR44" s="159" t="e">
        <f>SUM(AR10:AR23)+SUM(AR31:AR34)+SUM(AR36:AR42)</f>
        <v>#VALUE!</v>
      </c>
      <c r="AS44" s="94"/>
      <c r="AT44" s="63"/>
    </row>
    <row r="45" spans="1:60">
      <c r="A45" s="91"/>
      <c r="B45" s="89"/>
      <c r="C45" s="92"/>
      <c r="D45" s="8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93" t="e">
        <f>AA24+AA35+AA43</f>
        <v>#VALUE!</v>
      </c>
      <c r="AB45" s="93" t="e">
        <f>AB24+AB35+AB43</f>
        <v>#VALUE!</v>
      </c>
      <c r="AC45" s="93"/>
      <c r="AD45" s="93" t="e">
        <f>AD24+AD35+AD43</f>
        <v>#VALUE!</v>
      </c>
      <c r="AE45" s="93" t="e">
        <f>AE24+AE35+AE43</f>
        <v>#VALUE!</v>
      </c>
      <c r="AF45" s="93" t="e">
        <f>AF24+AF35+AF43</f>
        <v>#VALUE!</v>
      </c>
      <c r="AG45" s="93" t="e">
        <f>AG24+AG35+AG43</f>
        <v>#VALUE!</v>
      </c>
      <c r="AH45" s="93"/>
      <c r="AI45" s="93" t="e">
        <f>AI24+AI35+AI43</f>
        <v>#VALUE!</v>
      </c>
      <c r="AJ45" s="93" t="e">
        <f>AJ24+AJ35+AJ43</f>
        <v>#VALUE!</v>
      </c>
      <c r="AK45" s="93" t="e">
        <f>AK24+AK35+AK43</f>
        <v>#VALUE!</v>
      </c>
      <c r="AL45" s="93" t="e">
        <f>AL24+AL35+AL43</f>
        <v>#VALUE!</v>
      </c>
      <c r="AM45" s="93" t="e">
        <f>AM24+AM35+AM43</f>
        <v>#VALUE!</v>
      </c>
      <c r="AN45" s="93">
        <f>AN24+AN35+AN43</f>
        <v>0</v>
      </c>
      <c r="AO45" s="93" t="e">
        <f>AO24+AO35+AO43</f>
        <v>#VALUE!</v>
      </c>
      <c r="AP45" s="93"/>
      <c r="AQ45" s="93"/>
      <c r="AR45" s="93"/>
      <c r="AS45" s="94"/>
      <c r="AT45" s="63"/>
    </row>
    <row r="46" spans="1:60">
      <c r="A46" s="95" t="s">
        <v>33</v>
      </c>
      <c r="B46" s="417"/>
      <c r="C46" s="418"/>
      <c r="D46" s="418"/>
      <c r="E46" s="418"/>
      <c r="F46" s="418"/>
      <c r="G46" s="418"/>
      <c r="H46" s="418"/>
      <c r="I46" s="418"/>
      <c r="J46" s="418"/>
      <c r="K46" s="418"/>
      <c r="L46" s="418"/>
      <c r="M46" s="418"/>
      <c r="N46" s="418"/>
      <c r="O46" s="418"/>
      <c r="P46" s="418"/>
      <c r="Q46" s="418"/>
      <c r="R46" s="115"/>
      <c r="S46" s="115"/>
      <c r="T46" s="115"/>
      <c r="U46" s="115"/>
      <c r="V46" s="115"/>
      <c r="W46" s="115"/>
      <c r="X46" s="115"/>
      <c r="Y46" s="115"/>
      <c r="Z46" s="115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7"/>
    </row>
    <row r="47" spans="1:60">
      <c r="A47" s="89"/>
      <c r="B47" s="89"/>
      <c r="C47" s="98"/>
      <c r="D47" s="99"/>
      <c r="E47" s="89"/>
      <c r="F47" s="89"/>
      <c r="G47" s="248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248"/>
      <c r="AD47" s="89"/>
      <c r="AE47" s="89"/>
      <c r="AF47" s="89"/>
      <c r="AG47" s="89"/>
      <c r="AH47" s="248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100"/>
    </row>
    <row r="48" spans="1:60">
      <c r="B48" s="89"/>
    </row>
    <row r="49" spans="1:60" customHeight="1" ht="20.25">
      <c r="B49" s="101"/>
    </row>
    <row r="50" spans="1:60" customHeight="1" ht="20.25">
      <c r="B50" s="101"/>
    </row>
    <row r="51" spans="1:60" customHeight="1" ht="20.25">
      <c r="B51" s="101"/>
    </row>
  </sheetData>
  <mergeCells>
    <mergeCell ref="AU6:AV6"/>
    <mergeCell ref="AP6:AP9"/>
    <mergeCell ref="AO3:AQ3"/>
    <mergeCell ref="AO4:AQ4"/>
    <mergeCell ref="AR3:AS3"/>
    <mergeCell ref="AR4:AS4"/>
    <mergeCell ref="AS6:AS9"/>
    <mergeCell ref="AQ6:AQ9"/>
    <mergeCell ref="AR6:AR9"/>
    <mergeCell ref="C3:F3"/>
    <mergeCell ref="B1:AN2"/>
    <mergeCell ref="AO1:AS2"/>
    <mergeCell ref="C4:F4"/>
    <mergeCell ref="I3:AA3"/>
    <mergeCell ref="I4:AA4"/>
    <mergeCell ref="AB3:AD3"/>
    <mergeCell ref="AE3:AN3"/>
    <mergeCell ref="A1:A4"/>
    <mergeCell ref="T8:T9"/>
    <mergeCell ref="A5:AS5"/>
    <mergeCell ref="A6:A9"/>
    <mergeCell ref="B6:B9"/>
    <mergeCell ref="C6:D8"/>
    <mergeCell ref="E6:N7"/>
    <mergeCell ref="O6:P7"/>
    <mergeCell ref="Q6:Q9"/>
    <mergeCell ref="E8:L8"/>
    <mergeCell ref="M8:N8"/>
    <mergeCell ref="O8:O9"/>
    <mergeCell ref="P8:P9"/>
    <mergeCell ref="AA6:AF8"/>
    <mergeCell ref="AG6:AN8"/>
    <mergeCell ref="AO6:AO7"/>
    <mergeCell ref="A10:A24"/>
    <mergeCell ref="E24:Q24"/>
    <mergeCell ref="Z6:Z9"/>
    <mergeCell ref="Y6:Y9"/>
    <mergeCell ref="W8:W9"/>
    <mergeCell ref="T7:W7"/>
    <mergeCell ref="U8:U9"/>
    <mergeCell ref="V8:V9"/>
    <mergeCell ref="S8:S9"/>
    <mergeCell ref="R6:X6"/>
    <mergeCell ref="X7:X9"/>
    <mergeCell ref="R7:S7"/>
    <mergeCell ref="R8:R9"/>
    <mergeCell ref="A25:A30"/>
    <mergeCell ref="B30:Q30"/>
    <mergeCell ref="A31:A35"/>
    <mergeCell ref="E31:P34"/>
    <mergeCell ref="B46:Q46"/>
    <mergeCell ref="AA31:AN34"/>
    <mergeCell ref="B35:Q35"/>
    <mergeCell ref="A36:A43"/>
    <mergeCell ref="E36:P42"/>
    <mergeCell ref="AA36:AN42"/>
    <mergeCell ref="B43:Q4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H51"/>
  <sheetViews>
    <sheetView tabSelected="0" workbookViewId="0" showGridLines="true" showRowColHeaders="1">
      <selection activeCell="Q10" sqref="Q10"/>
    </sheetView>
  </sheetViews>
  <sheetFormatPr defaultRowHeight="14.4" outlineLevelRow="0" outlineLevelCol="0"/>
  <cols>
    <col min="2" max="2" width="16.140625" customWidth="true" style="0"/>
    <col min="4" max="4" width="13.42578125" customWidth="true" style="0"/>
    <col min="15" max="15" width="11.7109375" customWidth="true" style="0"/>
    <col min="17" max="17" width="13.140625" customWidth="true" style="0"/>
    <col min="18" max="18" width="3.140625" customWidth="true" style="0"/>
    <col min="19" max="19" width="3.140625" customWidth="true" style="0"/>
    <col min="20" max="20" width="3.140625" customWidth="true" style="0"/>
    <col min="21" max="21" width="3.140625" customWidth="true" style="0"/>
    <col min="22" max="22" width="3.140625" customWidth="true" style="0"/>
    <col min="23" max="23" width="3.140625" customWidth="true" style="0"/>
    <col min="24" max="24" width="3.140625" customWidth="true" style="0"/>
    <col min="25" max="25" width="3.140625" customWidth="true" style="0"/>
    <col min="26" max="26" width="16.5703125" customWidth="true" style="0"/>
    <col min="41" max="41" width="12.5703125" customWidth="true" style="0"/>
    <col min="42" max="42" width="12.5703125" customWidth="true" style="0"/>
    <col min="43" max="43" width="12.5703125" customWidth="true" style="0"/>
    <col min="44" max="44" width="12.5703125" customWidth="true" style="0"/>
    <col min="45" max="45" width="44.5703125" customWidth="true" style="0"/>
    <col min="46" max="46" width="2.5703125" customWidth="true" style="0"/>
    <col min="47" max="47" width="10.28515625" customWidth="true" style="0"/>
    <col min="48" max="48" width="9.42578125" customWidth="true" style="0"/>
  </cols>
  <sheetData>
    <row r="1" spans="1:60" customHeight="1" ht="15" s="265" customFormat="1">
      <c r="A1" s="515"/>
      <c r="B1" s="598" t="s">
        <v>130</v>
      </c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  <c r="R1" s="599"/>
      <c r="S1" s="599"/>
      <c r="T1" s="599"/>
      <c r="U1" s="599"/>
      <c r="V1" s="599"/>
      <c r="W1" s="599"/>
      <c r="X1" s="599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599"/>
      <c r="AJ1" s="599"/>
      <c r="AK1" s="599"/>
      <c r="AL1" s="599"/>
      <c r="AM1" s="599"/>
      <c r="AN1" s="600"/>
      <c r="AO1" s="567" t="s">
        <v>1</v>
      </c>
      <c r="AP1" s="568"/>
      <c r="AQ1" s="568"/>
      <c r="AR1" s="568"/>
      <c r="AS1" s="569"/>
      <c r="BF1" s="273"/>
      <c r="BG1" s="273"/>
      <c r="BH1" s="273"/>
    </row>
    <row r="2" spans="1:60" customHeight="1" ht="15" s="265" customFormat="1">
      <c r="A2" s="516"/>
      <c r="B2" s="601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602"/>
      <c r="AF2" s="602"/>
      <c r="AG2" s="602"/>
      <c r="AH2" s="602"/>
      <c r="AI2" s="602"/>
      <c r="AJ2" s="602"/>
      <c r="AK2" s="602"/>
      <c r="AL2" s="602"/>
      <c r="AM2" s="602"/>
      <c r="AN2" s="603"/>
      <c r="AO2" s="570"/>
      <c r="AP2" s="571"/>
      <c r="AQ2" s="571"/>
      <c r="AR2" s="571"/>
      <c r="AS2" s="572"/>
      <c r="BF2" s="273"/>
      <c r="BG2" s="273"/>
      <c r="BH2" s="273"/>
    </row>
    <row r="3" spans="1:60" customHeight="1" ht="21.75" s="265" customFormat="1">
      <c r="A3" s="516"/>
      <c r="B3" s="274" t="s">
        <v>2</v>
      </c>
      <c r="C3" s="558" t="s">
        <v>3</v>
      </c>
      <c r="D3" s="559"/>
      <c r="E3" s="559"/>
      <c r="F3" s="560"/>
      <c r="G3" s="279"/>
      <c r="H3" s="275" t="s">
        <v>4</v>
      </c>
      <c r="I3" s="573" t="str">
        <f>'Fr-01'!$B$6</f>
        <v>ชื่อองค์กรที่ขอขึ้นทะเบียน</v>
      </c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5"/>
      <c r="AB3" s="579" t="s">
        <v>20</v>
      </c>
      <c r="AC3" s="580"/>
      <c r="AD3" s="581"/>
      <c r="AE3" s="573" t="str">
        <f>'Fr-01'!H24</f>
        <v> ระบุปีฐาน เช่น ม.ค.61-ธ.ค.61</v>
      </c>
      <c r="AF3" s="574"/>
      <c r="AG3" s="574"/>
      <c r="AH3" s="574"/>
      <c r="AI3" s="574"/>
      <c r="AJ3" s="574"/>
      <c r="AK3" s="574"/>
      <c r="AL3" s="574"/>
      <c r="AM3" s="574"/>
      <c r="AN3" s="575"/>
      <c r="AO3" s="587" t="s">
        <v>5</v>
      </c>
      <c r="AP3" s="588"/>
      <c r="AQ3" s="589"/>
      <c r="AR3" s="590">
        <v>5</v>
      </c>
      <c r="AS3" s="591"/>
      <c r="BF3" s="273"/>
      <c r="BG3" s="273"/>
      <c r="BH3" s="273"/>
    </row>
    <row r="4" spans="1:60" customHeight="1" ht="21" s="265" customFormat="1">
      <c r="A4" s="517"/>
      <c r="B4" s="274" t="s">
        <v>6</v>
      </c>
      <c r="C4" s="558" t="s">
        <v>131</v>
      </c>
      <c r="D4" s="559"/>
      <c r="E4" s="559"/>
      <c r="F4" s="560"/>
      <c r="G4" s="279"/>
      <c r="H4" s="275" t="s">
        <v>8</v>
      </c>
      <c r="I4" s="576">
        <f>'Fr-01'!$G$4</f>
        <v>0</v>
      </c>
      <c r="J4" s="577"/>
      <c r="K4" s="577"/>
      <c r="L4" s="577"/>
      <c r="M4" s="577"/>
      <c r="N4" s="577"/>
      <c r="O4" s="577"/>
      <c r="P4" s="577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8"/>
      <c r="AB4" s="276"/>
      <c r="AC4" s="278"/>
      <c r="AD4" s="277"/>
      <c r="AE4" s="278"/>
      <c r="AF4" s="278"/>
      <c r="AG4" s="278"/>
      <c r="AH4" s="278"/>
      <c r="AI4" s="278"/>
      <c r="AJ4" s="278"/>
      <c r="AK4" s="278"/>
      <c r="AL4" s="278"/>
      <c r="AM4" s="278"/>
      <c r="AN4" s="277"/>
      <c r="AO4" s="587" t="s">
        <v>30</v>
      </c>
      <c r="AP4" s="588"/>
      <c r="AQ4" s="589"/>
      <c r="AR4" s="587"/>
      <c r="AS4" s="589"/>
      <c r="BF4" s="273"/>
      <c r="BG4" s="273"/>
      <c r="BH4" s="273"/>
    </row>
    <row r="5" spans="1:60">
      <c r="A5" s="518"/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  <c r="AS5" s="520"/>
    </row>
    <row r="6" spans="1:60" customHeight="1" ht="15">
      <c r="A6" s="521" t="s">
        <v>81</v>
      </c>
      <c r="B6" s="524" t="s">
        <v>82</v>
      </c>
      <c r="C6" s="527" t="s">
        <v>83</v>
      </c>
      <c r="D6" s="528"/>
      <c r="E6" s="533" t="s">
        <v>84</v>
      </c>
      <c r="F6" s="534"/>
      <c r="G6" s="534"/>
      <c r="H6" s="534"/>
      <c r="I6" s="534"/>
      <c r="J6" s="534"/>
      <c r="K6" s="534"/>
      <c r="L6" s="534"/>
      <c r="M6" s="534"/>
      <c r="N6" s="535"/>
      <c r="O6" s="533" t="s">
        <v>85</v>
      </c>
      <c r="P6" s="535"/>
      <c r="Q6" s="539" t="s">
        <v>86</v>
      </c>
      <c r="R6" s="509" t="s">
        <v>87</v>
      </c>
      <c r="S6" s="510"/>
      <c r="T6" s="510"/>
      <c r="U6" s="510"/>
      <c r="V6" s="510"/>
      <c r="W6" s="510"/>
      <c r="X6" s="513"/>
      <c r="Y6" s="504" t="s">
        <v>88</v>
      </c>
      <c r="Z6" s="502" t="s">
        <v>89</v>
      </c>
      <c r="AA6" s="547" t="s">
        <v>90</v>
      </c>
      <c r="AB6" s="548"/>
      <c r="AC6" s="548"/>
      <c r="AD6" s="548"/>
      <c r="AE6" s="548"/>
      <c r="AF6" s="549"/>
      <c r="AG6" s="548" t="s">
        <v>91</v>
      </c>
      <c r="AH6" s="548"/>
      <c r="AI6" s="548"/>
      <c r="AJ6" s="548"/>
      <c r="AK6" s="548"/>
      <c r="AL6" s="548"/>
      <c r="AM6" s="548"/>
      <c r="AN6" s="549"/>
      <c r="AO6" s="556" t="s">
        <v>92</v>
      </c>
      <c r="AP6" s="584" t="s">
        <v>93</v>
      </c>
      <c r="AQ6" s="584" t="s">
        <v>94</v>
      </c>
      <c r="AR6" s="584" t="s">
        <v>95</v>
      </c>
      <c r="AS6" s="595" t="s">
        <v>132</v>
      </c>
      <c r="AU6" s="582" t="s">
        <v>97</v>
      </c>
      <c r="AV6" s="583"/>
    </row>
    <row r="7" spans="1:60" customHeight="1" ht="15">
      <c r="A7" s="522"/>
      <c r="B7" s="525"/>
      <c r="C7" s="529"/>
      <c r="D7" s="530"/>
      <c r="E7" s="536"/>
      <c r="F7" s="537"/>
      <c r="G7" s="537"/>
      <c r="H7" s="537"/>
      <c r="I7" s="537"/>
      <c r="J7" s="537"/>
      <c r="K7" s="537"/>
      <c r="L7" s="537"/>
      <c r="M7" s="537"/>
      <c r="N7" s="538"/>
      <c r="O7" s="536"/>
      <c r="P7" s="538"/>
      <c r="Q7" s="540"/>
      <c r="R7" s="514" t="s">
        <v>98</v>
      </c>
      <c r="S7" s="514"/>
      <c r="T7" s="509" t="s">
        <v>99</v>
      </c>
      <c r="U7" s="510"/>
      <c r="V7" s="510"/>
      <c r="W7" s="510"/>
      <c r="X7" s="504" t="s">
        <v>100</v>
      </c>
      <c r="Y7" s="505"/>
      <c r="Z7" s="503"/>
      <c r="AA7" s="550"/>
      <c r="AB7" s="551"/>
      <c r="AC7" s="551"/>
      <c r="AD7" s="551"/>
      <c r="AE7" s="551"/>
      <c r="AF7" s="552"/>
      <c r="AG7" s="551"/>
      <c r="AH7" s="551"/>
      <c r="AI7" s="551"/>
      <c r="AJ7" s="551"/>
      <c r="AK7" s="551"/>
      <c r="AL7" s="551"/>
      <c r="AM7" s="551"/>
      <c r="AN7" s="552"/>
      <c r="AO7" s="557"/>
      <c r="AP7" s="585"/>
      <c r="AQ7" s="585"/>
      <c r="AR7" s="585"/>
      <c r="AS7" s="596"/>
      <c r="AT7" s="1"/>
      <c r="AU7" s="2" t="s">
        <v>87</v>
      </c>
      <c r="AV7" s="136" t="s">
        <v>101</v>
      </c>
    </row>
    <row r="8" spans="1:60" customHeight="1" ht="31.5">
      <c r="A8" s="522"/>
      <c r="B8" s="525"/>
      <c r="C8" s="531"/>
      <c r="D8" s="532"/>
      <c r="E8" s="542" t="s">
        <v>102</v>
      </c>
      <c r="F8" s="543"/>
      <c r="G8" s="543"/>
      <c r="H8" s="543"/>
      <c r="I8" s="543"/>
      <c r="J8" s="543"/>
      <c r="K8" s="543"/>
      <c r="L8" s="544"/>
      <c r="M8" s="542" t="s">
        <v>103</v>
      </c>
      <c r="N8" s="544"/>
      <c r="O8" s="545" t="s">
        <v>102</v>
      </c>
      <c r="P8" s="545" t="s">
        <v>103</v>
      </c>
      <c r="Q8" s="540"/>
      <c r="R8" s="504" t="s">
        <v>104</v>
      </c>
      <c r="S8" s="511" t="s">
        <v>105</v>
      </c>
      <c r="T8" s="504" t="s">
        <v>106</v>
      </c>
      <c r="U8" s="504" t="s">
        <v>107</v>
      </c>
      <c r="V8" s="504" t="s">
        <v>108</v>
      </c>
      <c r="W8" s="507" t="s">
        <v>109</v>
      </c>
      <c r="X8" s="505"/>
      <c r="Y8" s="505"/>
      <c r="Z8" s="503"/>
      <c r="AA8" s="553"/>
      <c r="AB8" s="554"/>
      <c r="AC8" s="554"/>
      <c r="AD8" s="554"/>
      <c r="AE8" s="554"/>
      <c r="AF8" s="555"/>
      <c r="AG8" s="554"/>
      <c r="AH8" s="554"/>
      <c r="AI8" s="554"/>
      <c r="AJ8" s="554"/>
      <c r="AK8" s="554"/>
      <c r="AL8" s="554"/>
      <c r="AM8" s="554"/>
      <c r="AN8" s="555"/>
      <c r="AO8" s="216" t="s">
        <v>110</v>
      </c>
      <c r="AP8" s="585"/>
      <c r="AQ8" s="585"/>
      <c r="AR8" s="585"/>
      <c r="AS8" s="596"/>
      <c r="AT8" s="1"/>
      <c r="AU8" s="2" t="s">
        <v>111</v>
      </c>
      <c r="AV8" s="2">
        <v>1</v>
      </c>
    </row>
    <row r="9" spans="1:60">
      <c r="A9" s="523"/>
      <c r="B9" s="526"/>
      <c r="C9" s="4" t="s">
        <v>112</v>
      </c>
      <c r="D9" s="5" t="s">
        <v>113</v>
      </c>
      <c r="E9" s="6" t="s">
        <v>114</v>
      </c>
      <c r="F9" s="7" t="s">
        <v>115</v>
      </c>
      <c r="G9" s="7" t="s">
        <v>116</v>
      </c>
      <c r="H9" s="6" t="s">
        <v>117</v>
      </c>
      <c r="I9" s="8" t="s">
        <v>118</v>
      </c>
      <c r="J9" s="7" t="s">
        <v>119</v>
      </c>
      <c r="K9" s="7" t="s">
        <v>120</v>
      </c>
      <c r="L9" s="7" t="s">
        <v>121</v>
      </c>
      <c r="M9" s="7" t="s">
        <v>120</v>
      </c>
      <c r="N9" s="7" t="s">
        <v>121</v>
      </c>
      <c r="O9" s="546"/>
      <c r="P9" s="546"/>
      <c r="Q9" s="541"/>
      <c r="R9" s="506"/>
      <c r="S9" s="512"/>
      <c r="T9" s="506"/>
      <c r="U9" s="506"/>
      <c r="V9" s="506"/>
      <c r="W9" s="508"/>
      <c r="X9" s="506"/>
      <c r="Y9" s="506"/>
      <c r="Z9" s="503"/>
      <c r="AA9" s="9" t="s">
        <v>111</v>
      </c>
      <c r="AB9" s="10" t="s">
        <v>115</v>
      </c>
      <c r="AC9" s="10" t="s">
        <v>122</v>
      </c>
      <c r="AD9" s="11" t="s">
        <v>123</v>
      </c>
      <c r="AE9" s="11" t="s">
        <v>124</v>
      </c>
      <c r="AF9" s="12" t="s">
        <v>125</v>
      </c>
      <c r="AG9" s="10" t="s">
        <v>115</v>
      </c>
      <c r="AH9" s="10" t="s">
        <v>122</v>
      </c>
      <c r="AI9" s="11" t="s">
        <v>123</v>
      </c>
      <c r="AJ9" s="11" t="s">
        <v>124</v>
      </c>
      <c r="AK9" s="11" t="s">
        <v>125</v>
      </c>
      <c r="AL9" s="11" t="s">
        <v>120</v>
      </c>
      <c r="AM9" s="11" t="s">
        <v>121</v>
      </c>
      <c r="AN9" s="11" t="s">
        <v>100</v>
      </c>
      <c r="AO9" s="13"/>
      <c r="AP9" s="586"/>
      <c r="AQ9" s="586"/>
      <c r="AR9" s="586"/>
      <c r="AS9" s="597"/>
      <c r="AU9" s="2" t="s">
        <v>115</v>
      </c>
      <c r="AV9" s="177">
        <v>30</v>
      </c>
    </row>
    <row r="10" spans="1:60">
      <c r="A10" s="475" t="s">
        <v>126</v>
      </c>
      <c r="B10" s="14"/>
      <c r="C10" s="15"/>
      <c r="D10" s="16"/>
      <c r="E10" s="17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>D10*E10/1000</f>
        <v>0</v>
      </c>
      <c r="AB10" s="23">
        <f>D10*F10/1000</f>
        <v>0</v>
      </c>
      <c r="AC10" s="23">
        <f>D10*G10/1000</f>
        <v>0</v>
      </c>
      <c r="AD10" s="23">
        <f>D10*H10/1000</f>
        <v>0</v>
      </c>
      <c r="AE10" s="23">
        <f>D10*I10/1000</f>
        <v>0</v>
      </c>
      <c r="AF10" s="23">
        <f>D10*J10/1000</f>
        <v>0</v>
      </c>
      <c r="AG10" s="23">
        <f>D10*F10*$AV$9/1000</f>
        <v>0</v>
      </c>
      <c r="AH10" s="23">
        <f>D10*G10*$AV$10/1000</f>
        <v>0</v>
      </c>
      <c r="AI10" s="23">
        <f>D10*H10*$AV$11/1000</f>
        <v>0</v>
      </c>
      <c r="AJ10" s="23">
        <f>D10*I10*$AV$12/1000</f>
        <v>0</v>
      </c>
      <c r="AK10" s="23">
        <f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154" t="e">
        <f>AO10/$AO$24</f>
        <v>#DIV/0!</v>
      </c>
      <c r="AQ10" s="154" t="e">
        <f>AO10/$AO$44</f>
        <v>#DIV/0!</v>
      </c>
      <c r="AR10" s="154" t="e">
        <f>AO10/$AO$45</f>
        <v>#DIV/0!</v>
      </c>
      <c r="AS10" s="25"/>
      <c r="AU10" s="2" t="s">
        <v>122</v>
      </c>
      <c r="AV10" s="177">
        <v>28</v>
      </c>
    </row>
    <row r="11" spans="1:60">
      <c r="A11" s="476"/>
      <c r="B11" s="26"/>
      <c r="C11" s="15"/>
      <c r="D11" s="27"/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>(E11*$AV$8)+(F11*$AV$9)+(G11*$AV$10)+(H11*$AV$11)+(I11*$AV$12)+(J11*$AV$13)+(K11*M11)+(L11*N11)</f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>
        <f>D11*E11/1000</f>
        <v>0</v>
      </c>
      <c r="AB11" s="23">
        <f>D11*F11/1000</f>
        <v>0</v>
      </c>
      <c r="AC11" s="23">
        <f>D11*G11/1000</f>
        <v>0</v>
      </c>
      <c r="AD11" s="23">
        <f>D11*H11/1000</f>
        <v>0</v>
      </c>
      <c r="AE11" s="23">
        <f>D11*I11/1000</f>
        <v>0</v>
      </c>
      <c r="AF11" s="23">
        <f>D11*J11/1000</f>
        <v>0</v>
      </c>
      <c r="AG11" s="23">
        <f>D11*F11*$AV$9/1000</f>
        <v>0</v>
      </c>
      <c r="AH11" s="23">
        <f>D11*G11*$AV$10/1000</f>
        <v>0</v>
      </c>
      <c r="AI11" s="23">
        <f>D11*H11*$AV$11/1000</f>
        <v>0</v>
      </c>
      <c r="AJ11" s="23">
        <f>D11*I11*$AV$12/1000</f>
        <v>0</v>
      </c>
      <c r="AK11" s="23">
        <f>D11*J11*$AV$13/1000</f>
        <v>0</v>
      </c>
      <c r="AL11" s="23">
        <f>D11*K11*M11/1000</f>
        <v>0</v>
      </c>
      <c r="AM11" s="23">
        <f>D11*L11*N11/1000</f>
        <v>0</v>
      </c>
      <c r="AN11" s="24"/>
      <c r="AO11" s="23">
        <f>D11*Q11/1000</f>
        <v>0</v>
      </c>
      <c r="AP11" s="154" t="e">
        <f>AO11/$AO$24</f>
        <v>#DIV/0!</v>
      </c>
      <c r="AQ11" s="154" t="e">
        <f>AO11/$AO$44</f>
        <v>#DIV/0!</v>
      </c>
      <c r="AR11" s="154" t="e">
        <f>AO11/$AO$45</f>
        <v>#DIV/0!</v>
      </c>
      <c r="AS11" s="30"/>
      <c r="AT11" s="31"/>
      <c r="AU11" s="2" t="s">
        <v>123</v>
      </c>
      <c r="AV11" s="2">
        <v>265</v>
      </c>
    </row>
    <row r="12" spans="1:60">
      <c r="A12" s="476"/>
      <c r="B12" s="26"/>
      <c r="C12" s="15"/>
      <c r="D12" s="27"/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>(E12*$AV$8)+(F12*$AV$9)+(G12*$AV$10)+(H12*$AV$11)+(I12*$AV$12)+(J12*$AV$13)+(K12*M12)+(L12*N12)</f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>
        <f>D12*E12/1000</f>
        <v>0</v>
      </c>
      <c r="AB12" s="23">
        <f>D12*F12/1000</f>
        <v>0</v>
      </c>
      <c r="AC12" s="23">
        <f>D12*G12/1000</f>
        <v>0</v>
      </c>
      <c r="AD12" s="23">
        <f>D12*H12/1000</f>
        <v>0</v>
      </c>
      <c r="AE12" s="23">
        <f>D12*I12/1000</f>
        <v>0</v>
      </c>
      <c r="AF12" s="23">
        <f>D12*J12/1000</f>
        <v>0</v>
      </c>
      <c r="AG12" s="23">
        <f>D12*F12*$AV$9/1000</f>
        <v>0</v>
      </c>
      <c r="AH12" s="23">
        <f>D12*G12*$AV$10/1000</f>
        <v>0</v>
      </c>
      <c r="AI12" s="23">
        <f>D12*H12*$AV$11/1000</f>
        <v>0</v>
      </c>
      <c r="AJ12" s="23">
        <f>D12*I12*$AV$12/1000</f>
        <v>0</v>
      </c>
      <c r="AK12" s="23">
        <f>D12*J12*$AV$13/1000</f>
        <v>0</v>
      </c>
      <c r="AL12" s="23">
        <f>D12*K12*M12/1000</f>
        <v>0</v>
      </c>
      <c r="AM12" s="23">
        <f>D12*L12*N12/1000</f>
        <v>0</v>
      </c>
      <c r="AN12" s="24"/>
      <c r="AO12" s="23">
        <f>D12*Q12/1000</f>
        <v>0</v>
      </c>
      <c r="AP12" s="154" t="e">
        <f>AO12/$AO$24</f>
        <v>#DIV/0!</v>
      </c>
      <c r="AQ12" s="154" t="e">
        <f>AO12/$AO$44</f>
        <v>#DIV/0!</v>
      </c>
      <c r="AR12" s="154" t="e">
        <f>AO12/$AO$45</f>
        <v>#DIV/0!</v>
      </c>
      <c r="AS12" s="30"/>
      <c r="AT12" s="31"/>
      <c r="AU12" s="2" t="s">
        <v>124</v>
      </c>
      <c r="AV12" s="2">
        <v>23500</v>
      </c>
    </row>
    <row r="13" spans="1:60">
      <c r="A13" s="476"/>
      <c r="B13" s="26"/>
      <c r="C13" s="15"/>
      <c r="D13" s="27"/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>(E13*$AV$8)+(F13*$AV$9)+(G13*$AV$10)+(H13*$AV$11)+(I13*$AV$12)+(J13*$AV$13)+(K13*M13)+(L13*N13)</f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>
        <f>D13*E13/1000</f>
        <v>0</v>
      </c>
      <c r="AB13" s="23">
        <f>D13*F13/1000</f>
        <v>0</v>
      </c>
      <c r="AC13" s="23">
        <f>D13*G13/1000</f>
        <v>0</v>
      </c>
      <c r="AD13" s="23">
        <f>D13*H13/1000</f>
        <v>0</v>
      </c>
      <c r="AE13" s="23">
        <f>D13*I13/1000</f>
        <v>0</v>
      </c>
      <c r="AF13" s="23">
        <f>D13*J13/1000</f>
        <v>0</v>
      </c>
      <c r="AG13" s="23">
        <f>D13*F13*$AV$9/1000</f>
        <v>0</v>
      </c>
      <c r="AH13" s="23">
        <f>D13*G13*$AV$10/1000</f>
        <v>0</v>
      </c>
      <c r="AI13" s="23">
        <f>D13*H13*$AV$11/1000</f>
        <v>0</v>
      </c>
      <c r="AJ13" s="23">
        <f>D13*I13*$AV$12/1000</f>
        <v>0</v>
      </c>
      <c r="AK13" s="23">
        <f>D13*J13*$AV$13/1000</f>
        <v>0</v>
      </c>
      <c r="AL13" s="23">
        <f>D13*K13*M13/1000</f>
        <v>0</v>
      </c>
      <c r="AM13" s="23">
        <f>D13*L13*N13/1000</f>
        <v>0</v>
      </c>
      <c r="AN13" s="24"/>
      <c r="AO13" s="23">
        <f>D13*Q13/1000</f>
        <v>0</v>
      </c>
      <c r="AP13" s="154" t="e">
        <f>AO13/$AO$24</f>
        <v>#DIV/0!</v>
      </c>
      <c r="AQ13" s="154" t="e">
        <f>AO13/$AO$44</f>
        <v>#DIV/0!</v>
      </c>
      <c r="AR13" s="154" t="e">
        <f>AO13/$AO$45</f>
        <v>#DIV/0!</v>
      </c>
      <c r="AS13" s="32"/>
      <c r="AT13" s="31"/>
      <c r="AU13" s="2" t="s">
        <v>125</v>
      </c>
      <c r="AV13" s="2">
        <v>16100</v>
      </c>
    </row>
    <row r="14" spans="1:60">
      <c r="A14" s="476"/>
      <c r="B14" s="14"/>
      <c r="C14" s="15"/>
      <c r="D14" s="33"/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>(E14*$AV$8)+(F14*$AV$9)+(G14*$AV$10)+(H14*$AV$11)+(I14*$AV$12)+(J14*$AV$13)+(K14*M14)+(L14*N14)</f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>
        <f>D14*E14/1000</f>
        <v>0</v>
      </c>
      <c r="AB14" s="23">
        <f>D14*F14/1000</f>
        <v>0</v>
      </c>
      <c r="AC14" s="23">
        <f>D14*G14/1000</f>
        <v>0</v>
      </c>
      <c r="AD14" s="23">
        <f>D14*H14/1000</f>
        <v>0</v>
      </c>
      <c r="AE14" s="23">
        <f>D14*I14/1000</f>
        <v>0</v>
      </c>
      <c r="AF14" s="23">
        <f>D14*J14/1000</f>
        <v>0</v>
      </c>
      <c r="AG14" s="23">
        <f>D14*F14*$AV$9/1000</f>
        <v>0</v>
      </c>
      <c r="AH14" s="23">
        <f>D14*G14*$AV$10/1000</f>
        <v>0</v>
      </c>
      <c r="AI14" s="23">
        <f>D14*H14*$AV$11/1000</f>
        <v>0</v>
      </c>
      <c r="AJ14" s="23">
        <f>D14*I14*$AV$12/1000</f>
        <v>0</v>
      </c>
      <c r="AK14" s="23">
        <f>D14*J14*$AV$13/1000</f>
        <v>0</v>
      </c>
      <c r="AL14" s="23">
        <f>D14*K14*M14/1000</f>
        <v>0</v>
      </c>
      <c r="AM14" s="23">
        <f>D14*L14*N14/1000</f>
        <v>0</v>
      </c>
      <c r="AN14" s="24"/>
      <c r="AO14" s="23">
        <f>D14*Q14/1000</f>
        <v>0</v>
      </c>
      <c r="AP14" s="154" t="e">
        <f>AO14/$AO$24</f>
        <v>#DIV/0!</v>
      </c>
      <c r="AQ14" s="154" t="e">
        <f>AO14/$AO$44</f>
        <v>#DIV/0!</v>
      </c>
      <c r="AR14" s="154" t="e">
        <f>AO14/$AO$45</f>
        <v>#DIV/0!</v>
      </c>
      <c r="AS14" s="30"/>
      <c r="AT14" s="31"/>
    </row>
    <row r="15" spans="1:60">
      <c r="A15" s="476"/>
      <c r="B15" s="26"/>
      <c r="C15" s="15"/>
      <c r="D15" s="33"/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>(E15*$AV$8)+(F15*$AV$9)+(G15*$AV$10)+(H15*$AV$11)+(I15*$AV$12)+(J15*$AV$13)+(K15*M15)+(L15*N15)</f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>
        <f>D15*E15/1000</f>
        <v>0</v>
      </c>
      <c r="AB15" s="23">
        <f>D15*F15/1000</f>
        <v>0</v>
      </c>
      <c r="AC15" s="23">
        <f>D15*G15/1000</f>
        <v>0</v>
      </c>
      <c r="AD15" s="23">
        <f>D15*H15/1000</f>
        <v>0</v>
      </c>
      <c r="AE15" s="23">
        <f>D15*I15/1000</f>
        <v>0</v>
      </c>
      <c r="AF15" s="23">
        <f>D15*J15/1000</f>
        <v>0</v>
      </c>
      <c r="AG15" s="23">
        <f>D15*F15*$AV$9/1000</f>
        <v>0</v>
      </c>
      <c r="AH15" s="23">
        <f>D15*G15*$AV$10/1000</f>
        <v>0</v>
      </c>
      <c r="AI15" s="23">
        <f>D15*H15*$AV$11/1000</f>
        <v>0</v>
      </c>
      <c r="AJ15" s="23">
        <f>D15*I15*$AV$12/1000</f>
        <v>0</v>
      </c>
      <c r="AK15" s="23">
        <f>D15*J15*$AV$13/1000</f>
        <v>0</v>
      </c>
      <c r="AL15" s="23">
        <f>D15*K15*M15/1000</f>
        <v>0</v>
      </c>
      <c r="AM15" s="23">
        <f>D15*L15*N15/1000</f>
        <v>0</v>
      </c>
      <c r="AN15" s="24"/>
      <c r="AO15" s="23">
        <f>D15*Q15/1000</f>
        <v>0</v>
      </c>
      <c r="AP15" s="154" t="e">
        <f>AO15/$AO$24</f>
        <v>#DIV/0!</v>
      </c>
      <c r="AQ15" s="154" t="e">
        <f>AO15/$AO$44</f>
        <v>#DIV/0!</v>
      </c>
      <c r="AR15" s="154" t="e">
        <f>AO15/$AO$45</f>
        <v>#DIV/0!</v>
      </c>
      <c r="AS15" s="30"/>
      <c r="AT15" s="31"/>
    </row>
    <row r="16" spans="1:60">
      <c r="A16" s="476"/>
      <c r="B16" s="26"/>
      <c r="C16" s="15"/>
      <c r="D16" s="33"/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>(E16*$AV$8)+(F16*$AV$9)+(G16*$AV$10)+(H16*$AV$11)+(I16*$AV$12)+(J16*$AV$13)+(K16*M16)+(L16*N16)</f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>
        <f>D16*E16/1000</f>
        <v>0</v>
      </c>
      <c r="AB16" s="23">
        <f>D16*F16/1000</f>
        <v>0</v>
      </c>
      <c r="AC16" s="23">
        <f>D16*G16/1000</f>
        <v>0</v>
      </c>
      <c r="AD16" s="23">
        <f>D16*H16/1000</f>
        <v>0</v>
      </c>
      <c r="AE16" s="23">
        <f>D16*I16/1000</f>
        <v>0</v>
      </c>
      <c r="AF16" s="23">
        <f>D16*J16/1000</f>
        <v>0</v>
      </c>
      <c r="AG16" s="23">
        <f>D16*F16*$AV$9/1000</f>
        <v>0</v>
      </c>
      <c r="AH16" s="23">
        <f>D16*G16*$AV$10/1000</f>
        <v>0</v>
      </c>
      <c r="AI16" s="23">
        <f>D16*H16*$AV$11/1000</f>
        <v>0</v>
      </c>
      <c r="AJ16" s="23">
        <f>D16*I16*$AV$12/1000</f>
        <v>0</v>
      </c>
      <c r="AK16" s="23">
        <f>D16*J16*$AV$13/1000</f>
        <v>0</v>
      </c>
      <c r="AL16" s="23">
        <f>D16*K16*M16/1000</f>
        <v>0</v>
      </c>
      <c r="AM16" s="23">
        <f>D16*L16*N16/1000</f>
        <v>0</v>
      </c>
      <c r="AN16" s="24"/>
      <c r="AO16" s="23">
        <f>D16*Q16/1000</f>
        <v>0</v>
      </c>
      <c r="AP16" s="154" t="e">
        <f>AO16/$AO$24</f>
        <v>#DIV/0!</v>
      </c>
      <c r="AQ16" s="154" t="e">
        <f>AO16/$AO$44</f>
        <v>#DIV/0!</v>
      </c>
      <c r="AR16" s="154" t="e">
        <f>AO16/$AO$45</f>
        <v>#DIV/0!</v>
      </c>
      <c r="AS16" s="30"/>
      <c r="AT16" s="31"/>
    </row>
    <row r="17" spans="1:60">
      <c r="A17" s="476"/>
      <c r="B17" s="14"/>
      <c r="C17" s="15"/>
      <c r="D17" s="33"/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>(E17*$AV$8)+(F17*$AV$9)+(G17*$AV$10)+(H17*$AV$11)+(I17*$AV$12)+(J17*$AV$13)+(K17*M17)+(L17*N17)</f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>
        <f>D17*E17/1000</f>
        <v>0</v>
      </c>
      <c r="AB17" s="23">
        <f>D17*F17/1000</f>
        <v>0</v>
      </c>
      <c r="AC17" s="23">
        <f>D17*G17/1000</f>
        <v>0</v>
      </c>
      <c r="AD17" s="23">
        <f>D17*H17/1000</f>
        <v>0</v>
      </c>
      <c r="AE17" s="23">
        <f>D17*I17/1000</f>
        <v>0</v>
      </c>
      <c r="AF17" s="23">
        <f>D17*J17/1000</f>
        <v>0</v>
      </c>
      <c r="AG17" s="23">
        <f>D17*F17*$AV$9/1000</f>
        <v>0</v>
      </c>
      <c r="AH17" s="23">
        <f>D17*G17*$AV$10/1000</f>
        <v>0</v>
      </c>
      <c r="AI17" s="23">
        <f>D17*H17*$AV$11/1000</f>
        <v>0</v>
      </c>
      <c r="AJ17" s="23">
        <f>D17*I17*$AV$12/1000</f>
        <v>0</v>
      </c>
      <c r="AK17" s="23">
        <f>D17*J17*$AV$13/1000</f>
        <v>0</v>
      </c>
      <c r="AL17" s="23">
        <f>D17*K17*M17/1000</f>
        <v>0</v>
      </c>
      <c r="AM17" s="23">
        <f>D17*L17*N17/1000</f>
        <v>0</v>
      </c>
      <c r="AN17" s="24"/>
      <c r="AO17" s="23">
        <f>D17*Q17/1000</f>
        <v>0</v>
      </c>
      <c r="AP17" s="154" t="e">
        <f>AO17/$AO$24</f>
        <v>#DIV/0!</v>
      </c>
      <c r="AQ17" s="154" t="e">
        <f>AO17/$AO$44</f>
        <v>#DIV/0!</v>
      </c>
      <c r="AR17" s="154" t="e">
        <f>AO17/$AO$45</f>
        <v>#DIV/0!</v>
      </c>
      <c r="AS17" s="30"/>
      <c r="AT17" s="31"/>
    </row>
    <row r="18" spans="1:60">
      <c r="A18" s="476"/>
      <c r="B18" s="26"/>
      <c r="C18" s="15"/>
      <c r="D18" s="33"/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>(E18*$AV$8)+(F18*$AV$9)+(G18*$AV$10)+(H18*$AV$11)+(I18*$AV$12)+(J18*$AV$13)+(K18*M18)+(L18*N18)</f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>
        <f>D18*E18/1000</f>
        <v>0</v>
      </c>
      <c r="AB18" s="23">
        <f>D18*F18/1000</f>
        <v>0</v>
      </c>
      <c r="AC18" s="23">
        <f>D18*G18/1000</f>
        <v>0</v>
      </c>
      <c r="AD18" s="23">
        <f>D18*H18/1000</f>
        <v>0</v>
      </c>
      <c r="AE18" s="23">
        <f>D18*I18/1000</f>
        <v>0</v>
      </c>
      <c r="AF18" s="23">
        <f>D18*J18/1000</f>
        <v>0</v>
      </c>
      <c r="AG18" s="23">
        <f>D18*F18*$AV$9/1000</f>
        <v>0</v>
      </c>
      <c r="AH18" s="23">
        <f>D18*G18*$AV$10/1000</f>
        <v>0</v>
      </c>
      <c r="AI18" s="23">
        <f>D18*H18*$AV$11/1000</f>
        <v>0</v>
      </c>
      <c r="AJ18" s="23">
        <f>D18*I18*$AV$12/1000</f>
        <v>0</v>
      </c>
      <c r="AK18" s="23">
        <f>D18*J18*$AV$13/1000</f>
        <v>0</v>
      </c>
      <c r="AL18" s="23">
        <f>D18*K18*M18/1000</f>
        <v>0</v>
      </c>
      <c r="AM18" s="23">
        <f>D18*L18*N18/1000</f>
        <v>0</v>
      </c>
      <c r="AN18" s="24"/>
      <c r="AO18" s="23">
        <f>D18*Q18/1000</f>
        <v>0</v>
      </c>
      <c r="AP18" s="154" t="e">
        <f>AO18/$AO$24</f>
        <v>#DIV/0!</v>
      </c>
      <c r="AQ18" s="154" t="e">
        <f>AO18/$AO$44</f>
        <v>#DIV/0!</v>
      </c>
      <c r="AR18" s="154" t="e">
        <f>AO18/$AO$45</f>
        <v>#DIV/0!</v>
      </c>
      <c r="AS18" s="30"/>
      <c r="AT18" s="31"/>
    </row>
    <row r="19" spans="1:60">
      <c r="A19" s="476"/>
      <c r="B19" s="14"/>
      <c r="C19" s="15"/>
      <c r="D19" s="33"/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>(E19*$AV$8)+(F19*$AV$9)+(G19*$AV$10)+(H19*$AV$11)+(I19*$AV$12)+(J19*$AV$13)+(K19*M19)+(L19*N19)</f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>
        <f>D19*E19/1000</f>
        <v>0</v>
      </c>
      <c r="AB19" s="23">
        <f>D19*F19/1000</f>
        <v>0</v>
      </c>
      <c r="AC19" s="23">
        <f>D19*G19/1000</f>
        <v>0</v>
      </c>
      <c r="AD19" s="23">
        <f>D19*H19/1000</f>
        <v>0</v>
      </c>
      <c r="AE19" s="23">
        <f>D19*I19/1000</f>
        <v>0</v>
      </c>
      <c r="AF19" s="23">
        <f>D19*J19/1000</f>
        <v>0</v>
      </c>
      <c r="AG19" s="23">
        <f>D19*F19*$AV$9/1000</f>
        <v>0</v>
      </c>
      <c r="AH19" s="23">
        <f>D19*G19*$AV$10/1000</f>
        <v>0</v>
      </c>
      <c r="AI19" s="23">
        <f>D19*H19*$AV$11/1000</f>
        <v>0</v>
      </c>
      <c r="AJ19" s="23">
        <f>D19*I19*$AV$12/1000</f>
        <v>0</v>
      </c>
      <c r="AK19" s="23">
        <f>D19*J19*$AV$13/1000</f>
        <v>0</v>
      </c>
      <c r="AL19" s="23">
        <f>D19*K19*M19/1000</f>
        <v>0</v>
      </c>
      <c r="AM19" s="23">
        <f>D19*L19*N19/1000</f>
        <v>0</v>
      </c>
      <c r="AN19" s="24"/>
      <c r="AO19" s="23">
        <f>D19*Q19/1000</f>
        <v>0</v>
      </c>
      <c r="AP19" s="154" t="e">
        <f>AO19/$AO$24</f>
        <v>#DIV/0!</v>
      </c>
      <c r="AQ19" s="154" t="e">
        <f>AO19/$AO$44</f>
        <v>#DIV/0!</v>
      </c>
      <c r="AR19" s="154" t="e">
        <f>AO19/$AO$45</f>
        <v>#DIV/0!</v>
      </c>
      <c r="AS19" s="30"/>
      <c r="AT19" s="31"/>
    </row>
    <row r="20" spans="1:60">
      <c r="A20" s="476"/>
      <c r="B20" s="26"/>
      <c r="C20" s="15"/>
      <c r="D20" s="27"/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>(E20*$AV$8)+(F20*$AV$9)+(G20*$AV$10)+(H20*$AV$11)+(I20*$AV$12)+(J20*$AV$13)+(K20*M20)+(L20*N20)</f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>
        <f>D20*E20/1000</f>
        <v>0</v>
      </c>
      <c r="AB20" s="23">
        <f>D20*F20/1000</f>
        <v>0</v>
      </c>
      <c r="AC20" s="23">
        <f>D20*G20/1000</f>
        <v>0</v>
      </c>
      <c r="AD20" s="23">
        <f>D20*H20/1000</f>
        <v>0</v>
      </c>
      <c r="AE20" s="23">
        <f>D20*I20/1000</f>
        <v>0</v>
      </c>
      <c r="AF20" s="23">
        <f>D20*J20/1000</f>
        <v>0</v>
      </c>
      <c r="AG20" s="23">
        <f>D20*F20*$AV$9/1000</f>
        <v>0</v>
      </c>
      <c r="AH20" s="23">
        <f>D20*G20*$AV$10/1000</f>
        <v>0</v>
      </c>
      <c r="AI20" s="23">
        <f>D20*H20*$AV$11/1000</f>
        <v>0</v>
      </c>
      <c r="AJ20" s="23">
        <f>D20*I20*$AV$12/1000</f>
        <v>0</v>
      </c>
      <c r="AK20" s="23">
        <f>D20*J20*$AV$13/1000</f>
        <v>0</v>
      </c>
      <c r="AL20" s="23">
        <f>D20*K20*M20/1000</f>
        <v>0</v>
      </c>
      <c r="AM20" s="23">
        <f>D20*L20*N20/1000</f>
        <v>0</v>
      </c>
      <c r="AN20" s="24"/>
      <c r="AO20" s="23">
        <f>D20*Q20/1000</f>
        <v>0</v>
      </c>
      <c r="AP20" s="154" t="e">
        <f>AO20/$AO$24</f>
        <v>#DIV/0!</v>
      </c>
      <c r="AQ20" s="154" t="e">
        <f>AO20/$AO$44</f>
        <v>#DIV/0!</v>
      </c>
      <c r="AR20" s="154" t="e">
        <f>AO20/$AO$45</f>
        <v>#DIV/0!</v>
      </c>
      <c r="AS20" s="30"/>
      <c r="AT20" s="31"/>
    </row>
    <row r="21" spans="1:60">
      <c r="A21" s="476"/>
      <c r="B21" s="26"/>
      <c r="C21" s="15"/>
      <c r="D21" s="27"/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>(E21*$AV$8)+(F21*$AV$9)+(G21*$AV$10)+(H21*$AV$11)+(I21*$AV$12)+(J21*$AV$13)+(K21*M21)+(L21*N21)</f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>
        <f>D21*E21/1000</f>
        <v>0</v>
      </c>
      <c r="AB21" s="23">
        <f>D21*F21/1000</f>
        <v>0</v>
      </c>
      <c r="AC21" s="23">
        <f>D21*G21/1000</f>
        <v>0</v>
      </c>
      <c r="AD21" s="23">
        <f>D21*H21/1000</f>
        <v>0</v>
      </c>
      <c r="AE21" s="23">
        <f>D21*I21/1000</f>
        <v>0</v>
      </c>
      <c r="AF21" s="23">
        <f>D21*J21/1000</f>
        <v>0</v>
      </c>
      <c r="AG21" s="23">
        <f>D21*F21*$AV$9/1000</f>
        <v>0</v>
      </c>
      <c r="AH21" s="23">
        <f>D21*G21*$AV$10/1000</f>
        <v>0</v>
      </c>
      <c r="AI21" s="23">
        <f>D21*H21*$AV$11/1000</f>
        <v>0</v>
      </c>
      <c r="AJ21" s="23">
        <f>D21*I21*$AV$12/1000</f>
        <v>0</v>
      </c>
      <c r="AK21" s="23">
        <f>D21*J21*$AV$13/1000</f>
        <v>0</v>
      </c>
      <c r="AL21" s="23">
        <f>D21*K21*M21/1000</f>
        <v>0</v>
      </c>
      <c r="AM21" s="23">
        <f>D21*L21*N21/1000</f>
        <v>0</v>
      </c>
      <c r="AN21" s="24"/>
      <c r="AO21" s="23">
        <f>D21*Q21/1000</f>
        <v>0</v>
      </c>
      <c r="AP21" s="154" t="e">
        <f>AO21/$AO$24</f>
        <v>#DIV/0!</v>
      </c>
      <c r="AQ21" s="154" t="e">
        <f>AO21/$AO$44</f>
        <v>#DIV/0!</v>
      </c>
      <c r="AR21" s="154" t="e">
        <f>AO21/$AO$45</f>
        <v>#DIV/0!</v>
      </c>
      <c r="AS21" s="30"/>
      <c r="AT21" s="31"/>
    </row>
    <row r="22" spans="1:60">
      <c r="A22" s="476"/>
      <c r="B22" s="26"/>
      <c r="C22" s="15"/>
      <c r="D22" s="27"/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>(E22*$AV$8)+(F22*$AV$9)+(G22*$AV$10)+(H22*$AV$11)+(I22*$AV$12)+(J22*$AV$13)+(K22*M22)+(L22*N22)</f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>
        <f>D22*E22/1000</f>
        <v>0</v>
      </c>
      <c r="AB22" s="23">
        <f>D22*F22/1000</f>
        <v>0</v>
      </c>
      <c r="AC22" s="23">
        <f>D22*G22/1000</f>
        <v>0</v>
      </c>
      <c r="AD22" s="23">
        <f>D22*H22/1000</f>
        <v>0</v>
      </c>
      <c r="AE22" s="23">
        <f>D22*I22/1000</f>
        <v>0</v>
      </c>
      <c r="AF22" s="23">
        <f>D22*J22/1000</f>
        <v>0</v>
      </c>
      <c r="AG22" s="23">
        <f>D22*F22*$AV$9/1000</f>
        <v>0</v>
      </c>
      <c r="AH22" s="23">
        <f>D22*G22*$AV$10/1000</f>
        <v>0</v>
      </c>
      <c r="AI22" s="23">
        <f>D22*H22*$AV$11/1000</f>
        <v>0</v>
      </c>
      <c r="AJ22" s="23">
        <f>D22*I22*$AV$12/1000</f>
        <v>0</v>
      </c>
      <c r="AK22" s="23">
        <f>D22*J22*$AV$13/1000</f>
        <v>0</v>
      </c>
      <c r="AL22" s="23">
        <f>D22*K22*M22/1000</f>
        <v>0</v>
      </c>
      <c r="AM22" s="23">
        <f>D22*L22*N22/1000</f>
        <v>0</v>
      </c>
      <c r="AN22" s="24"/>
      <c r="AO22" s="23">
        <f>D22*Q22/1000</f>
        <v>0</v>
      </c>
      <c r="AP22" s="154" t="e">
        <f>AO22/$AO$24</f>
        <v>#DIV/0!</v>
      </c>
      <c r="AQ22" s="154" t="e">
        <f>AO22/$AO$44</f>
        <v>#DIV/0!</v>
      </c>
      <c r="AR22" s="154" t="e">
        <f>AO22/$AO$45</f>
        <v>#DIV/0!</v>
      </c>
      <c r="AS22" s="35"/>
      <c r="AT22" s="31"/>
    </row>
    <row r="23" spans="1:60">
      <c r="A23" s="476"/>
      <c r="B23" s="26"/>
      <c r="C23" s="15"/>
      <c r="D23" s="36"/>
      <c r="E23" s="37"/>
      <c r="F23" s="37"/>
      <c r="G23" s="37"/>
      <c r="H23" s="37"/>
      <c r="I23" s="37"/>
      <c r="J23" s="37"/>
      <c r="K23" s="37"/>
      <c r="L23" s="37"/>
      <c r="M23" s="18"/>
      <c r="N23" s="38"/>
      <c r="O23" s="29"/>
      <c r="P23" s="21"/>
      <c r="Q23" s="22">
        <f>(E23*$AV$8)+(F23*$AV$9)+(G23*$AV$10)+(H23*$AV$11)+(I23*$AV$12)+(J23*$AV$13)+(K23*M23)+(L23*N23)</f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>
        <f>D23*E23/1000</f>
        <v>0</v>
      </c>
      <c r="AB23" s="23">
        <f>D23*F23/1000</f>
        <v>0</v>
      </c>
      <c r="AC23" s="23">
        <f>D23*G23/1000</f>
        <v>0</v>
      </c>
      <c r="AD23" s="23">
        <f>D23*H23/1000</f>
        <v>0</v>
      </c>
      <c r="AE23" s="23">
        <f>D23*I23/1000</f>
        <v>0</v>
      </c>
      <c r="AF23" s="23">
        <f>D23*J23/1000</f>
        <v>0</v>
      </c>
      <c r="AG23" s="23">
        <f>D23*F23*$AV$9/1000</f>
        <v>0</v>
      </c>
      <c r="AH23" s="23">
        <f>D23*G23*$AV$10/1000</f>
        <v>0</v>
      </c>
      <c r="AI23" s="23">
        <f>D23*H23*$AV$11/1000</f>
        <v>0</v>
      </c>
      <c r="AJ23" s="23">
        <f>D23*I23*$AV$12/1000</f>
        <v>0</v>
      </c>
      <c r="AK23" s="23">
        <f>D23*J23*$AV$13/1000</f>
        <v>0</v>
      </c>
      <c r="AL23" s="23">
        <f>D23*K23*M23/1000</f>
        <v>0</v>
      </c>
      <c r="AM23" s="23">
        <f>D23*L23*N23/1000</f>
        <v>0</v>
      </c>
      <c r="AN23" s="24"/>
      <c r="AO23" s="23">
        <f>D23*Q23/1000</f>
        <v>0</v>
      </c>
      <c r="AP23" s="154" t="e">
        <f>AO23/$AO$24</f>
        <v>#DIV/0!</v>
      </c>
      <c r="AQ23" s="154" t="e">
        <f>AO23/$AO$44</f>
        <v>#DIV/0!</v>
      </c>
      <c r="AR23" s="154" t="e">
        <f>AO23/$AO$45</f>
        <v>#DIV/0!</v>
      </c>
      <c r="AS23" s="25"/>
      <c r="AT23" s="31"/>
    </row>
    <row r="24" spans="1:60">
      <c r="A24" s="477"/>
      <c r="B24" s="212"/>
      <c r="C24" s="40"/>
      <c r="D24" s="41"/>
      <c r="E24" s="499"/>
      <c r="F24" s="500"/>
      <c r="G24" s="500"/>
      <c r="H24" s="500"/>
      <c r="I24" s="500"/>
      <c r="J24" s="500"/>
      <c r="K24" s="500"/>
      <c r="L24" s="500"/>
      <c r="M24" s="500"/>
      <c r="N24" s="500"/>
      <c r="O24" s="500"/>
      <c r="P24" s="500"/>
      <c r="Q24" s="501"/>
      <c r="R24" s="215"/>
      <c r="S24" s="215"/>
      <c r="T24" s="215"/>
      <c r="U24" s="215"/>
      <c r="V24" s="215"/>
      <c r="W24" s="215"/>
      <c r="X24" s="215"/>
      <c r="Y24" s="215"/>
      <c r="Z24" s="215"/>
      <c r="AA24" s="42">
        <f>SUM(AA10:AA23)</f>
        <v>0</v>
      </c>
      <c r="AB24" s="42">
        <f>SUM(AB10:AB23)</f>
        <v>0</v>
      </c>
      <c r="AC24" s="42">
        <f>SUM(AC10:AC23)</f>
        <v>0</v>
      </c>
      <c r="AD24" s="42">
        <f>SUM(AD10:AD23)</f>
        <v>0</v>
      </c>
      <c r="AE24" s="42">
        <f>SUM(AE10:AE23)</f>
        <v>0</v>
      </c>
      <c r="AF24" s="42">
        <f>SUM(AF10:AF23)</f>
        <v>0</v>
      </c>
      <c r="AG24" s="42">
        <f>SUM(AG10:AG23)</f>
        <v>0</v>
      </c>
      <c r="AH24" s="42">
        <f>SUM(AH10:AH23)</f>
        <v>0</v>
      </c>
      <c r="AI24" s="42">
        <f>SUM(AI10:AI23)</f>
        <v>0</v>
      </c>
      <c r="AJ24" s="42">
        <f>SUM(AJ10:AJ23)</f>
        <v>0</v>
      </c>
      <c r="AK24" s="42">
        <f>SUM(AK10:AK23)</f>
        <v>0</v>
      </c>
      <c r="AL24" s="42">
        <f>SUM(AL10:AL23)</f>
        <v>0</v>
      </c>
      <c r="AM24" s="42">
        <f>SUM(AM10:AM23)</f>
        <v>0</v>
      </c>
      <c r="AN24" s="42">
        <f>SUM(AN10:AN23)</f>
        <v>0</v>
      </c>
      <c r="AO24" s="42">
        <f>SUM(AO10:AO23)</f>
        <v>0</v>
      </c>
      <c r="AP24" s="155" t="e">
        <f>SUM(AP10:AP23)</f>
        <v>#DIV/0!</v>
      </c>
      <c r="AQ24" s="155"/>
      <c r="AR24" s="155"/>
      <c r="AS24" s="43"/>
    </row>
    <row r="25" spans="1:60">
      <c r="A25" s="484" t="s">
        <v>127</v>
      </c>
      <c r="B25" s="44"/>
      <c r="C25" s="45"/>
      <c r="D25" s="46"/>
      <c r="E25" s="17"/>
      <c r="F25" s="47"/>
      <c r="G25" s="48"/>
      <c r="H25" s="48"/>
      <c r="I25" s="48"/>
      <c r="J25" s="48"/>
      <c r="K25" s="48"/>
      <c r="L25" s="48"/>
      <c r="M25" s="48"/>
      <c r="N25" s="49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50"/>
      <c r="AC25" s="51"/>
      <c r="AD25" s="51"/>
      <c r="AE25" s="51"/>
      <c r="AF25" s="51"/>
      <c r="AG25" s="50"/>
      <c r="AH25" s="51"/>
      <c r="AI25" s="51"/>
      <c r="AJ25" s="51"/>
      <c r="AK25" s="51"/>
      <c r="AL25" s="51"/>
      <c r="AM25" s="51"/>
      <c r="AN25" s="23">
        <f>D25*O25*P25/1000</f>
        <v>0</v>
      </c>
      <c r="AO25" s="23">
        <f>D25*Q25/1000</f>
        <v>0</v>
      </c>
      <c r="AP25" s="154" t="e">
        <f>AO25/$AO$30</f>
        <v>#DIV/0!</v>
      </c>
      <c r="AQ25" s="154"/>
      <c r="AR25" s="154"/>
      <c r="AS25" s="30"/>
    </row>
    <row r="26" spans="1:60">
      <c r="A26" s="485"/>
      <c r="B26" s="52"/>
      <c r="C26" s="53"/>
      <c r="D26" s="54"/>
      <c r="E26" s="19"/>
      <c r="F26" s="34"/>
      <c r="G26" s="252"/>
      <c r="H26" s="21"/>
      <c r="I26" s="21"/>
      <c r="J26" s="21"/>
      <c r="K26" s="21"/>
      <c r="L26" s="21"/>
      <c r="M26" s="21"/>
      <c r="N26" s="55"/>
      <c r="O26" s="28"/>
      <c r="P26" s="28"/>
      <c r="Q26" s="22">
        <f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>D26*E26*$AV$8/1000</f>
        <v>0</v>
      </c>
      <c r="AB26" s="56"/>
      <c r="AC26" s="253"/>
      <c r="AD26" s="57"/>
      <c r="AE26" s="57"/>
      <c r="AF26" s="57"/>
      <c r="AG26" s="56"/>
      <c r="AH26" s="253"/>
      <c r="AI26" s="57"/>
      <c r="AJ26" s="57"/>
      <c r="AK26" s="57"/>
      <c r="AL26" s="57"/>
      <c r="AM26" s="57"/>
      <c r="AN26" s="23">
        <f>D26*O26*P26/1000</f>
        <v>0</v>
      </c>
      <c r="AO26" s="23">
        <f>D26*Q26/1000</f>
        <v>0</v>
      </c>
      <c r="AP26" s="154" t="e">
        <f>AO26/$AO$30</f>
        <v>#DIV/0!</v>
      </c>
      <c r="AQ26" s="156"/>
      <c r="AR26" s="156"/>
      <c r="AS26" s="58"/>
    </row>
    <row r="27" spans="1:60">
      <c r="A27" s="485"/>
      <c r="B27" s="52"/>
      <c r="C27" s="53"/>
      <c r="D27" s="54"/>
      <c r="E27" s="19"/>
      <c r="F27" s="34"/>
      <c r="G27" s="252"/>
      <c r="H27" s="21"/>
      <c r="I27" s="21"/>
      <c r="J27" s="21"/>
      <c r="K27" s="21"/>
      <c r="L27" s="21"/>
      <c r="M27" s="21"/>
      <c r="N27" s="55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>D27*E27*$AV$8/1000</f>
        <v>0</v>
      </c>
      <c r="AB27" s="56"/>
      <c r="AC27" s="253"/>
      <c r="AD27" s="57"/>
      <c r="AE27" s="57"/>
      <c r="AF27" s="57"/>
      <c r="AG27" s="56"/>
      <c r="AH27" s="253"/>
      <c r="AI27" s="57"/>
      <c r="AJ27" s="57"/>
      <c r="AK27" s="57"/>
      <c r="AL27" s="57"/>
      <c r="AM27" s="57"/>
      <c r="AN27" s="23">
        <f>D27*O27*P27/1000</f>
        <v>0</v>
      </c>
      <c r="AO27" s="23">
        <f>D27*Q27/1000</f>
        <v>0</v>
      </c>
      <c r="AP27" s="154" t="e">
        <f>AO27/$AO$30</f>
        <v>#DIV/0!</v>
      </c>
      <c r="AQ27" s="156"/>
      <c r="AR27" s="156"/>
      <c r="AS27" s="58"/>
    </row>
    <row r="28" spans="1:60">
      <c r="A28" s="485"/>
      <c r="B28" s="52"/>
      <c r="C28" s="59"/>
      <c r="D28" s="54"/>
      <c r="E28" s="60"/>
      <c r="F28" s="34"/>
      <c r="G28" s="252"/>
      <c r="H28" s="21"/>
      <c r="I28" s="21"/>
      <c r="J28" s="21"/>
      <c r="K28" s="21"/>
      <c r="L28" s="21"/>
      <c r="M28" s="61"/>
      <c r="N28" s="55"/>
      <c r="O28" s="28"/>
      <c r="P28" s="54"/>
      <c r="Q28" s="22">
        <f>(E28*$AV$8)+(O28*P28)</f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>D28*E28*$AV$8/1000</f>
        <v>0</v>
      </c>
      <c r="AB28" s="56"/>
      <c r="AC28" s="253"/>
      <c r="AD28" s="57"/>
      <c r="AE28" s="57"/>
      <c r="AF28" s="57"/>
      <c r="AG28" s="56"/>
      <c r="AH28" s="253"/>
      <c r="AI28" s="57"/>
      <c r="AJ28" s="57"/>
      <c r="AK28" s="57"/>
      <c r="AL28" s="57"/>
      <c r="AM28" s="57"/>
      <c r="AN28" s="23">
        <f>D28*O28*P28/1000</f>
        <v>0</v>
      </c>
      <c r="AO28" s="23">
        <f>D28*Q28/1000</f>
        <v>0</v>
      </c>
      <c r="AP28" s="154" t="e">
        <f>AO28/$AO$30</f>
        <v>#DIV/0!</v>
      </c>
      <c r="AQ28" s="156"/>
      <c r="AR28" s="156"/>
      <c r="AS28" s="62"/>
      <c r="AT28" s="63"/>
    </row>
    <row r="29" spans="1:60">
      <c r="A29" s="485"/>
      <c r="B29" s="52"/>
      <c r="C29" s="59"/>
      <c r="D29" s="54"/>
      <c r="E29" s="60"/>
      <c r="F29" s="64"/>
      <c r="G29" s="65"/>
      <c r="H29" s="65"/>
      <c r="I29" s="65"/>
      <c r="J29" s="65"/>
      <c r="K29" s="65"/>
      <c r="L29" s="65"/>
      <c r="M29" s="66"/>
      <c r="N29" s="67"/>
      <c r="O29" s="37"/>
      <c r="P29" s="68"/>
      <c r="Q29" s="22">
        <f>(E29*$AV$8)+(O29*P29)</f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>D29*E29*$AV$8/1000</f>
        <v>0</v>
      </c>
      <c r="AB29" s="69"/>
      <c r="AC29" s="70"/>
      <c r="AD29" s="70"/>
      <c r="AE29" s="70"/>
      <c r="AF29" s="70"/>
      <c r="AG29" s="69"/>
      <c r="AH29" s="70"/>
      <c r="AI29" s="70"/>
      <c r="AJ29" s="70"/>
      <c r="AK29" s="70"/>
      <c r="AL29" s="70"/>
      <c r="AM29" s="70"/>
      <c r="AN29" s="23">
        <f>D29*O29*P29/1000</f>
        <v>0</v>
      </c>
      <c r="AO29" s="23">
        <f>D29*Q29/1000</f>
        <v>0</v>
      </c>
      <c r="AP29" s="154" t="e">
        <f>AO29/$AO$30</f>
        <v>#DIV/0!</v>
      </c>
      <c r="AQ29" s="156"/>
      <c r="AR29" s="156"/>
      <c r="AS29" s="62"/>
      <c r="AT29" s="63"/>
    </row>
    <row r="30" spans="1:60">
      <c r="A30" s="486"/>
      <c r="B30" s="487"/>
      <c r="C30" s="488"/>
      <c r="D30" s="488"/>
      <c r="E30" s="488"/>
      <c r="F30" s="488"/>
      <c r="G30" s="488"/>
      <c r="H30" s="488"/>
      <c r="I30" s="488"/>
      <c r="J30" s="488"/>
      <c r="K30" s="488"/>
      <c r="L30" s="488"/>
      <c r="M30" s="488"/>
      <c r="N30" s="488"/>
      <c r="O30" s="488"/>
      <c r="P30" s="488"/>
      <c r="Q30" s="489"/>
      <c r="R30" s="214"/>
      <c r="S30" s="214"/>
      <c r="T30" s="214"/>
      <c r="U30" s="214"/>
      <c r="V30" s="214"/>
      <c r="W30" s="214"/>
      <c r="X30" s="214"/>
      <c r="Y30" s="214"/>
      <c r="Z30" s="214"/>
      <c r="AA30" s="71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1">
        <f>SUM(AO25:AO29)</f>
        <v>0</v>
      </c>
      <c r="AP30" s="157" t="e">
        <f>SUM(AP25:AP29)</f>
        <v>#DIV/0!</v>
      </c>
      <c r="AQ30" s="157"/>
      <c r="AR30" s="157"/>
      <c r="AS30" s="73"/>
      <c r="AT30" s="63"/>
    </row>
    <row r="31" spans="1:60">
      <c r="A31" s="475" t="s">
        <v>128</v>
      </c>
      <c r="B31" s="74"/>
      <c r="C31" s="15"/>
      <c r="D31" s="75"/>
      <c r="E31" s="490"/>
      <c r="F31" s="491"/>
      <c r="G31" s="491"/>
      <c r="H31" s="491"/>
      <c r="I31" s="491"/>
      <c r="J31" s="491"/>
      <c r="K31" s="491"/>
      <c r="L31" s="491"/>
      <c r="M31" s="491"/>
      <c r="N31" s="491"/>
      <c r="O31" s="491"/>
      <c r="P31" s="492"/>
      <c r="Q31" s="76"/>
      <c r="R31" s="28"/>
      <c r="S31" s="28"/>
      <c r="T31" s="28"/>
      <c r="U31" s="28"/>
      <c r="V31" s="28"/>
      <c r="W31" s="28"/>
      <c r="X31" s="28"/>
      <c r="Y31" s="28"/>
      <c r="Z31" s="28"/>
      <c r="AA31" s="466"/>
      <c r="AB31" s="466"/>
      <c r="AC31" s="466"/>
      <c r="AD31" s="466"/>
      <c r="AE31" s="466"/>
      <c r="AF31" s="466"/>
      <c r="AG31" s="466"/>
      <c r="AH31" s="466"/>
      <c r="AI31" s="466"/>
      <c r="AJ31" s="466"/>
      <c r="AK31" s="466"/>
      <c r="AL31" s="466"/>
      <c r="AM31" s="466"/>
      <c r="AN31" s="467"/>
      <c r="AO31" s="23">
        <f>D31*Q31/1000</f>
        <v>0</v>
      </c>
      <c r="AP31" s="154" t="e">
        <f>AO31/$AO$35</f>
        <v>#DIV/0!</v>
      </c>
      <c r="AQ31" s="154" t="e">
        <f>AO31/$AO$44</f>
        <v>#DIV/0!</v>
      </c>
      <c r="AR31" s="154" t="e">
        <f>AO31/$AO$45</f>
        <v>#DIV/0!</v>
      </c>
      <c r="AS31" s="25"/>
      <c r="AU31" s="77"/>
    </row>
    <row r="32" spans="1:60">
      <c r="A32" s="476"/>
      <c r="B32" s="74"/>
      <c r="C32" s="15"/>
      <c r="D32" s="27"/>
      <c r="E32" s="493"/>
      <c r="F32" s="494"/>
      <c r="G32" s="494"/>
      <c r="H32" s="494"/>
      <c r="I32" s="494"/>
      <c r="J32" s="494"/>
      <c r="K32" s="494"/>
      <c r="L32" s="494"/>
      <c r="M32" s="494"/>
      <c r="N32" s="494"/>
      <c r="O32" s="494"/>
      <c r="P32" s="495"/>
      <c r="Q32" s="78"/>
      <c r="R32" s="28"/>
      <c r="S32" s="28"/>
      <c r="T32" s="28"/>
      <c r="U32" s="28"/>
      <c r="V32" s="28"/>
      <c r="W32" s="28"/>
      <c r="X32" s="28"/>
      <c r="Y32" s="28"/>
      <c r="Z32" s="2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9"/>
      <c r="AO32" s="23">
        <f>D32*Q32/1000</f>
        <v>0</v>
      </c>
      <c r="AP32" s="154" t="e">
        <f>AO32/$AO$35</f>
        <v>#DIV/0!</v>
      </c>
      <c r="AQ32" s="154" t="e">
        <f>AO32/$AO$44</f>
        <v>#DIV/0!</v>
      </c>
      <c r="AR32" s="154" t="e">
        <f>AO32/$AO$45</f>
        <v>#DIV/0!</v>
      </c>
      <c r="AS32" s="30"/>
      <c r="AT32" s="31"/>
      <c r="AU32" s="79"/>
    </row>
    <row r="33" spans="1:60">
      <c r="A33" s="476"/>
      <c r="B33" s="74"/>
      <c r="C33" s="15"/>
      <c r="D33" s="27"/>
      <c r="E33" s="493"/>
      <c r="F33" s="494"/>
      <c r="G33" s="494"/>
      <c r="H33" s="494"/>
      <c r="I33" s="494"/>
      <c r="J33" s="494"/>
      <c r="K33" s="494"/>
      <c r="L33" s="494"/>
      <c r="M33" s="494"/>
      <c r="N33" s="494"/>
      <c r="O33" s="494"/>
      <c r="P33" s="495"/>
      <c r="Q33" s="78"/>
      <c r="R33" s="28"/>
      <c r="S33" s="28"/>
      <c r="T33" s="28"/>
      <c r="U33" s="28"/>
      <c r="V33" s="28"/>
      <c r="W33" s="28"/>
      <c r="X33" s="28"/>
      <c r="Y33" s="28"/>
      <c r="Z33" s="2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9"/>
      <c r="AO33" s="23">
        <f>D33*Q33/1000</f>
        <v>0</v>
      </c>
      <c r="AP33" s="154" t="e">
        <f>AO33/$AO$35</f>
        <v>#DIV/0!</v>
      </c>
      <c r="AQ33" s="154" t="e">
        <f>AO33/$AO$44</f>
        <v>#DIV/0!</v>
      </c>
      <c r="AR33" s="154" t="e">
        <f>AO33/$AO$45</f>
        <v>#DIV/0!</v>
      </c>
      <c r="AS33" s="25"/>
    </row>
    <row r="34" spans="1:60">
      <c r="A34" s="476"/>
      <c r="B34" s="74"/>
      <c r="C34" s="15"/>
      <c r="D34" s="80"/>
      <c r="E34" s="496"/>
      <c r="F34" s="497"/>
      <c r="G34" s="497"/>
      <c r="H34" s="497"/>
      <c r="I34" s="497"/>
      <c r="J34" s="497"/>
      <c r="K34" s="497"/>
      <c r="L34" s="497"/>
      <c r="M34" s="497"/>
      <c r="N34" s="497"/>
      <c r="O34" s="497"/>
      <c r="P34" s="498"/>
      <c r="Q34" s="81"/>
      <c r="R34" s="28"/>
      <c r="S34" s="28"/>
      <c r="T34" s="28"/>
      <c r="U34" s="28"/>
      <c r="V34" s="28"/>
      <c r="W34" s="28"/>
      <c r="X34" s="28"/>
      <c r="Y34" s="28"/>
      <c r="Z34" s="28"/>
      <c r="AA34" s="470"/>
      <c r="AB34" s="470"/>
      <c r="AC34" s="470"/>
      <c r="AD34" s="470"/>
      <c r="AE34" s="470"/>
      <c r="AF34" s="470"/>
      <c r="AG34" s="470"/>
      <c r="AH34" s="470"/>
      <c r="AI34" s="470"/>
      <c r="AJ34" s="470"/>
      <c r="AK34" s="470"/>
      <c r="AL34" s="470"/>
      <c r="AM34" s="470"/>
      <c r="AN34" s="471"/>
      <c r="AO34" s="23"/>
      <c r="AP34" s="154" t="e">
        <f>AO34/$AO$35</f>
        <v>#DIV/0!</v>
      </c>
      <c r="AQ34" s="154" t="e">
        <f>AO34/$AO$44</f>
        <v>#DIV/0!</v>
      </c>
      <c r="AR34" s="154" t="e">
        <f>AO34/$AO$45</f>
        <v>#DIV/0!</v>
      </c>
      <c r="AS34" s="25"/>
      <c r="AU34" s="82"/>
    </row>
    <row r="35" spans="1:60">
      <c r="A35" s="477"/>
      <c r="B35" s="47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4"/>
      <c r="R35" s="213"/>
      <c r="S35" s="213"/>
      <c r="T35" s="213"/>
      <c r="U35" s="213"/>
      <c r="V35" s="213"/>
      <c r="W35" s="213"/>
      <c r="X35" s="213"/>
      <c r="Y35" s="213"/>
      <c r="Z35" s="213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>
        <f>SUM(AO31:AO34)</f>
        <v>0</v>
      </c>
      <c r="AP35" s="158" t="e">
        <f>SUM(AP31:AP34)</f>
        <v>#DIV/0!</v>
      </c>
      <c r="AQ35" s="158"/>
      <c r="AR35" s="158"/>
      <c r="AS35" s="83"/>
    </row>
    <row r="36" spans="1:60">
      <c r="A36" s="475" t="s">
        <v>129</v>
      </c>
      <c r="B36" s="84"/>
      <c r="C36" s="85"/>
      <c r="D36" s="86"/>
      <c r="E36" s="478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117"/>
      <c r="R36" s="28"/>
      <c r="S36" s="28"/>
      <c r="T36" s="28"/>
      <c r="U36" s="28"/>
      <c r="V36" s="28"/>
      <c r="W36" s="28"/>
      <c r="X36" s="28"/>
      <c r="Y36" s="28"/>
      <c r="Z36" s="28"/>
      <c r="AA36" s="466"/>
      <c r="AB36" s="466"/>
      <c r="AC36" s="466"/>
      <c r="AD36" s="466"/>
      <c r="AE36" s="466"/>
      <c r="AF36" s="466"/>
      <c r="AG36" s="466"/>
      <c r="AH36" s="466"/>
      <c r="AI36" s="466"/>
      <c r="AJ36" s="466"/>
      <c r="AK36" s="466"/>
      <c r="AL36" s="466"/>
      <c r="AM36" s="466"/>
      <c r="AN36" s="467"/>
      <c r="AO36" s="23">
        <f>D36*Q36/1000</f>
        <v>0</v>
      </c>
      <c r="AP36" s="154" t="e">
        <f>AO36/$AO$43</f>
        <v>#DIV/0!</v>
      </c>
      <c r="AQ36" s="154"/>
      <c r="AR36" s="154" t="e">
        <f>AO36/$AO$45</f>
        <v>#DIV/0!</v>
      </c>
      <c r="AS36" s="25"/>
    </row>
    <row r="37" spans="1:60">
      <c r="A37" s="476"/>
      <c r="B37" s="74"/>
      <c r="C37" s="87"/>
      <c r="D37" s="88"/>
      <c r="E37" s="480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118"/>
      <c r="R37" s="28"/>
      <c r="S37" s="28"/>
      <c r="T37" s="28"/>
      <c r="U37" s="28"/>
      <c r="V37" s="28"/>
      <c r="W37" s="28"/>
      <c r="X37" s="28"/>
      <c r="Y37" s="28"/>
      <c r="Z37" s="2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9"/>
      <c r="AO37" s="23">
        <f>D37*Q37/1000</f>
        <v>0</v>
      </c>
      <c r="AP37" s="154" t="e">
        <f>AO37/$AO$43</f>
        <v>#DIV/0!</v>
      </c>
      <c r="AQ37" s="154"/>
      <c r="AR37" s="154" t="e">
        <f>AO37/$AO$45</f>
        <v>#DIV/0!</v>
      </c>
      <c r="AS37" s="30"/>
      <c r="AT37" s="31"/>
    </row>
    <row r="38" spans="1:60">
      <c r="A38" s="476"/>
      <c r="B38" s="74"/>
      <c r="C38" s="87"/>
      <c r="D38" s="88"/>
      <c r="E38" s="480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118"/>
      <c r="R38" s="28"/>
      <c r="S38" s="28"/>
      <c r="T38" s="28"/>
      <c r="U38" s="28"/>
      <c r="V38" s="28"/>
      <c r="W38" s="28"/>
      <c r="X38" s="28"/>
      <c r="Y38" s="28"/>
      <c r="Z38" s="2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9"/>
      <c r="AO38" s="23">
        <f>D38*Q38/1000</f>
        <v>0</v>
      </c>
      <c r="AP38" s="154" t="e">
        <f>AO38/$AO$43</f>
        <v>#DIV/0!</v>
      </c>
      <c r="AQ38" s="154"/>
      <c r="AR38" s="154" t="e">
        <f>AO38/$AO$45</f>
        <v>#DIV/0!</v>
      </c>
      <c r="AS38" s="30"/>
    </row>
    <row r="39" spans="1:60">
      <c r="A39" s="476"/>
      <c r="B39" s="74"/>
      <c r="C39" s="87"/>
      <c r="D39" s="88"/>
      <c r="E39" s="480"/>
      <c r="F39" s="481"/>
      <c r="G39" s="481"/>
      <c r="H39" s="481"/>
      <c r="I39" s="481"/>
      <c r="J39" s="481"/>
      <c r="K39" s="481"/>
      <c r="L39" s="481"/>
      <c r="M39" s="481"/>
      <c r="N39" s="481"/>
      <c r="O39" s="481"/>
      <c r="P39" s="481"/>
      <c r="Q39" s="118"/>
      <c r="R39" s="28"/>
      <c r="S39" s="28"/>
      <c r="T39" s="28"/>
      <c r="U39" s="28"/>
      <c r="V39" s="28"/>
      <c r="W39" s="28"/>
      <c r="X39" s="28"/>
      <c r="Y39" s="28"/>
      <c r="Z39" s="2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9"/>
      <c r="AO39" s="23">
        <f>D39*Q39/1000</f>
        <v>0</v>
      </c>
      <c r="AP39" s="154" t="e">
        <f>AO39/$AO$43</f>
        <v>#DIV/0!</v>
      </c>
      <c r="AQ39" s="154"/>
      <c r="AR39" s="154" t="e">
        <f>AO39/$AO$45</f>
        <v>#DIV/0!</v>
      </c>
      <c r="AS39" s="25"/>
      <c r="AU39" s="211"/>
    </row>
    <row r="40" spans="1:60">
      <c r="A40" s="476"/>
      <c r="B40" s="74"/>
      <c r="C40" s="87"/>
      <c r="D40" s="88"/>
      <c r="E40" s="480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118"/>
      <c r="R40" s="28"/>
      <c r="S40" s="28"/>
      <c r="T40" s="28"/>
      <c r="U40" s="28"/>
      <c r="V40" s="28"/>
      <c r="W40" s="28"/>
      <c r="X40" s="28"/>
      <c r="Y40" s="28"/>
      <c r="Z40" s="2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9"/>
      <c r="AO40" s="23">
        <f>D40*Q40/1000</f>
        <v>0</v>
      </c>
      <c r="AP40" s="154" t="e">
        <f>AO40/$AO$43</f>
        <v>#DIV/0!</v>
      </c>
      <c r="AQ40" s="154"/>
      <c r="AR40" s="154" t="e">
        <f>AO40/$AO$45</f>
        <v>#DIV/0!</v>
      </c>
      <c r="AS40" s="25"/>
    </row>
    <row r="41" spans="1:60">
      <c r="A41" s="476"/>
      <c r="B41" s="52"/>
      <c r="C41" s="87"/>
      <c r="D41" s="27"/>
      <c r="E41" s="480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9"/>
      <c r="AO41" s="23">
        <f>D41*Q41/1000</f>
        <v>0</v>
      </c>
      <c r="AP41" s="154" t="e">
        <f>AO41/$AO$43</f>
        <v>#DIV/0!</v>
      </c>
      <c r="AQ41" s="154"/>
      <c r="AR41" s="154" t="e">
        <f>AO41/$AO$45</f>
        <v>#DIV/0!</v>
      </c>
      <c r="AS41" s="25"/>
    </row>
    <row r="42" spans="1:60">
      <c r="A42" s="476"/>
      <c r="B42" s="90"/>
      <c r="C42" s="87"/>
      <c r="D42" s="80"/>
      <c r="E42" s="482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37"/>
      <c r="R42" s="28"/>
      <c r="S42" s="28"/>
      <c r="T42" s="28"/>
      <c r="U42" s="28"/>
      <c r="V42" s="28"/>
      <c r="W42" s="28"/>
      <c r="X42" s="28"/>
      <c r="Y42" s="28"/>
      <c r="Z42" s="28"/>
      <c r="AA42" s="470"/>
      <c r="AB42" s="470"/>
      <c r="AC42" s="470"/>
      <c r="AD42" s="470"/>
      <c r="AE42" s="470"/>
      <c r="AF42" s="470"/>
      <c r="AG42" s="470"/>
      <c r="AH42" s="470"/>
      <c r="AI42" s="470"/>
      <c r="AJ42" s="470"/>
      <c r="AK42" s="470"/>
      <c r="AL42" s="470"/>
      <c r="AM42" s="470"/>
      <c r="AN42" s="471"/>
      <c r="AO42" s="23"/>
      <c r="AP42" s="154" t="e">
        <f>AO42/$AO$43</f>
        <v>#DIV/0!</v>
      </c>
      <c r="AQ42" s="154"/>
      <c r="AR42" s="154" t="e">
        <f>AO42/$AO$45</f>
        <v>#DIV/0!</v>
      </c>
      <c r="AS42" s="25"/>
    </row>
    <row r="43" spans="1:60">
      <c r="A43" s="477"/>
      <c r="B43" s="47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4"/>
      <c r="R43" s="213"/>
      <c r="S43" s="213"/>
      <c r="T43" s="213"/>
      <c r="U43" s="213"/>
      <c r="V43" s="213"/>
      <c r="W43" s="213"/>
      <c r="X43" s="213"/>
      <c r="Y43" s="213"/>
      <c r="Z43" s="213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>
        <f>SUM(AO36:AO42)</f>
        <v>0</v>
      </c>
      <c r="AP43" s="157" t="e">
        <f>SUM(AP36:AP42)</f>
        <v>#DIV/0!</v>
      </c>
      <c r="AQ43" s="157"/>
      <c r="AR43" s="157"/>
      <c r="AS43" s="73"/>
    </row>
    <row r="44" spans="1:60">
      <c r="A44" s="91"/>
      <c r="B44" s="211"/>
      <c r="C44" s="92"/>
      <c r="D44" s="8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93">
        <f>AA24+AA35</f>
        <v>0</v>
      </c>
      <c r="AB44" s="93">
        <f>AB24+AB35</f>
        <v>0</v>
      </c>
      <c r="AC44" s="93"/>
      <c r="AD44" s="93">
        <f>AD24+AD35</f>
        <v>0</v>
      </c>
      <c r="AE44" s="93">
        <f>AE24+AE35</f>
        <v>0</v>
      </c>
      <c r="AF44" s="93">
        <f>AF24+AF35</f>
        <v>0</v>
      </c>
      <c r="AG44" s="93">
        <f>AG24+AG35</f>
        <v>0</v>
      </c>
      <c r="AH44" s="93"/>
      <c r="AI44" s="93">
        <f>AI24+AI35</f>
        <v>0</v>
      </c>
      <c r="AJ44" s="93">
        <f>AJ24+AJ35</f>
        <v>0</v>
      </c>
      <c r="AK44" s="93">
        <f>AK24+AK35</f>
        <v>0</v>
      </c>
      <c r="AL44" s="93">
        <f>AL24+AL35</f>
        <v>0</v>
      </c>
      <c r="AM44" s="93">
        <f>AM24+AM35</f>
        <v>0</v>
      </c>
      <c r="AN44" s="93">
        <f>AN24+AN35</f>
        <v>0</v>
      </c>
      <c r="AO44" s="93">
        <f>AO24+AO35</f>
        <v>0</v>
      </c>
      <c r="AP44" s="159"/>
      <c r="AQ44" s="159" t="e">
        <f>SUM(AQ10:AQ23)+SUM(AQ31:AQ34)</f>
        <v>#DIV/0!</v>
      </c>
      <c r="AR44" s="159" t="e">
        <f>SUM(AR10:AR23)+SUM(AR31:AR34)+SUM(AR36:AR42)</f>
        <v>#DIV/0!</v>
      </c>
      <c r="AS44" s="94"/>
      <c r="AT44" s="63"/>
    </row>
    <row r="45" spans="1:60">
      <c r="A45" s="91"/>
      <c r="B45" s="211"/>
      <c r="C45" s="92"/>
      <c r="D45" s="8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93">
        <f>AA24+AA35+AA43</f>
        <v>0</v>
      </c>
      <c r="AB45" s="93">
        <f>AB24+AB35+AB43</f>
        <v>0</v>
      </c>
      <c r="AC45" s="93"/>
      <c r="AD45" s="93">
        <f>AD24+AD35+AD43</f>
        <v>0</v>
      </c>
      <c r="AE45" s="93">
        <f>AE24+AE35+AE43</f>
        <v>0</v>
      </c>
      <c r="AF45" s="93">
        <f>AF24+AF35+AF43</f>
        <v>0</v>
      </c>
      <c r="AG45" s="93">
        <f>AG24+AG35+AG43</f>
        <v>0</v>
      </c>
      <c r="AH45" s="93"/>
      <c r="AI45" s="93">
        <f>AI24+AI35+AI43</f>
        <v>0</v>
      </c>
      <c r="AJ45" s="93">
        <f>AJ24+AJ35+AJ43</f>
        <v>0</v>
      </c>
      <c r="AK45" s="93">
        <f>AK24+AK35+AK43</f>
        <v>0</v>
      </c>
      <c r="AL45" s="93">
        <f>AL24+AL35+AL43</f>
        <v>0</v>
      </c>
      <c r="AM45" s="93">
        <f>AM24+AM35+AM43</f>
        <v>0</v>
      </c>
      <c r="AN45" s="93">
        <f>AN24+AN35+AN43</f>
        <v>0</v>
      </c>
      <c r="AO45" s="93">
        <f>AO24+AO35+AO43</f>
        <v>0</v>
      </c>
      <c r="AP45" s="93"/>
      <c r="AQ45" s="93"/>
      <c r="AR45" s="93"/>
      <c r="AS45" s="94"/>
      <c r="AT45" s="63"/>
    </row>
    <row r="46" spans="1:60">
      <c r="A46" s="95" t="s">
        <v>33</v>
      </c>
      <c r="B46" s="417"/>
      <c r="C46" s="418"/>
      <c r="D46" s="418"/>
      <c r="E46" s="418"/>
      <c r="F46" s="418"/>
      <c r="G46" s="418"/>
      <c r="H46" s="418"/>
      <c r="I46" s="418"/>
      <c r="J46" s="418"/>
      <c r="K46" s="418"/>
      <c r="L46" s="418"/>
      <c r="M46" s="418"/>
      <c r="N46" s="418"/>
      <c r="O46" s="418"/>
      <c r="P46" s="418"/>
      <c r="Q46" s="418"/>
      <c r="R46" s="210"/>
      <c r="S46" s="210"/>
      <c r="T46" s="210"/>
      <c r="U46" s="210"/>
      <c r="V46" s="210"/>
      <c r="W46" s="210"/>
      <c r="X46" s="210"/>
      <c r="Y46" s="210"/>
      <c r="Z46" s="210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7"/>
    </row>
    <row r="47" spans="1:60">
      <c r="A47" s="211"/>
      <c r="B47" s="211"/>
      <c r="C47" s="98"/>
      <c r="D47" s="99"/>
      <c r="E47" s="211"/>
      <c r="F47" s="211"/>
      <c r="G47" s="25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51"/>
      <c r="AD47" s="211"/>
      <c r="AE47" s="211"/>
      <c r="AF47" s="211"/>
      <c r="AG47" s="211"/>
      <c r="AH47" s="251"/>
      <c r="AI47" s="211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100"/>
    </row>
    <row r="48" spans="1:60">
      <c r="B48" s="211"/>
    </row>
    <row r="49" spans="1:60" customHeight="1" ht="20.25">
      <c r="B49" s="101"/>
    </row>
    <row r="50" spans="1:60" customHeight="1" ht="20.25">
      <c r="B50" s="101"/>
    </row>
    <row r="51" spans="1:60" customHeight="1" ht="20.25">
      <c r="B51" s="101"/>
    </row>
  </sheetData>
  <mergeCells>
    <mergeCell ref="AO4:AQ4"/>
    <mergeCell ref="AR4:AS4"/>
    <mergeCell ref="A5:AS5"/>
    <mergeCell ref="A6:A9"/>
    <mergeCell ref="B6:B9"/>
    <mergeCell ref="C6:D8"/>
    <mergeCell ref="E6:N7"/>
    <mergeCell ref="O6:P7"/>
    <mergeCell ref="Q6:Q9"/>
    <mergeCell ref="A1:A4"/>
    <mergeCell ref="B1:AN2"/>
    <mergeCell ref="AO1:AS2"/>
    <mergeCell ref="C3:F3"/>
    <mergeCell ref="AO3:AQ3"/>
    <mergeCell ref="AR3:AS3"/>
    <mergeCell ref="C4:F4"/>
    <mergeCell ref="AA6:AF8"/>
    <mergeCell ref="AG6:AN8"/>
    <mergeCell ref="AO6:AO7"/>
    <mergeCell ref="V8:V9"/>
    <mergeCell ref="W8:W9"/>
    <mergeCell ref="T8:T9"/>
    <mergeCell ref="U8:U9"/>
    <mergeCell ref="R6:X6"/>
    <mergeCell ref="Y6:Y9"/>
    <mergeCell ref="Z6:Z9"/>
    <mergeCell ref="AP6:AP9"/>
    <mergeCell ref="AQ6:AQ9"/>
    <mergeCell ref="AR6:AR9"/>
    <mergeCell ref="AS6:AS9"/>
    <mergeCell ref="AU6:AV6"/>
    <mergeCell ref="A36:A43"/>
    <mergeCell ref="E36:P42"/>
    <mergeCell ref="AA36:AN42"/>
    <mergeCell ref="B43:Q43"/>
    <mergeCell ref="A10:A24"/>
    <mergeCell ref="E24:Q24"/>
    <mergeCell ref="A25:A30"/>
    <mergeCell ref="B30:Q30"/>
    <mergeCell ref="A31:A35"/>
    <mergeCell ref="E31:P34"/>
    <mergeCell ref="B46:Q46"/>
    <mergeCell ref="I3:AA3"/>
    <mergeCell ref="I4:AA4"/>
    <mergeCell ref="AB3:AD3"/>
    <mergeCell ref="AE3:AN3"/>
    <mergeCell ref="AA31:AN34"/>
    <mergeCell ref="B35:Q35"/>
    <mergeCell ref="E8:L8"/>
    <mergeCell ref="M8:N8"/>
    <mergeCell ref="O8:O9"/>
    <mergeCell ref="P8:P9"/>
    <mergeCell ref="R8:R9"/>
    <mergeCell ref="S8:S9"/>
    <mergeCell ref="R7:S7"/>
    <mergeCell ref="T7:W7"/>
    <mergeCell ref="X7:X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37"/>
  <sheetViews>
    <sheetView tabSelected="0" workbookViewId="0" showGridLines="true" showRowColHeaders="1">
      <selection activeCell="M18" sqref="M18"/>
    </sheetView>
  </sheetViews>
  <sheetFormatPr defaultRowHeight="14.4" outlineLevelRow="0" outlineLevelCol="0"/>
  <cols>
    <col min="1" max="1" width="13.5703125" customWidth="true" style="262"/>
    <col min="2" max="2" width="14.5703125" customWidth="true" style="262"/>
    <col min="3" max="3" width="14.5703125" customWidth="true" style="262"/>
    <col min="4" max="4" width="13.7109375" customWidth="true" style="262"/>
    <col min="5" max="5" width="13.28515625" customWidth="true" style="262"/>
    <col min="6" max="6" width="9.140625" customWidth="true" style="262"/>
  </cols>
  <sheetData>
    <row r="1" spans="1:18" customHeight="1" ht="15">
      <c r="A1" s="628"/>
      <c r="B1" s="634" t="s">
        <v>133</v>
      </c>
      <c r="C1" s="634"/>
      <c r="D1" s="634"/>
      <c r="E1" s="634"/>
      <c r="F1" s="634"/>
      <c r="G1" s="634"/>
      <c r="H1" s="634"/>
      <c r="I1" s="632" t="s">
        <v>134</v>
      </c>
      <c r="J1" s="633"/>
      <c r="K1" s="131"/>
      <c r="L1" s="131"/>
      <c r="M1" s="131"/>
      <c r="N1" s="131"/>
      <c r="O1" s="131"/>
      <c r="P1" s="131"/>
      <c r="Q1" s="131"/>
      <c r="R1" s="131"/>
    </row>
    <row r="2" spans="1:18" customHeight="1" ht="15">
      <c r="A2" s="629"/>
      <c r="B2" s="634"/>
      <c r="C2" s="634"/>
      <c r="D2" s="634"/>
      <c r="E2" s="634"/>
      <c r="F2" s="634"/>
      <c r="G2" s="634"/>
      <c r="H2" s="634"/>
      <c r="I2" s="633"/>
      <c r="J2" s="633"/>
      <c r="K2" s="131"/>
      <c r="L2" s="131"/>
      <c r="M2" s="131"/>
      <c r="N2" s="131"/>
      <c r="O2" s="131"/>
      <c r="P2" s="131"/>
      <c r="Q2" s="131"/>
      <c r="R2" s="131"/>
    </row>
    <row r="3" spans="1:18" customHeight="1" ht="15">
      <c r="A3" s="629"/>
      <c r="B3" s="257" t="s">
        <v>2</v>
      </c>
      <c r="C3" s="631" t="s">
        <v>3</v>
      </c>
      <c r="D3" s="631"/>
      <c r="E3" s="257" t="s">
        <v>4</v>
      </c>
      <c r="F3" s="635" t="str">
        <f>'Fr-01'!$B$6</f>
        <v>ชื่อองค์กรที่ขอขึ้นทะเบียน</v>
      </c>
      <c r="G3" s="636"/>
      <c r="H3" s="637"/>
      <c r="I3" s="258" t="s">
        <v>5</v>
      </c>
      <c r="J3" s="259">
        <v>6</v>
      </c>
      <c r="K3" s="131"/>
      <c r="L3" s="131"/>
      <c r="M3" s="131"/>
      <c r="N3" s="131"/>
      <c r="O3" s="131"/>
      <c r="P3" s="131"/>
      <c r="Q3" s="131"/>
      <c r="R3" s="131"/>
    </row>
    <row r="4" spans="1:18" customHeight="1" ht="15">
      <c r="A4" s="630"/>
      <c r="B4" s="257" t="s">
        <v>6</v>
      </c>
      <c r="C4" s="631" t="s">
        <v>135</v>
      </c>
      <c r="D4" s="631"/>
      <c r="E4" s="257" t="s">
        <v>8</v>
      </c>
      <c r="F4" s="635">
        <f>'Fr-01'!$G$4</f>
        <v>0</v>
      </c>
      <c r="G4" s="636"/>
      <c r="H4" s="637"/>
      <c r="I4" s="258" t="s">
        <v>9</v>
      </c>
      <c r="J4" s="259"/>
      <c r="K4" s="131"/>
      <c r="L4" s="131"/>
      <c r="M4" s="131"/>
      <c r="N4" s="131"/>
      <c r="O4" s="131"/>
      <c r="P4" s="131"/>
      <c r="Q4" s="131"/>
      <c r="R4" s="131"/>
    </row>
    <row r="5" spans="1:18" customHeight="1" ht="15" s="265" customFormat="1">
      <c r="A5" s="260" t="s">
        <v>136</v>
      </c>
      <c r="B5" s="261" t="str">
        <f>'Fr-01'!H22</f>
        <v> ระบุปีที่เก็บข้อมูล เช่น ม.ค.63-ธ.ค.63</v>
      </c>
      <c r="C5" s="263"/>
      <c r="D5" s="263"/>
      <c r="E5" s="263"/>
      <c r="F5" s="263"/>
      <c r="G5" s="263"/>
      <c r="H5" s="263"/>
      <c r="I5" s="263"/>
      <c r="J5" s="264"/>
      <c r="K5" s="266"/>
      <c r="L5" s="266"/>
      <c r="M5" s="266"/>
      <c r="N5" s="266"/>
      <c r="O5" s="266"/>
      <c r="P5" s="266"/>
      <c r="Q5" s="266"/>
      <c r="R5" s="266"/>
    </row>
    <row r="6" spans="1:18">
      <c r="A6" s="624"/>
      <c r="B6" s="611" t="s">
        <v>81</v>
      </c>
      <c r="C6" s="612" t="s">
        <v>137</v>
      </c>
      <c r="D6" s="614" t="s">
        <v>138</v>
      </c>
      <c r="E6" s="614" t="s">
        <v>139</v>
      </c>
      <c r="F6" s="625"/>
      <c r="G6" s="626"/>
      <c r="H6" s="626"/>
      <c r="I6" s="626"/>
      <c r="J6" s="627"/>
    </row>
    <row r="7" spans="1:18">
      <c r="A7" s="624"/>
      <c r="B7" s="611"/>
      <c r="C7" s="612"/>
      <c r="D7" s="614"/>
      <c r="E7" s="614"/>
      <c r="F7" s="625"/>
      <c r="G7" s="626"/>
      <c r="H7" s="626"/>
      <c r="I7" s="626"/>
      <c r="J7" s="627"/>
      <c r="L7" s="74"/>
      <c r="M7" s="74"/>
    </row>
    <row r="8" spans="1:18">
      <c r="A8" s="624"/>
      <c r="B8" s="611"/>
      <c r="C8" s="612"/>
      <c r="D8" s="614"/>
      <c r="E8" s="614"/>
      <c r="F8" s="625"/>
      <c r="G8" s="626"/>
      <c r="H8" s="626"/>
      <c r="I8" s="626"/>
      <c r="J8" s="627"/>
      <c r="L8" s="74"/>
      <c r="M8" s="74"/>
    </row>
    <row r="9" spans="1:18">
      <c r="A9" s="624"/>
      <c r="B9" s="611"/>
      <c r="C9" s="613"/>
      <c r="D9" s="615"/>
      <c r="E9" s="615"/>
      <c r="F9" s="625"/>
      <c r="G9" s="626"/>
      <c r="H9" s="626"/>
      <c r="I9" s="626"/>
      <c r="J9" s="627"/>
      <c r="L9" s="74"/>
      <c r="M9" s="74"/>
    </row>
    <row r="10" spans="1:18" customHeight="1" ht="32.25">
      <c r="A10" s="624"/>
      <c r="B10" s="105" t="s">
        <v>140</v>
      </c>
      <c r="C10" s="179" t="e">
        <f>ROUNDUP('Fr-04.1'!AO24,0)</f>
        <v>#VALUE!</v>
      </c>
      <c r="D10" s="106" t="e">
        <f>C10/C$14%</f>
        <v>#VALUE!</v>
      </c>
      <c r="E10" s="106" t="e">
        <f>C10/SUM(C10:C12)%</f>
        <v>#VALUE!</v>
      </c>
      <c r="F10" s="625"/>
      <c r="G10" s="626"/>
      <c r="H10" s="626"/>
      <c r="I10" s="626"/>
      <c r="J10" s="627"/>
      <c r="L10" s="107"/>
      <c r="M10" s="107"/>
    </row>
    <row r="11" spans="1:18" customHeight="1" ht="32.25">
      <c r="A11" s="624"/>
      <c r="B11" s="108" t="s">
        <v>14</v>
      </c>
      <c r="C11" s="179">
        <f>ROUNDUP('Fr-04.1'!AO35,0)</f>
        <v>0</v>
      </c>
      <c r="D11" s="106" t="e">
        <f>C11/C$14%</f>
        <v>#VALUE!</v>
      </c>
      <c r="E11" s="106" t="e">
        <f>C11/SUM(C10:C12)%</f>
        <v>#VALUE!</v>
      </c>
      <c r="F11" s="625"/>
      <c r="G11" s="626"/>
      <c r="H11" s="626"/>
      <c r="I11" s="626"/>
      <c r="J11" s="627"/>
    </row>
    <row r="12" spans="1:18" customHeight="1" ht="32.25">
      <c r="A12" s="624"/>
      <c r="B12" s="108" t="s">
        <v>15</v>
      </c>
      <c r="C12" s="179">
        <f>ROUNDUP('Fr-04.1'!AO43,0)</f>
        <v>0</v>
      </c>
      <c r="D12" s="619"/>
      <c r="E12" s="106" t="e">
        <f>C12/SUM(C10:C12)%</f>
        <v>#VALUE!</v>
      </c>
      <c r="F12" s="625"/>
      <c r="G12" s="626"/>
      <c r="H12" s="626"/>
      <c r="I12" s="626"/>
      <c r="J12" s="627"/>
    </row>
    <row r="13" spans="1:18" customHeight="1" ht="32.25">
      <c r="A13" s="624"/>
      <c r="B13" s="109" t="s">
        <v>141</v>
      </c>
      <c r="C13" s="180">
        <f>ROUNDUP('Fr-04.1'!AO30,0)</f>
        <v>0</v>
      </c>
      <c r="D13" s="620"/>
      <c r="E13" s="110"/>
      <c r="F13" s="625"/>
      <c r="G13" s="626"/>
      <c r="H13" s="626"/>
      <c r="I13" s="626"/>
      <c r="J13" s="627"/>
    </row>
    <row r="14" spans="1:18" customHeight="1" ht="32.25">
      <c r="A14" s="624"/>
      <c r="B14" s="198" t="s">
        <v>142</v>
      </c>
      <c r="C14" s="135" t="e">
        <f>SUM(C10:C11)</f>
        <v>#VALUE!</v>
      </c>
      <c r="D14" s="111" t="e">
        <f>SUM(D10:D11)</f>
        <v>#VALUE!</v>
      </c>
      <c r="E14" s="111"/>
      <c r="F14" s="625"/>
      <c r="G14" s="626"/>
      <c r="H14" s="626"/>
      <c r="I14" s="626"/>
      <c r="J14" s="627"/>
    </row>
    <row r="15" spans="1:18" customHeight="1" ht="32.25">
      <c r="A15" s="624"/>
      <c r="B15" s="198" t="s">
        <v>143</v>
      </c>
      <c r="C15" s="135" t="e">
        <f>SUM(C10:C12)</f>
        <v>#VALUE!</v>
      </c>
      <c r="D15" s="111"/>
      <c r="E15" s="111" t="e">
        <f>SUM(E10:E12)</f>
        <v>#VALUE!</v>
      </c>
      <c r="F15" s="625"/>
      <c r="G15" s="626"/>
      <c r="H15" s="626"/>
      <c r="I15" s="626"/>
      <c r="J15" s="627"/>
    </row>
    <row r="16" spans="1:18">
      <c r="A16" s="199"/>
      <c r="B16" s="197"/>
      <c r="C16" s="197"/>
      <c r="D16" s="197"/>
      <c r="E16" s="197"/>
      <c r="F16" s="197"/>
      <c r="G16" s="197"/>
      <c r="H16" s="197"/>
      <c r="I16" s="197"/>
      <c r="J16" s="200"/>
    </row>
    <row r="17" spans="1:18">
      <c r="A17" s="199"/>
      <c r="B17" s="621" t="s">
        <v>144</v>
      </c>
      <c r="C17" s="622"/>
      <c r="D17" s="203" t="e">
        <f>C14/'Fr-01'!H23</f>
        <v>#VALUE!</v>
      </c>
      <c r="E17" s="205" t="s">
        <v>145</v>
      </c>
      <c r="F17" s="206" t="str">
        <f>'Fr-01'!J23</f>
        <v>ระบุหน่วย</v>
      </c>
      <c r="G17" s="197"/>
      <c r="H17" s="197"/>
      <c r="I17" s="197"/>
      <c r="J17" s="200"/>
    </row>
    <row r="18" spans="1:18">
      <c r="A18" s="199"/>
      <c r="B18" s="621" t="s">
        <v>146</v>
      </c>
      <c r="C18" s="622"/>
      <c r="D18" s="204" t="e">
        <f>C15/'Fr-01'!H23</f>
        <v>#VALUE!</v>
      </c>
      <c r="E18" s="205" t="s">
        <v>145</v>
      </c>
      <c r="F18" s="206" t="str">
        <f>'Fr-01'!J23</f>
        <v>ระบุหน่วย</v>
      </c>
      <c r="G18" s="197"/>
      <c r="H18" s="197"/>
      <c r="I18" s="197"/>
      <c r="J18" s="200"/>
    </row>
    <row r="19" spans="1:18">
      <c r="A19" s="194"/>
      <c r="B19" s="195"/>
      <c r="C19" s="195"/>
      <c r="D19" s="195"/>
      <c r="E19" s="195"/>
      <c r="F19" s="195"/>
      <c r="G19" s="195"/>
      <c r="H19" s="195"/>
      <c r="I19" s="195"/>
      <c r="J19" s="196"/>
    </row>
    <row r="20" spans="1:18" customHeight="1" ht="12.75" s="265" customFormat="1">
      <c r="A20" s="260" t="s">
        <v>20</v>
      </c>
      <c r="B20" s="261" t="str">
        <f>'Fr-01'!H24</f>
        <v> ระบุปีฐาน เช่น ม.ค.61-ธ.ค.61</v>
      </c>
      <c r="C20" s="263"/>
      <c r="D20" s="263"/>
      <c r="E20" s="263"/>
      <c r="F20" s="263"/>
      <c r="G20" s="263"/>
      <c r="H20" s="263"/>
      <c r="I20" s="263"/>
      <c r="J20" s="264"/>
    </row>
    <row r="21" spans="1:18">
      <c r="A21" s="267"/>
      <c r="B21" s="268"/>
      <c r="C21" s="268"/>
      <c r="D21" s="268"/>
      <c r="E21" s="268"/>
      <c r="F21" s="268"/>
      <c r="G21" s="268"/>
      <c r="H21" s="268"/>
      <c r="I21" s="268"/>
      <c r="J21" s="269"/>
    </row>
    <row r="22" spans="1:18" customHeight="1" ht="15">
      <c r="A22" s="267"/>
      <c r="B22" s="616" t="s">
        <v>81</v>
      </c>
      <c r="C22" s="617" t="s">
        <v>137</v>
      </c>
      <c r="D22" s="618" t="s">
        <v>138</v>
      </c>
      <c r="E22" s="618" t="s">
        <v>139</v>
      </c>
      <c r="F22" s="199"/>
      <c r="G22" s="623" t="s">
        <v>147</v>
      </c>
      <c r="H22" s="623"/>
      <c r="I22" s="623"/>
      <c r="J22" s="200"/>
    </row>
    <row r="23" spans="1:18">
      <c r="A23" s="230"/>
      <c r="B23" s="611"/>
      <c r="C23" s="612"/>
      <c r="D23" s="614"/>
      <c r="E23" s="614"/>
      <c r="F23" s="199"/>
      <c r="G23" s="197"/>
      <c r="H23" s="197"/>
      <c r="I23" s="197"/>
      <c r="J23" s="200"/>
    </row>
    <row r="24" spans="1:18">
      <c r="A24" s="267"/>
      <c r="B24" s="611"/>
      <c r="C24" s="612"/>
      <c r="D24" s="614"/>
      <c r="E24" s="614"/>
      <c r="F24" s="199"/>
      <c r="G24" s="197"/>
      <c r="H24" s="197"/>
      <c r="I24" s="197"/>
      <c r="J24" s="200"/>
    </row>
    <row r="25" spans="1:18">
      <c r="A25" s="267"/>
      <c r="B25" s="611"/>
      <c r="C25" s="613"/>
      <c r="D25" s="615"/>
      <c r="E25" s="615"/>
      <c r="F25" s="199"/>
      <c r="G25" s="197"/>
      <c r="H25" s="197"/>
      <c r="I25" s="197"/>
      <c r="J25" s="200"/>
    </row>
    <row r="26" spans="1:18" customHeight="1" ht="32.25">
      <c r="A26" s="267"/>
      <c r="B26" s="105" t="s">
        <v>140</v>
      </c>
      <c r="C26" s="179">
        <f>ROUNDUP('Fr-04.2'!AO24,0)</f>
        <v>0</v>
      </c>
      <c r="D26" s="106" t="e">
        <f>C26/C$14%</f>
        <v>#VALUE!</v>
      </c>
      <c r="E26" s="106" t="e">
        <f>C26/SUM(C26:C28)%</f>
        <v>#DIV/0!</v>
      </c>
      <c r="F26" s="199"/>
      <c r="G26" s="197"/>
      <c r="H26" s="197"/>
      <c r="I26" s="197"/>
      <c r="J26" s="200"/>
    </row>
    <row r="27" spans="1:18" customHeight="1" ht="32.25">
      <c r="A27" s="267"/>
      <c r="B27" s="108" t="s">
        <v>14</v>
      </c>
      <c r="C27" s="179">
        <f>ROUNDUP('Fr-04.2'!AO35,0)</f>
        <v>0</v>
      </c>
      <c r="D27" s="106" t="e">
        <f>C27/C$14%</f>
        <v>#VALUE!</v>
      </c>
      <c r="E27" s="106" t="e">
        <f>C27/SUM(C26:C28)%</f>
        <v>#DIV/0!</v>
      </c>
      <c r="F27" s="199"/>
      <c r="G27" s="197"/>
      <c r="H27" s="197"/>
      <c r="I27" s="197"/>
      <c r="J27" s="200"/>
    </row>
    <row r="28" spans="1:18" customHeight="1" ht="32.25">
      <c r="A28" s="267"/>
      <c r="B28" s="108" t="s">
        <v>15</v>
      </c>
      <c r="C28" s="179">
        <f>ROUNDUP('Fr-04.2'!AO43,0)</f>
        <v>0</v>
      </c>
      <c r="D28" s="619"/>
      <c r="E28" s="106" t="e">
        <f>C28/SUM(C26:C28)%</f>
        <v>#DIV/0!</v>
      </c>
      <c r="F28" s="199"/>
      <c r="G28" s="197"/>
      <c r="H28" s="197"/>
      <c r="I28" s="197"/>
      <c r="J28" s="200"/>
    </row>
    <row r="29" spans="1:18" customHeight="1" ht="32.25">
      <c r="A29" s="267"/>
      <c r="B29" s="109" t="s">
        <v>141</v>
      </c>
      <c r="C29" s="180">
        <f>ROUNDUP('Fr-04.2'!AO46,0)</f>
        <v>0</v>
      </c>
      <c r="D29" s="620"/>
      <c r="E29" s="110"/>
      <c r="F29" s="199"/>
      <c r="G29" s="197"/>
      <c r="H29" s="197"/>
      <c r="I29" s="197"/>
      <c r="J29" s="200"/>
    </row>
    <row r="30" spans="1:18" customHeight="1" ht="22.5">
      <c r="A30" s="267"/>
      <c r="B30" s="198" t="s">
        <v>142</v>
      </c>
      <c r="C30" s="135">
        <f>SUM(C26:C27)</f>
        <v>0</v>
      </c>
      <c r="D30" s="111" t="e">
        <f>SUM(D26:D27)</f>
        <v>#VALUE!</v>
      </c>
      <c r="E30" s="111"/>
      <c r="F30" s="199"/>
      <c r="G30" s="197"/>
      <c r="H30" s="197"/>
      <c r="I30" s="197"/>
      <c r="J30" s="200"/>
    </row>
    <row r="31" spans="1:18" customHeight="1" ht="22.5">
      <c r="A31" s="267"/>
      <c r="B31" s="198" t="s">
        <v>143</v>
      </c>
      <c r="C31" s="135">
        <f>SUM(C26:C28)</f>
        <v>0</v>
      </c>
      <c r="D31" s="111"/>
      <c r="E31" s="111" t="e">
        <f>SUM(E26:E28)</f>
        <v>#DIV/0!</v>
      </c>
      <c r="F31" s="199"/>
      <c r="G31" s="197"/>
      <c r="H31" s="197"/>
      <c r="I31" s="197"/>
      <c r="J31" s="200"/>
    </row>
    <row r="32" spans="1:18">
      <c r="A32" s="267"/>
      <c r="B32" s="197"/>
      <c r="C32" s="197"/>
      <c r="D32" s="197"/>
      <c r="E32" s="197"/>
      <c r="F32" s="197"/>
      <c r="G32" s="197"/>
      <c r="H32" s="197"/>
      <c r="I32" s="197"/>
      <c r="J32" s="200"/>
    </row>
    <row r="33" spans="1:18">
      <c r="A33" s="267"/>
      <c r="B33" s="621" t="s">
        <v>144</v>
      </c>
      <c r="C33" s="622"/>
      <c r="D33" s="203" t="e">
        <f>C30/'Fr-01'!H25</f>
        <v>#DIV/0!</v>
      </c>
      <c r="E33" s="205" t="s">
        <v>145</v>
      </c>
      <c r="F33" s="206" t="str">
        <f>F17</f>
        <v>ระบุหน่วย</v>
      </c>
      <c r="G33" s="197"/>
      <c r="H33" s="197"/>
      <c r="I33" s="197"/>
      <c r="J33" s="200"/>
    </row>
    <row r="34" spans="1:18">
      <c r="A34" s="267"/>
      <c r="B34" s="621" t="s">
        <v>146</v>
      </c>
      <c r="C34" s="622"/>
      <c r="D34" s="204" t="e">
        <f>C31/'Fr-01'!H25</f>
        <v>#DIV/0!</v>
      </c>
      <c r="E34" s="205" t="s">
        <v>145</v>
      </c>
      <c r="F34" s="206" t="str">
        <f>F18</f>
        <v>ระบุหน่วย</v>
      </c>
      <c r="G34" s="197"/>
      <c r="H34" s="197"/>
      <c r="I34" s="197"/>
      <c r="J34" s="200"/>
    </row>
    <row r="35" spans="1:18">
      <c r="A35" s="267"/>
      <c r="B35" s="268"/>
      <c r="C35" s="268"/>
      <c r="D35" s="268"/>
      <c r="E35" s="268"/>
      <c r="F35" s="268"/>
      <c r="G35" s="268"/>
      <c r="H35" s="268"/>
      <c r="I35" s="268"/>
      <c r="J35" s="269"/>
    </row>
    <row r="36" spans="1:18">
      <c r="A36" s="270"/>
      <c r="B36" s="271"/>
      <c r="C36" s="271"/>
      <c r="D36" s="271"/>
      <c r="E36" s="271"/>
      <c r="F36" s="271"/>
      <c r="G36" s="271"/>
      <c r="H36" s="271"/>
      <c r="I36" s="271"/>
      <c r="J36" s="272"/>
    </row>
    <row r="37" spans="1:18">
      <c r="A37" s="134" t="s">
        <v>33</v>
      </c>
      <c r="B37" s="604"/>
      <c r="C37" s="605"/>
      <c r="D37" s="605"/>
      <c r="E37" s="606"/>
      <c r="F37" s="607"/>
      <c r="G37" s="112" t="s">
        <v>34</v>
      </c>
      <c r="H37" s="608">
        <v>0</v>
      </c>
      <c r="I37" s="609"/>
      <c r="J37" s="610"/>
    </row>
  </sheetData>
  <mergeCells>
    <mergeCell ref="A6:A15"/>
    <mergeCell ref="F6:J15"/>
    <mergeCell ref="B17:C17"/>
    <mergeCell ref="B18:C18"/>
    <mergeCell ref="A1:A4"/>
    <mergeCell ref="C3:D3"/>
    <mergeCell ref="C4:D4"/>
    <mergeCell ref="I1:J2"/>
    <mergeCell ref="B1:H2"/>
    <mergeCell ref="F3:H3"/>
    <mergeCell ref="F4:H4"/>
    <mergeCell ref="D12:D13"/>
    <mergeCell ref="B37:F37"/>
    <mergeCell ref="H37:J37"/>
    <mergeCell ref="B6:B9"/>
    <mergeCell ref="C6:C9"/>
    <mergeCell ref="D6:D9"/>
    <mergeCell ref="E6:E9"/>
    <mergeCell ref="B22:B25"/>
    <mergeCell ref="C22:C25"/>
    <mergeCell ref="D22:D25"/>
    <mergeCell ref="E22:E25"/>
    <mergeCell ref="D28:D29"/>
    <mergeCell ref="B33:C33"/>
    <mergeCell ref="B34:C34"/>
    <mergeCell ref="G22:I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57"/>
  <sheetViews>
    <sheetView tabSelected="0" workbookViewId="0" showGridLines="true" showRowColHeaders="1">
      <selection activeCell="G11" sqref="G11"/>
    </sheetView>
  </sheetViews>
  <sheetFormatPr defaultRowHeight="14.4" defaultColWidth="9.140625" outlineLevelRow="0" outlineLevelCol="0"/>
  <cols>
    <col min="1" max="1" width="6.28515625" customWidth="true" style="137"/>
    <col min="2" max="2" width="34.42578125" customWidth="true" style="137"/>
    <col min="3" max="3" width="8" customWidth="true" style="137"/>
    <col min="4" max="4" width="14.28515625" customWidth="true" style="137"/>
    <col min="5" max="5" width="14.28515625" customWidth="true" style="137"/>
    <col min="6" max="6" width="14.28515625" customWidth="true" style="137"/>
    <col min="7" max="7" width="14.28515625" customWidth="true" style="137"/>
    <col min="8" max="8" width="50.85546875" customWidth="true" style="137"/>
    <col min="9" max="9" width="9.140625" style="137"/>
    <col min="10" max="10" width="9.140625" style="137"/>
    <col min="11" max="11" width="9.140625" style="137"/>
    <col min="12" max="12" width="9.140625" style="137"/>
    <col min="13" max="13" width="9.140625" style="137"/>
    <col min="14" max="14" width="9.140625" style="137"/>
    <col min="15" max="15" width="9.140625" style="137"/>
    <col min="16" max="16" width="63.7109375" customWidth="true" style="137"/>
    <col min="17" max="17" width="6.140625" customWidth="true" style="137"/>
    <col min="18" max="18" width="30.140625" customWidth="true" style="137"/>
    <col min="19" max="19" width="9.140625" style="137"/>
  </cols>
  <sheetData>
    <row r="2" spans="1:19" customHeight="1" ht="18">
      <c r="A2" s="644"/>
      <c r="B2" s="645" t="s">
        <v>148</v>
      </c>
      <c r="C2" s="644" t="s">
        <v>149</v>
      </c>
      <c r="D2" s="646" t="s">
        <v>150</v>
      </c>
      <c r="E2" s="647"/>
      <c r="F2" s="647"/>
      <c r="G2" s="647"/>
      <c r="H2" s="645" t="s">
        <v>151</v>
      </c>
      <c r="J2" s="582" t="s">
        <v>97</v>
      </c>
      <c r="K2" s="643"/>
      <c r="L2" s="583"/>
    </row>
    <row r="3" spans="1:19">
      <c r="A3" s="644"/>
      <c r="B3" s="645"/>
      <c r="C3" s="644"/>
      <c r="D3" s="161" t="s">
        <v>152</v>
      </c>
      <c r="E3" s="161" t="s">
        <v>153</v>
      </c>
      <c r="F3" s="161" t="s">
        <v>154</v>
      </c>
      <c r="G3" s="161" t="s">
        <v>155</v>
      </c>
      <c r="H3" s="645"/>
      <c r="J3" s="2" t="s">
        <v>87</v>
      </c>
      <c r="K3" s="136" t="s">
        <v>156</v>
      </c>
      <c r="L3" s="136" t="s">
        <v>101</v>
      </c>
    </row>
    <row r="4" spans="1:19">
      <c r="A4" s="644"/>
      <c r="B4" s="645"/>
      <c r="C4" s="644"/>
      <c r="D4" s="161" t="s">
        <v>157</v>
      </c>
      <c r="E4" s="161" t="s">
        <v>158</v>
      </c>
      <c r="F4" s="161" t="s">
        <v>159</v>
      </c>
      <c r="G4" s="161" t="s">
        <v>160</v>
      </c>
      <c r="H4" s="645"/>
      <c r="J4" s="2" t="s">
        <v>111</v>
      </c>
      <c r="K4" s="2">
        <v>1</v>
      </c>
      <c r="L4" s="2">
        <v>1</v>
      </c>
    </row>
    <row r="5" spans="1:19">
      <c r="A5" s="162" t="s">
        <v>161</v>
      </c>
      <c r="C5" s="163"/>
      <c r="D5" s="163"/>
      <c r="E5" s="163"/>
      <c r="F5" s="163"/>
      <c r="G5" s="163"/>
      <c r="H5" s="138"/>
      <c r="J5" s="2" t="s">
        <v>122</v>
      </c>
      <c r="K5" s="2">
        <v>25</v>
      </c>
      <c r="L5" s="2">
        <v>28</v>
      </c>
    </row>
    <row r="6" spans="1:19">
      <c r="A6" s="139"/>
      <c r="B6" s="140" t="s">
        <v>162</v>
      </c>
      <c r="C6" s="139" t="s">
        <v>163</v>
      </c>
      <c r="D6" s="164">
        <f>D48*$G$48*10^-6</f>
        <v>0.057222</v>
      </c>
      <c r="E6" s="164">
        <f>E48*$G$48*10^-6</f>
        <v>1.02E-6</v>
      </c>
      <c r="F6" s="164">
        <f>F48*$G$48*10^-6</f>
        <v>1.02E-7</v>
      </c>
      <c r="G6" s="165">
        <f>D6+(E6*$K$5)+(F6*$K$6)</f>
        <v>0.057277896</v>
      </c>
      <c r="H6" s="141" t="s">
        <v>164</v>
      </c>
      <c r="I6" s="173"/>
      <c r="J6" s="2" t="s">
        <v>123</v>
      </c>
      <c r="K6" s="2">
        <v>298</v>
      </c>
      <c r="L6" s="2">
        <v>265</v>
      </c>
      <c r="N6" s="174"/>
      <c r="O6" s="174"/>
    </row>
    <row r="7" spans="1:19">
      <c r="A7" s="139"/>
      <c r="B7" s="140" t="s">
        <v>162</v>
      </c>
      <c r="C7" s="139" t="s">
        <v>165</v>
      </c>
      <c r="D7" s="164">
        <f>D48/1000000</f>
        <v>0.0561</v>
      </c>
      <c r="E7" s="164">
        <f>E48/1000000</f>
        <v>1.0E-6</v>
      </c>
      <c r="F7" s="164">
        <f>F48/1000000</f>
        <v>1.0E-7</v>
      </c>
      <c r="G7" s="165">
        <f>D7+(E7*$K$5)+(F7*$K$6)</f>
        <v>0.0561548</v>
      </c>
      <c r="H7" s="141" t="s">
        <v>164</v>
      </c>
      <c r="I7" s="173"/>
      <c r="J7" s="2" t="s">
        <v>124</v>
      </c>
      <c r="K7" s="2">
        <v>22800</v>
      </c>
      <c r="L7" s="2">
        <v>23500</v>
      </c>
      <c r="N7" s="174"/>
      <c r="O7" s="174"/>
    </row>
    <row r="8" spans="1:19">
      <c r="A8" s="139"/>
      <c r="B8" s="140" t="s">
        <v>166</v>
      </c>
      <c r="C8" s="139" t="s">
        <v>167</v>
      </c>
      <c r="D8" s="164">
        <f>D49*$G$49*10^-6</f>
        <v>1.05747</v>
      </c>
      <c r="E8" s="164">
        <f>E49*$G$49*10^-6</f>
        <v>1.047E-5</v>
      </c>
      <c r="F8" s="164">
        <f>F49*$G$49*10^-6</f>
        <v>1.5705E-5</v>
      </c>
      <c r="G8" s="165">
        <f>D8+(E8*$K$5)+(F8*$K$6)</f>
        <v>1.06241184</v>
      </c>
      <c r="H8" s="141" t="s">
        <v>164</v>
      </c>
      <c r="I8" s="173"/>
      <c r="J8" s="2" t="s">
        <v>125</v>
      </c>
      <c r="K8" s="2">
        <v>17200</v>
      </c>
      <c r="L8" s="2">
        <v>16100</v>
      </c>
      <c r="N8" s="174"/>
      <c r="O8" s="174"/>
    </row>
    <row r="9" spans="1:19">
      <c r="A9" s="139"/>
      <c r="B9" s="140" t="s">
        <v>168</v>
      </c>
      <c r="C9" s="139" t="s">
        <v>169</v>
      </c>
      <c r="D9" s="164">
        <f>D50*$G$50*10^-6</f>
        <v>3.2096984443713</v>
      </c>
      <c r="E9" s="164">
        <f>E50*$G$50*10^-6</f>
        <v>0.0001244069164485</v>
      </c>
      <c r="F9" s="164">
        <f>F50*$G$50*10^-6</f>
        <v>2.48813832897E-5</v>
      </c>
      <c r="G9" s="165">
        <f>D9+(E9*$K$5)+(F9*$K$6)</f>
        <v>3.22022326950285</v>
      </c>
      <c r="H9" s="141" t="s">
        <v>170</v>
      </c>
      <c r="I9" s="173"/>
      <c r="J9" s="137" t="s">
        <v>171</v>
      </c>
      <c r="N9" s="174"/>
      <c r="O9" s="174"/>
    </row>
    <row r="10" spans="1:19">
      <c r="A10" s="139"/>
      <c r="B10" s="140" t="s">
        <v>172</v>
      </c>
      <c r="C10" s="139" t="s">
        <v>169</v>
      </c>
      <c r="D10" s="164">
        <f>D51*$G$51*10^-6</f>
        <v>3.23534010094254</v>
      </c>
      <c r="E10" s="164">
        <f>E51*$G$51*10^-6</f>
        <v>0.0001254007791063</v>
      </c>
      <c r="F10" s="164">
        <f>F51*$G$51*10^-6</f>
        <v>2.508015582126E-5</v>
      </c>
      <c r="G10" s="165">
        <f>D10+(E10*$K$5)+(F10*$K$6)</f>
        <v>3.24594900685493</v>
      </c>
      <c r="H10" s="141" t="s">
        <v>170</v>
      </c>
      <c r="I10" s="173"/>
      <c r="N10" s="174"/>
      <c r="O10" s="174"/>
    </row>
    <row r="11" spans="1:19">
      <c r="A11" s="139"/>
      <c r="B11" s="140" t="s">
        <v>173</v>
      </c>
      <c r="C11" s="139" t="s">
        <v>169</v>
      </c>
      <c r="D11" s="164">
        <f>D52*$G$52*10^-6</f>
        <v>2.698722</v>
      </c>
      <c r="E11" s="164">
        <f>E52*$G$52*10^-6</f>
        <v>0.00010926</v>
      </c>
      <c r="F11" s="164">
        <f>F52*$G$52*10^-6</f>
        <v>2.1852E-5</v>
      </c>
      <c r="G11" s="165">
        <f>D11+(E11*$K$5)+(F11*$K$6)</f>
        <v>2.707965396</v>
      </c>
      <c r="H11" s="141" t="s">
        <v>164</v>
      </c>
      <c r="I11" s="173"/>
      <c r="N11" s="174"/>
      <c r="O11" s="174"/>
    </row>
    <row r="12" spans="1:19">
      <c r="A12" s="139"/>
      <c r="B12" s="140" t="s">
        <v>174</v>
      </c>
      <c r="C12" s="139" t="s">
        <v>167</v>
      </c>
      <c r="D12" s="164">
        <f>D53*$G$53*10^-6</f>
        <v>3.08662</v>
      </c>
      <c r="E12" s="164">
        <f>E53*$G$53*10^-6</f>
        <v>3.14E-5</v>
      </c>
      <c r="F12" s="164">
        <f>F53*$G$53*10^-6</f>
        <v>4.71E-5</v>
      </c>
      <c r="G12" s="165">
        <f>D12+(E12*$K$5)+(F12*$K$6)</f>
        <v>3.1014408</v>
      </c>
      <c r="H12" s="141" t="s">
        <v>164</v>
      </c>
      <c r="I12" s="173"/>
      <c r="N12" s="174"/>
      <c r="O12" s="174"/>
    </row>
    <row r="13" spans="1:19">
      <c r="A13" s="139"/>
      <c r="B13" s="140" t="s">
        <v>175</v>
      </c>
      <c r="C13" s="139" t="s">
        <v>167</v>
      </c>
      <c r="D13" s="164">
        <f>D54*$G$54*10^-6</f>
        <v>2.534157</v>
      </c>
      <c r="E13" s="164">
        <f>E54*$G$54*10^-6</f>
        <v>2.637E-5</v>
      </c>
      <c r="F13" s="164">
        <f>F54*$G$54*10^-6</f>
        <v>3.9555E-5</v>
      </c>
      <c r="G13" s="165">
        <f>D13+(E13*$K$5)+(F13*$K$6)</f>
        <v>2.54660364</v>
      </c>
      <c r="H13" s="141" t="s">
        <v>164</v>
      </c>
      <c r="I13" s="173"/>
      <c r="N13" s="174"/>
      <c r="O13" s="174"/>
    </row>
    <row r="14" spans="1:19">
      <c r="A14" s="139"/>
      <c r="B14" s="140" t="s">
        <v>176</v>
      </c>
      <c r="C14" s="139" t="s">
        <v>169</v>
      </c>
      <c r="D14" s="164">
        <f>D55*$G$55*10^-6</f>
        <v>2.468895</v>
      </c>
      <c r="E14" s="164">
        <f>E55*$G$55*10^-6</f>
        <v>0.00010359</v>
      </c>
      <c r="F14" s="164">
        <f>F55*$G$55*10^-6</f>
        <v>2.0718E-5</v>
      </c>
      <c r="G14" s="165">
        <f>D14+(E14*$K$5)+(F14*$K$6)</f>
        <v>2.477658714</v>
      </c>
      <c r="H14" s="141" t="s">
        <v>164</v>
      </c>
      <c r="I14" s="173"/>
      <c r="N14" s="174"/>
      <c r="O14" s="174"/>
    </row>
    <row r="15" spans="1:19">
      <c r="A15" s="139"/>
      <c r="B15" s="140" t="s">
        <v>177</v>
      </c>
      <c r="C15" s="139" t="s">
        <v>169</v>
      </c>
      <c r="D15" s="164">
        <f>D56*$G$56*10^-6</f>
        <v>1.679722</v>
      </c>
      <c r="E15" s="164">
        <f>E56*$G$56*10^-6</f>
        <v>2.662E-5</v>
      </c>
      <c r="F15" s="164">
        <f>F56*$G$56*10^-6</f>
        <v>2.662E-6</v>
      </c>
      <c r="G15" s="165">
        <f>D15+(E15*$K$5)+(F15*$K$6)</f>
        <v>1.681180776</v>
      </c>
      <c r="H15" s="141" t="s">
        <v>164</v>
      </c>
      <c r="I15" s="173"/>
      <c r="N15" s="174"/>
      <c r="O15" s="174"/>
    </row>
    <row r="16" spans="1:19">
      <c r="A16" s="162"/>
      <c r="B16" s="140" t="s">
        <v>177</v>
      </c>
      <c r="C16" s="139" t="s">
        <v>167</v>
      </c>
      <c r="D16" s="164">
        <f>D15/0.54</f>
        <v>3.1105962962963</v>
      </c>
      <c r="E16" s="164">
        <f>E15/0.54</f>
        <v>4.9296296296296E-5</v>
      </c>
      <c r="F16" s="164">
        <f>F15/0.54</f>
        <v>4.9296296296296E-6</v>
      </c>
      <c r="G16" s="165">
        <f>D16+(E16*$K$5)+(F16*$K$6)</f>
        <v>3.11329773333333</v>
      </c>
      <c r="H16" s="141" t="s">
        <v>178</v>
      </c>
      <c r="I16" s="173"/>
      <c r="N16" s="174"/>
      <c r="O16" s="174"/>
    </row>
    <row r="17" spans="1:19">
      <c r="A17" s="162"/>
      <c r="B17" s="140" t="s">
        <v>179</v>
      </c>
      <c r="C17" s="139" t="s">
        <v>169</v>
      </c>
      <c r="D17" s="164">
        <f>D57*$G$57*10^-6</f>
        <v>2.181564</v>
      </c>
      <c r="E17" s="164">
        <f>E57*$G$57*10^-6</f>
        <v>9.444E-5</v>
      </c>
      <c r="F17" s="164">
        <f>F57*$G$57*10^-6</f>
        <v>1.8888E-5</v>
      </c>
      <c r="G17" s="165">
        <f>D17+(E17*$K$5)+(F17*$K$6)</f>
        <v>2.189553624</v>
      </c>
      <c r="H17" s="141" t="s">
        <v>164</v>
      </c>
      <c r="I17" s="173"/>
      <c r="N17" s="174"/>
      <c r="O17" s="174"/>
    </row>
    <row r="18" spans="1:19">
      <c r="A18" s="162"/>
      <c r="B18" s="140"/>
      <c r="C18" s="139"/>
      <c r="D18" s="164"/>
      <c r="E18" s="164"/>
      <c r="F18" s="164"/>
      <c r="G18" s="165"/>
      <c r="H18" s="141"/>
      <c r="I18" s="173"/>
      <c r="N18" s="174"/>
      <c r="O18" s="174"/>
    </row>
    <row r="19" spans="1:19">
      <c r="A19" s="162" t="s">
        <v>180</v>
      </c>
      <c r="B19" s="140"/>
      <c r="C19" s="139"/>
      <c r="D19" s="164"/>
      <c r="E19" s="164"/>
      <c r="F19" s="164"/>
      <c r="G19" s="165"/>
      <c r="H19" s="141"/>
      <c r="I19" s="173"/>
      <c r="N19" s="174"/>
      <c r="O19" s="174"/>
    </row>
    <row r="20" spans="1:19">
      <c r="A20" s="162"/>
      <c r="B20" s="140" t="s">
        <v>181</v>
      </c>
      <c r="C20" s="142" t="s">
        <v>169</v>
      </c>
      <c r="D20" s="164">
        <f>D63*$G$63*10^-6</f>
        <v>2.181564</v>
      </c>
      <c r="E20" s="164">
        <f>E63*$G$63*10^-6</f>
        <v>0.00103884</v>
      </c>
      <c r="F20" s="164">
        <f>F63*$G$63*10^-6</f>
        <v>0.000100736</v>
      </c>
      <c r="G20" s="165">
        <f>D20+(E20*$K$5)+(F20*$K$6)</f>
        <v>2.237554328</v>
      </c>
      <c r="H20" s="141" t="s">
        <v>182</v>
      </c>
      <c r="I20" s="173"/>
      <c r="N20" s="174"/>
      <c r="O20" s="174"/>
    </row>
    <row r="21" spans="1:19">
      <c r="A21" s="162"/>
      <c r="B21" s="140" t="s">
        <v>183</v>
      </c>
      <c r="C21" s="142" t="s">
        <v>169</v>
      </c>
      <c r="D21" s="164">
        <f>D64*$G$64*10^-6</f>
        <v>2.181564</v>
      </c>
      <c r="E21" s="164">
        <f>E64*$G$64*10^-6</f>
        <v>0.000787</v>
      </c>
      <c r="F21" s="164">
        <f>F64*$G$64*10^-6</f>
        <v>0.00025184</v>
      </c>
      <c r="G21" s="165">
        <f>D21+(E21*$K$5)+(F21*$K$6)</f>
        <v>2.27628732</v>
      </c>
      <c r="H21" s="141" t="s">
        <v>182</v>
      </c>
      <c r="I21" s="173"/>
      <c r="N21" s="174"/>
      <c r="O21" s="174"/>
    </row>
    <row r="22" spans="1:19">
      <c r="A22" s="162"/>
      <c r="B22" s="140" t="s">
        <v>184</v>
      </c>
      <c r="C22" s="142" t="s">
        <v>169</v>
      </c>
      <c r="D22" s="164">
        <f>D65*$G$65*10^-6</f>
        <v>2.181564</v>
      </c>
      <c r="E22" s="164">
        <f>E65*$G$65*10^-6</f>
        <v>0.000119624</v>
      </c>
      <c r="F22" s="164">
        <f>F65*$G$65*10^-6</f>
        <v>0.000179436</v>
      </c>
      <c r="G22" s="165">
        <f>D22+(E22*$K$5)+(F22*$K$6)</f>
        <v>2.238026528</v>
      </c>
      <c r="H22" s="141" t="s">
        <v>182</v>
      </c>
      <c r="I22" s="173"/>
      <c r="N22" s="174"/>
      <c r="O22" s="174"/>
    </row>
    <row r="23" spans="1:19">
      <c r="A23" s="162"/>
      <c r="B23" s="140" t="s">
        <v>185</v>
      </c>
      <c r="C23" s="142" t="s">
        <v>169</v>
      </c>
      <c r="D23" s="164">
        <f>D66*$G$66*10^-6</f>
        <v>2.698722</v>
      </c>
      <c r="E23" s="164">
        <f>E66*$G$66*10^-6</f>
        <v>0.000142038</v>
      </c>
      <c r="F23" s="164">
        <f>F66*$G$66*10^-6</f>
        <v>0.000142038</v>
      </c>
      <c r="G23" s="165">
        <f>D23+(E23*$K$5)+(F23*$K$6)</f>
        <v>2.744600274</v>
      </c>
      <c r="H23" s="141" t="s">
        <v>182</v>
      </c>
      <c r="I23" s="173"/>
      <c r="N23" s="174"/>
      <c r="O23" s="174"/>
    </row>
    <row r="24" spans="1:19">
      <c r="A24" s="162"/>
      <c r="B24" s="140" t="s">
        <v>186</v>
      </c>
      <c r="C24" s="142" t="s">
        <v>167</v>
      </c>
      <c r="D24" s="164">
        <f>D67*$G$67*10^-6</f>
        <v>2.12619</v>
      </c>
      <c r="E24" s="164">
        <f>E67*$G$67*10^-6</f>
        <v>0.0034868</v>
      </c>
      <c r="F24" s="164">
        <f>F67*$G$67*10^-6</f>
        <v>0.0001137</v>
      </c>
      <c r="G24" s="165">
        <f>D24+(E24*$K$5)+(F24*$K$6)</f>
        <v>2.2472426</v>
      </c>
      <c r="H24" s="141" t="s">
        <v>187</v>
      </c>
      <c r="I24" s="173"/>
      <c r="N24" s="174"/>
      <c r="O24" s="174"/>
    </row>
    <row r="25" spans="1:19">
      <c r="A25" s="162"/>
      <c r="B25" s="140" t="s">
        <v>188</v>
      </c>
      <c r="C25" s="142" t="s">
        <v>169</v>
      </c>
      <c r="D25" s="164">
        <f>D68*$G$68*10^-6</f>
        <v>1.679722</v>
      </c>
      <c r="E25" s="164">
        <f>E68*$G$68*10^-6</f>
        <v>0.00165044</v>
      </c>
      <c r="F25" s="164">
        <f>F68*$G$68*10^-6</f>
        <v>5.324E-6</v>
      </c>
      <c r="G25" s="165">
        <f>D25+(E25*$K$5)+(F25*$K$6)</f>
        <v>1.722569552</v>
      </c>
      <c r="H25" s="141" t="s">
        <v>182</v>
      </c>
      <c r="I25" s="173"/>
      <c r="N25" s="174"/>
      <c r="O25" s="174"/>
    </row>
    <row r="26" spans="1:19">
      <c r="A26" s="162"/>
      <c r="B26" s="140" t="s">
        <v>188</v>
      </c>
      <c r="C26" s="139" t="s">
        <v>167</v>
      </c>
      <c r="D26" s="164">
        <f>D25/0.54</f>
        <v>3.1105962962963</v>
      </c>
      <c r="E26" s="164">
        <f>E25/0.54</f>
        <v>0.0030563703703704</v>
      </c>
      <c r="F26" s="164">
        <f>F25/0.54</f>
        <v>9.8592592592593E-6</v>
      </c>
      <c r="G26" s="165">
        <f>D26+(E26*$K$5)+(F26*$K$6)</f>
        <v>3.18994361481481</v>
      </c>
      <c r="H26" s="141" t="s">
        <v>189</v>
      </c>
      <c r="I26" s="173"/>
      <c r="N26" s="174"/>
      <c r="O26" s="174"/>
    </row>
    <row r="27" spans="1:19">
      <c r="A27" s="162" t="s">
        <v>190</v>
      </c>
      <c r="B27" s="140"/>
      <c r="C27" s="139"/>
      <c r="D27" s="164"/>
      <c r="E27" s="164"/>
      <c r="F27" s="164"/>
      <c r="G27" s="165"/>
      <c r="H27" s="141"/>
      <c r="I27" s="173"/>
      <c r="N27" s="174"/>
      <c r="O27" s="174"/>
    </row>
    <row r="28" spans="1:19">
      <c r="A28" s="162"/>
      <c r="B28" s="143" t="s">
        <v>191</v>
      </c>
      <c r="C28" s="142"/>
      <c r="D28" s="164"/>
      <c r="E28" s="164"/>
      <c r="F28" s="164"/>
      <c r="G28" s="165"/>
      <c r="H28" s="141"/>
      <c r="I28" s="173"/>
      <c r="N28" s="174"/>
      <c r="O28" s="174"/>
    </row>
    <row r="29" spans="1:19">
      <c r="A29" s="162"/>
      <c r="B29" s="144" t="s">
        <v>192</v>
      </c>
      <c r="C29" s="142" t="s">
        <v>169</v>
      </c>
      <c r="D29" s="164">
        <f>D75*$G$75/(10^6)</f>
        <v>2.698722</v>
      </c>
      <c r="E29" s="164">
        <f>E75*$G$75/(10^6)</f>
        <v>0.000151143</v>
      </c>
      <c r="F29" s="164">
        <f>F75*$G$75/(10^6)</f>
        <v>0.001041612</v>
      </c>
      <c r="G29" s="165">
        <f>D29+(E29*$K$5)+(F29*$K$6)</f>
        <v>3.012900951</v>
      </c>
      <c r="H29" s="141" t="s">
        <v>193</v>
      </c>
      <c r="I29" s="173"/>
      <c r="N29" s="174"/>
      <c r="O29" s="174"/>
    </row>
    <row r="30" spans="1:19">
      <c r="A30" s="162"/>
      <c r="B30" s="144" t="s">
        <v>194</v>
      </c>
      <c r="C30" s="142" t="s">
        <v>169</v>
      </c>
      <c r="D30" s="164">
        <f>D76*$G$76/(10^6)</f>
        <v>2.698722</v>
      </c>
      <c r="E30" s="164">
        <f>E76*$G$76/(10^6)</f>
        <v>0.000151143</v>
      </c>
      <c r="F30" s="164">
        <f>F76*$G$76/(10^6)</f>
        <v>0.001041612</v>
      </c>
      <c r="G30" s="165">
        <f>D30+(E30*$K$5)+(F30*$K$6)</f>
        <v>3.012900951</v>
      </c>
      <c r="H30" s="141" t="s">
        <v>193</v>
      </c>
      <c r="I30" s="173"/>
      <c r="N30" s="174"/>
      <c r="O30" s="174"/>
    </row>
    <row r="31" spans="1:19">
      <c r="A31" s="162"/>
      <c r="B31" s="144" t="s">
        <v>195</v>
      </c>
      <c r="C31" s="142" t="s">
        <v>169</v>
      </c>
      <c r="D31" s="164">
        <f>D77*$G$77/(10^6)</f>
        <v>2.698722</v>
      </c>
      <c r="E31" s="164">
        <f>E77*$G$77/(10^6)</f>
        <v>0.000151143</v>
      </c>
      <c r="F31" s="164">
        <f>F77*$G$77/(10^6)</f>
        <v>0.001041612</v>
      </c>
      <c r="G31" s="165">
        <f>D31+(E31*$K$5)+(F31*$K$6)</f>
        <v>3.012900951</v>
      </c>
      <c r="H31" s="141" t="s">
        <v>193</v>
      </c>
      <c r="I31" s="173"/>
      <c r="N31" s="174"/>
      <c r="O31" s="174"/>
    </row>
    <row r="32" spans="1:19">
      <c r="A32" s="162"/>
      <c r="B32" s="144" t="s">
        <v>196</v>
      </c>
      <c r="C32" s="142" t="s">
        <v>169</v>
      </c>
      <c r="D32" s="164">
        <f>D78*$G$78/(10^6)</f>
        <v>2.698722</v>
      </c>
      <c r="E32" s="164">
        <f>E78*$G$78/(10^6)</f>
        <v>0.000151143</v>
      </c>
      <c r="F32" s="164">
        <f>F78*$G$78/(10^6)</f>
        <v>0.001041612</v>
      </c>
      <c r="G32" s="165">
        <f>D32+(E32*$K$5)+(F32*$K$6)</f>
        <v>3.012900951</v>
      </c>
      <c r="H32" s="141" t="s">
        <v>193</v>
      </c>
      <c r="I32" s="173"/>
      <c r="N32" s="174"/>
      <c r="O32" s="174"/>
    </row>
    <row r="33" spans="1:19">
      <c r="A33" s="162"/>
      <c r="B33" s="143" t="s">
        <v>197</v>
      </c>
      <c r="C33" s="142"/>
      <c r="D33" s="164"/>
      <c r="E33" s="164"/>
      <c r="F33" s="164"/>
      <c r="G33" s="165"/>
      <c r="H33" s="141"/>
      <c r="I33" s="173"/>
      <c r="N33" s="174"/>
      <c r="O33" s="174"/>
    </row>
    <row r="34" spans="1:19">
      <c r="A34" s="162"/>
      <c r="B34" s="144" t="s">
        <v>192</v>
      </c>
      <c r="C34" s="142" t="s">
        <v>169</v>
      </c>
      <c r="D34" s="164">
        <f>D80*$G$80/(10^6)</f>
        <v>2.181564</v>
      </c>
      <c r="E34" s="164">
        <f>E80*$G$80/(10^6)</f>
        <v>0.0025184</v>
      </c>
      <c r="F34" s="164">
        <f>F80*$G$80/(10^6)</f>
        <v>6.296E-5</v>
      </c>
      <c r="G34" s="165">
        <f>D34+(E34*$K$5)+(F34*$K$6)</f>
        <v>2.26328608</v>
      </c>
      <c r="H34" s="141" t="s">
        <v>193</v>
      </c>
      <c r="I34" s="173"/>
      <c r="N34" s="174"/>
      <c r="O34" s="174"/>
    </row>
    <row r="35" spans="1:19">
      <c r="A35" s="138"/>
      <c r="B35" s="144" t="s">
        <v>194</v>
      </c>
      <c r="C35" s="142" t="s">
        <v>169</v>
      </c>
      <c r="D35" s="164">
        <f>D81*$G$81/(10^6)</f>
        <v>2.181564</v>
      </c>
      <c r="E35" s="164">
        <f>E81*$G$81/(10^6)</f>
        <v>0</v>
      </c>
      <c r="F35" s="164">
        <f>F81*$G$81/(10^6)</f>
        <v>0</v>
      </c>
      <c r="G35" s="165">
        <f>D35+(E35*$K$5)+(F35*$K$6)</f>
        <v>2.181564</v>
      </c>
      <c r="H35" s="141" t="s">
        <v>193</v>
      </c>
      <c r="I35" s="173"/>
      <c r="N35" s="174"/>
      <c r="O35" s="174"/>
    </row>
    <row r="36" spans="1:19">
      <c r="A36" s="138"/>
      <c r="B36" s="144" t="s">
        <v>195</v>
      </c>
      <c r="C36" s="142" t="s">
        <v>169</v>
      </c>
      <c r="D36" s="164">
        <f>D82*$G$82/(10^6)</f>
        <v>2.181564</v>
      </c>
      <c r="E36" s="164">
        <f>E82*$G$82/(10^6)</f>
        <v>0.001574</v>
      </c>
      <c r="F36" s="164">
        <f>F82*$G$82/(10^6)</f>
        <v>6.296E-5</v>
      </c>
      <c r="G36" s="165">
        <f>D36+(E36*$K$5)+(F36*$K$6)</f>
        <v>2.23967608</v>
      </c>
      <c r="H36" s="141" t="s">
        <v>193</v>
      </c>
      <c r="I36" s="173"/>
      <c r="N36" s="174"/>
      <c r="O36" s="174"/>
    </row>
    <row r="37" spans="1:19">
      <c r="A37" s="138"/>
      <c r="B37" s="144" t="s">
        <v>196</v>
      </c>
      <c r="C37" s="142" t="s">
        <v>169</v>
      </c>
      <c r="D37" s="164">
        <f>D83*$G$83/(10^6)</f>
        <v>2.181564</v>
      </c>
      <c r="E37" s="164">
        <f>E83*$G$83/(10^6)</f>
        <v>0.0037776</v>
      </c>
      <c r="F37" s="164">
        <f>F83*$G$83/(10^6)</f>
        <v>6.296E-5</v>
      </c>
      <c r="G37" s="165">
        <f>D37+(E37*$K$5)+(F37*$K$6)</f>
        <v>2.29476608</v>
      </c>
      <c r="H37" s="141" t="s">
        <v>193</v>
      </c>
      <c r="I37" s="173"/>
      <c r="N37" s="174"/>
      <c r="O37" s="174"/>
    </row>
    <row r="38" spans="1:19">
      <c r="A38" s="162"/>
      <c r="B38" s="143" t="s">
        <v>198</v>
      </c>
      <c r="C38" s="142"/>
      <c r="D38" s="164"/>
      <c r="E38" s="164"/>
      <c r="F38" s="164"/>
      <c r="G38" s="165"/>
      <c r="H38" s="141"/>
      <c r="I38" s="173"/>
      <c r="N38" s="174"/>
      <c r="O38" s="174"/>
    </row>
    <row r="39" spans="1:19">
      <c r="A39" s="162"/>
      <c r="B39" s="144" t="s">
        <v>192</v>
      </c>
      <c r="C39" s="142" t="s">
        <v>169</v>
      </c>
      <c r="D39" s="164">
        <f>D85*$G$85/(10^6)</f>
        <v>2.181564</v>
      </c>
      <c r="E39" s="164">
        <f>E85*$G$85/(10^6)</f>
        <v>0.0044072</v>
      </c>
      <c r="F39" s="164">
        <f>F85*$G$85/(10^6)</f>
        <v>1.2592E-5</v>
      </c>
      <c r="G39" s="165">
        <f>D39+(E39*$K$5)+(F39*$K$6)</f>
        <v>2.295496416</v>
      </c>
      <c r="H39" s="141" t="s">
        <v>193</v>
      </c>
      <c r="I39" s="173"/>
      <c r="N39" s="174"/>
      <c r="O39" s="174"/>
    </row>
    <row r="40" spans="1:19">
      <c r="A40" s="138"/>
      <c r="B40" s="144" t="s">
        <v>194</v>
      </c>
      <c r="C40" s="142" t="s">
        <v>169</v>
      </c>
      <c r="D40" s="164">
        <f>D86*$G$86/(10^6)</f>
        <v>2.181564</v>
      </c>
      <c r="E40" s="164">
        <f>E86*$G$86/(10^6)</f>
        <v>0.0053516</v>
      </c>
      <c r="F40" s="164">
        <f>F86*$G$86/(10^6)</f>
        <v>1.2592E-5</v>
      </c>
      <c r="G40" s="165">
        <f>D40+(E40*$K$5)+(F40*$K$6)</f>
        <v>2.319106416</v>
      </c>
      <c r="H40" s="141" t="s">
        <v>193</v>
      </c>
      <c r="I40" s="173"/>
      <c r="N40" s="174"/>
      <c r="O40" s="174"/>
    </row>
    <row r="41" spans="1:19">
      <c r="A41" s="138"/>
      <c r="B41" s="144" t="s">
        <v>195</v>
      </c>
      <c r="C41" s="142" t="s">
        <v>169</v>
      </c>
      <c r="D41" s="164">
        <f>D87*$G$87/(10^6)</f>
        <v>2.181564</v>
      </c>
      <c r="E41" s="164">
        <f>E87*$G$87/(10^6)</f>
        <v>0.0040924</v>
      </c>
      <c r="F41" s="164">
        <f>F87*$G$87/(10^6)</f>
        <v>1.2592E-5</v>
      </c>
      <c r="G41" s="165">
        <f>D41+(E41*$K$5)+(F41*$K$6)</f>
        <v>2.287626416</v>
      </c>
      <c r="H41" s="141" t="s">
        <v>193</v>
      </c>
      <c r="I41" s="173"/>
      <c r="N41" s="174"/>
      <c r="O41" s="174"/>
    </row>
    <row r="42" spans="1:19">
      <c r="A42" s="138"/>
      <c r="B42" s="144" t="s">
        <v>196</v>
      </c>
      <c r="C42" s="142" t="s">
        <v>169</v>
      </c>
      <c r="D42" s="164">
        <f>D88*$G$88/(10^6)</f>
        <v>2.181564</v>
      </c>
      <c r="E42" s="164">
        <f>E88*$G$88/(10^6)</f>
        <v>0.0056664</v>
      </c>
      <c r="F42" s="164">
        <f>F88*$G$88/(10^6)</f>
        <v>1.2592E-5</v>
      </c>
      <c r="G42" s="165">
        <f>D42+(E42*$K$5)+(F42*$K$6)</f>
        <v>2.326976416</v>
      </c>
      <c r="H42" s="141" t="s">
        <v>193</v>
      </c>
      <c r="I42" s="173"/>
      <c r="N42" s="174"/>
      <c r="O42" s="174"/>
    </row>
    <row r="43" spans="1:19">
      <c r="B43" s="166"/>
      <c r="C43" s="166"/>
      <c r="D43" s="167"/>
      <c r="E43" s="167"/>
      <c r="F43" s="167"/>
      <c r="G43" s="147"/>
    </row>
    <row r="44" spans="1:19" s="146" customFormat="1">
      <c r="A44" s="145" t="s">
        <v>161</v>
      </c>
      <c r="B44" s="168"/>
      <c r="C44" s="168"/>
      <c r="D44" s="169"/>
      <c r="E44" s="170"/>
      <c r="F44" s="169"/>
      <c r="G44" s="171"/>
    </row>
    <row r="45" spans="1:19">
      <c r="D45" s="147"/>
      <c r="E45" s="148" t="s">
        <v>199</v>
      </c>
      <c r="F45" s="148"/>
      <c r="G45" s="148" t="s">
        <v>200</v>
      </c>
    </row>
    <row r="46" spans="1:19" customHeight="1" ht="14.25">
      <c r="B46" s="140"/>
      <c r="C46" s="139"/>
      <c r="D46" s="638" t="s">
        <v>201</v>
      </c>
      <c r="E46" s="638"/>
      <c r="F46" s="638"/>
      <c r="G46" s="149" t="s">
        <v>202</v>
      </c>
    </row>
    <row r="47" spans="1:19">
      <c r="B47" s="140"/>
      <c r="C47" s="139" t="s">
        <v>203</v>
      </c>
      <c r="D47" s="160" t="s">
        <v>111</v>
      </c>
      <c r="E47" s="139" t="s">
        <v>122</v>
      </c>
      <c r="F47" s="139" t="s">
        <v>123</v>
      </c>
      <c r="G47" s="149" t="s">
        <v>204</v>
      </c>
    </row>
    <row r="48" spans="1:19">
      <c r="B48" s="140" t="s">
        <v>162</v>
      </c>
      <c r="C48" s="139" t="s">
        <v>163</v>
      </c>
      <c r="D48" s="150">
        <v>56100</v>
      </c>
      <c r="E48" s="139">
        <v>1</v>
      </c>
      <c r="F48" s="139">
        <v>0.1</v>
      </c>
      <c r="G48" s="151">
        <v>1.02</v>
      </c>
      <c r="H48" s="137" t="s">
        <v>205</v>
      </c>
    </row>
    <row r="49" spans="1:19">
      <c r="B49" s="140" t="s">
        <v>166</v>
      </c>
      <c r="C49" s="139" t="s">
        <v>167</v>
      </c>
      <c r="D49" s="150">
        <v>101000</v>
      </c>
      <c r="E49" s="139">
        <v>1</v>
      </c>
      <c r="F49" s="139">
        <v>1.5</v>
      </c>
      <c r="G49" s="151">
        <v>10.47</v>
      </c>
    </row>
    <row r="50" spans="1:19">
      <c r="B50" s="140" t="s">
        <v>168</v>
      </c>
      <c r="C50" s="139" t="s">
        <v>169</v>
      </c>
      <c r="D50" s="150">
        <v>77400</v>
      </c>
      <c r="E50" s="139">
        <v>3</v>
      </c>
      <c r="F50" s="139">
        <v>0.6</v>
      </c>
      <c r="G50" s="176">
        <v>41.46897214950003</v>
      </c>
      <c r="H50" s="137" t="s">
        <v>206</v>
      </c>
    </row>
    <row r="51" spans="1:19">
      <c r="B51" s="140" t="s">
        <v>172</v>
      </c>
      <c r="C51" s="139" t="s">
        <v>169</v>
      </c>
      <c r="D51" s="150">
        <v>77400</v>
      </c>
      <c r="E51" s="139">
        <v>3</v>
      </c>
      <c r="F51" s="139">
        <v>0.6</v>
      </c>
      <c r="G51" s="176">
        <v>41.80025970210002</v>
      </c>
      <c r="H51" s="137" t="s">
        <v>206</v>
      </c>
    </row>
    <row r="52" spans="1:19">
      <c r="B52" s="140" t="s">
        <v>173</v>
      </c>
      <c r="C52" s="139" t="s">
        <v>169</v>
      </c>
      <c r="D52" s="150">
        <v>74100</v>
      </c>
      <c r="E52" s="139">
        <v>3</v>
      </c>
      <c r="F52" s="139">
        <v>0.6</v>
      </c>
      <c r="G52" s="151">
        <v>36.42</v>
      </c>
    </row>
    <row r="53" spans="1:19">
      <c r="B53" s="140" t="s">
        <v>174</v>
      </c>
      <c r="C53" s="139" t="s">
        <v>167</v>
      </c>
      <c r="D53" s="150">
        <v>98300</v>
      </c>
      <c r="E53" s="139">
        <v>1</v>
      </c>
      <c r="F53" s="139">
        <v>1.5</v>
      </c>
      <c r="G53" s="151">
        <v>31.4</v>
      </c>
    </row>
    <row r="54" spans="1:19">
      <c r="B54" s="140" t="s">
        <v>175</v>
      </c>
      <c r="C54" s="139" t="s">
        <v>167</v>
      </c>
      <c r="D54" s="150">
        <v>96100</v>
      </c>
      <c r="E54" s="139">
        <v>1</v>
      </c>
      <c r="F54" s="139">
        <v>1.5</v>
      </c>
      <c r="G54" s="151">
        <v>26.37</v>
      </c>
    </row>
    <row r="55" spans="1:19">
      <c r="B55" s="140" t="s">
        <v>176</v>
      </c>
      <c r="C55" s="139" t="s">
        <v>169</v>
      </c>
      <c r="D55" s="150">
        <v>71500</v>
      </c>
      <c r="E55" s="139">
        <v>3</v>
      </c>
      <c r="F55" s="139">
        <v>0.6</v>
      </c>
      <c r="G55" s="151">
        <v>34.53</v>
      </c>
    </row>
    <row r="56" spans="1:19">
      <c r="B56" s="140" t="s">
        <v>177</v>
      </c>
      <c r="C56" s="139" t="s">
        <v>169</v>
      </c>
      <c r="D56" s="150">
        <v>63100</v>
      </c>
      <c r="E56" s="139">
        <v>1</v>
      </c>
      <c r="F56" s="139">
        <v>0.1</v>
      </c>
      <c r="G56" s="151">
        <v>26.62</v>
      </c>
    </row>
    <row r="57" spans="1:19">
      <c r="B57" s="140" t="s">
        <v>179</v>
      </c>
      <c r="C57" s="139" t="s">
        <v>169</v>
      </c>
      <c r="D57" s="150">
        <v>69300</v>
      </c>
      <c r="E57" s="139">
        <v>3</v>
      </c>
      <c r="F57" s="139">
        <v>0.6</v>
      </c>
      <c r="G57" s="151">
        <f>G63</f>
        <v>31.48</v>
      </c>
    </row>
    <row r="58" spans="1:19">
      <c r="D58" s="147"/>
      <c r="E58" s="147"/>
      <c r="F58" s="147"/>
      <c r="G58" s="152"/>
    </row>
    <row r="59" spans="1:19" s="146" customFormat="1">
      <c r="A59" s="145" t="s">
        <v>180</v>
      </c>
      <c r="B59" s="168"/>
      <c r="C59" s="168"/>
      <c r="D59" s="169"/>
      <c r="E59" s="170"/>
      <c r="F59" s="169"/>
      <c r="G59" s="171"/>
    </row>
    <row r="60" spans="1:19">
      <c r="D60" s="639" t="s">
        <v>199</v>
      </c>
      <c r="E60" s="639"/>
      <c r="F60" s="639"/>
      <c r="G60" s="148" t="s">
        <v>200</v>
      </c>
    </row>
    <row r="61" spans="1:19">
      <c r="B61" s="140"/>
      <c r="C61" s="138"/>
      <c r="D61" s="640" t="s">
        <v>201</v>
      </c>
      <c r="E61" s="641"/>
      <c r="F61" s="642"/>
      <c r="G61" s="149" t="s">
        <v>202</v>
      </c>
    </row>
    <row r="62" spans="1:19">
      <c r="B62" s="140"/>
      <c r="C62" s="142" t="s">
        <v>203</v>
      </c>
      <c r="D62" s="139" t="s">
        <v>111</v>
      </c>
      <c r="E62" s="160" t="s">
        <v>122</v>
      </c>
      <c r="F62" s="139" t="s">
        <v>123</v>
      </c>
      <c r="G62" s="149" t="s">
        <v>204</v>
      </c>
    </row>
    <row r="63" spans="1:19">
      <c r="B63" s="140" t="s">
        <v>181</v>
      </c>
      <c r="C63" s="142" t="s">
        <v>169</v>
      </c>
      <c r="D63" s="139">
        <v>69300</v>
      </c>
      <c r="E63" s="150">
        <v>33</v>
      </c>
      <c r="F63" s="139">
        <v>3.2</v>
      </c>
      <c r="G63" s="151">
        <v>31.48</v>
      </c>
      <c r="H63" s="137" t="s">
        <v>207</v>
      </c>
    </row>
    <row r="64" spans="1:19">
      <c r="B64" s="140" t="s">
        <v>208</v>
      </c>
      <c r="C64" s="142" t="s">
        <v>169</v>
      </c>
      <c r="D64" s="139">
        <v>69300</v>
      </c>
      <c r="E64" s="150">
        <v>25</v>
      </c>
      <c r="F64" s="139">
        <v>8</v>
      </c>
      <c r="G64" s="151">
        <v>31.48</v>
      </c>
    </row>
    <row r="65" spans="1:19">
      <c r="B65" s="140" t="s">
        <v>184</v>
      </c>
      <c r="C65" s="142" t="s">
        <v>169</v>
      </c>
      <c r="D65" s="139">
        <v>69300</v>
      </c>
      <c r="E65" s="150">
        <v>3.8</v>
      </c>
      <c r="F65" s="139">
        <v>5.7</v>
      </c>
      <c r="G65" s="151">
        <v>31.48</v>
      </c>
    </row>
    <row r="66" spans="1:19">
      <c r="B66" s="140" t="s">
        <v>185</v>
      </c>
      <c r="C66" s="142" t="s">
        <v>169</v>
      </c>
      <c r="D66" s="139">
        <v>74100</v>
      </c>
      <c r="E66" s="150">
        <v>3.9</v>
      </c>
      <c r="F66" s="139">
        <v>3.9</v>
      </c>
      <c r="G66" s="151">
        <f>G52</f>
        <v>36.42</v>
      </c>
    </row>
    <row r="67" spans="1:19">
      <c r="B67" s="140" t="s">
        <v>186</v>
      </c>
      <c r="C67" s="142" t="s">
        <v>167</v>
      </c>
      <c r="D67" s="139">
        <v>56100</v>
      </c>
      <c r="E67" s="150">
        <v>92</v>
      </c>
      <c r="F67" s="139">
        <v>3</v>
      </c>
      <c r="G67" s="151">
        <v>37.9</v>
      </c>
      <c r="H67" s="137" t="s">
        <v>206</v>
      </c>
    </row>
    <row r="68" spans="1:19">
      <c r="B68" s="140" t="s">
        <v>188</v>
      </c>
      <c r="C68" s="142" t="s">
        <v>169</v>
      </c>
      <c r="D68" s="139">
        <v>63100</v>
      </c>
      <c r="E68" s="150">
        <v>62</v>
      </c>
      <c r="F68" s="139">
        <v>0.2</v>
      </c>
      <c r="G68" s="151">
        <f>G56</f>
        <v>26.62</v>
      </c>
    </row>
    <row r="69" spans="1:19">
      <c r="D69" s="147"/>
      <c r="E69" s="147"/>
      <c r="F69" s="147"/>
      <c r="G69" s="147"/>
    </row>
    <row r="70" spans="1:19" s="146" customFormat="1">
      <c r="A70" s="145" t="s">
        <v>209</v>
      </c>
      <c r="B70" s="168"/>
      <c r="C70" s="168"/>
      <c r="D70" s="169"/>
      <c r="E70" s="170"/>
      <c r="F70" s="169"/>
      <c r="G70" s="171"/>
    </row>
    <row r="71" spans="1:19">
      <c r="D71" s="639" t="s">
        <v>199</v>
      </c>
      <c r="E71" s="639"/>
      <c r="F71" s="639"/>
      <c r="G71" s="148" t="s">
        <v>200</v>
      </c>
    </row>
    <row r="72" spans="1:19">
      <c r="B72" s="140"/>
      <c r="C72" s="138"/>
      <c r="D72" s="640" t="s">
        <v>201</v>
      </c>
      <c r="E72" s="641"/>
      <c r="F72" s="642"/>
      <c r="G72" s="149" t="s">
        <v>202</v>
      </c>
    </row>
    <row r="73" spans="1:19">
      <c r="B73" s="140"/>
      <c r="C73" s="142" t="s">
        <v>203</v>
      </c>
      <c r="D73" s="139" t="s">
        <v>111</v>
      </c>
      <c r="E73" s="160" t="s">
        <v>122</v>
      </c>
      <c r="F73" s="139" t="s">
        <v>123</v>
      </c>
      <c r="G73" s="149" t="s">
        <v>204</v>
      </c>
    </row>
    <row r="74" spans="1:19">
      <c r="B74" s="143" t="s">
        <v>191</v>
      </c>
      <c r="C74" s="142"/>
      <c r="D74" s="139"/>
      <c r="E74" s="150"/>
      <c r="F74" s="139"/>
      <c r="G74" s="151"/>
    </row>
    <row r="75" spans="1:19">
      <c r="B75" s="144" t="s">
        <v>192</v>
      </c>
      <c r="C75" s="142" t="s">
        <v>169</v>
      </c>
      <c r="D75" s="139">
        <v>74100</v>
      </c>
      <c r="E75" s="150">
        <v>4.15</v>
      </c>
      <c r="F75" s="139">
        <v>28.6</v>
      </c>
      <c r="G75" s="151">
        <v>36.42</v>
      </c>
    </row>
    <row r="76" spans="1:19">
      <c r="B76" s="144" t="s">
        <v>194</v>
      </c>
      <c r="C76" s="142" t="s">
        <v>169</v>
      </c>
      <c r="D76" s="139">
        <v>74100</v>
      </c>
      <c r="E76" s="150">
        <v>4.15</v>
      </c>
      <c r="F76" s="139">
        <v>28.6</v>
      </c>
      <c r="G76" s="151">
        <v>36.42</v>
      </c>
    </row>
    <row r="77" spans="1:19">
      <c r="B77" s="144" t="s">
        <v>195</v>
      </c>
      <c r="C77" s="142" t="s">
        <v>169</v>
      </c>
      <c r="D77" s="139">
        <v>74100</v>
      </c>
      <c r="E77" s="150">
        <v>4.15</v>
      </c>
      <c r="F77" s="139">
        <v>28.6</v>
      </c>
      <c r="G77" s="151">
        <v>36.42</v>
      </c>
    </row>
    <row r="78" spans="1:19">
      <c r="B78" s="144" t="s">
        <v>196</v>
      </c>
      <c r="C78" s="142" t="s">
        <v>169</v>
      </c>
      <c r="D78" s="139">
        <v>74100</v>
      </c>
      <c r="E78" s="150">
        <v>4.15</v>
      </c>
      <c r="F78" s="139">
        <v>28.6</v>
      </c>
      <c r="G78" s="151">
        <v>36.42</v>
      </c>
    </row>
    <row r="79" spans="1:19">
      <c r="B79" s="143" t="s">
        <v>197</v>
      </c>
      <c r="C79" s="142"/>
      <c r="D79" s="139"/>
      <c r="E79" s="150"/>
      <c r="F79" s="139"/>
      <c r="G79" s="151"/>
    </row>
    <row r="80" spans="1:19">
      <c r="B80" s="144" t="s">
        <v>192</v>
      </c>
      <c r="C80" s="142" t="s">
        <v>169</v>
      </c>
      <c r="D80" s="151">
        <v>69300</v>
      </c>
      <c r="E80" s="151">
        <v>80</v>
      </c>
      <c r="F80" s="151">
        <v>2</v>
      </c>
      <c r="G80" s="151">
        <v>31.48</v>
      </c>
    </row>
    <row r="81" spans="1:19">
      <c r="B81" s="144" t="s">
        <v>194</v>
      </c>
      <c r="C81" s="142" t="s">
        <v>169</v>
      </c>
      <c r="D81" s="151">
        <v>69300</v>
      </c>
      <c r="E81" s="151"/>
      <c r="F81" s="151"/>
      <c r="G81" s="151">
        <v>31.48</v>
      </c>
    </row>
    <row r="82" spans="1:19">
      <c r="B82" s="144" t="s">
        <v>195</v>
      </c>
      <c r="C82" s="142" t="s">
        <v>169</v>
      </c>
      <c r="D82" s="151">
        <v>69300</v>
      </c>
      <c r="E82" s="151">
        <v>50</v>
      </c>
      <c r="F82" s="151">
        <v>2</v>
      </c>
      <c r="G82" s="151">
        <v>31.48</v>
      </c>
    </row>
    <row r="83" spans="1:19">
      <c r="B83" s="144" t="s">
        <v>196</v>
      </c>
      <c r="C83" s="142" t="s">
        <v>169</v>
      </c>
      <c r="D83" s="151">
        <v>69300</v>
      </c>
      <c r="E83" s="151">
        <v>120</v>
      </c>
      <c r="F83" s="151">
        <v>2</v>
      </c>
      <c r="G83" s="151">
        <v>31.48</v>
      </c>
    </row>
    <row r="84" spans="1:19">
      <c r="B84" s="143" t="s">
        <v>198</v>
      </c>
      <c r="C84" s="138"/>
      <c r="D84" s="153"/>
      <c r="E84" s="153"/>
      <c r="F84" s="153"/>
      <c r="G84" s="153"/>
    </row>
    <row r="85" spans="1:19">
      <c r="B85" s="144" t="s">
        <v>192</v>
      </c>
      <c r="C85" s="142" t="s">
        <v>169</v>
      </c>
      <c r="D85" s="151">
        <v>69300</v>
      </c>
      <c r="E85" s="151">
        <v>140</v>
      </c>
      <c r="F85" s="151">
        <v>0.4</v>
      </c>
      <c r="G85" s="151">
        <v>31.48</v>
      </c>
    </row>
    <row r="86" spans="1:19">
      <c r="B86" s="144" t="s">
        <v>194</v>
      </c>
      <c r="C86" s="142" t="s">
        <v>169</v>
      </c>
      <c r="D86" s="151">
        <v>69300</v>
      </c>
      <c r="E86" s="151">
        <v>170</v>
      </c>
      <c r="F86" s="151">
        <v>0.4</v>
      </c>
      <c r="G86" s="151">
        <v>31.48</v>
      </c>
    </row>
    <row r="87" spans="1:19">
      <c r="B87" s="144" t="s">
        <v>195</v>
      </c>
      <c r="C87" s="142" t="s">
        <v>169</v>
      </c>
      <c r="D87" s="151">
        <v>69300</v>
      </c>
      <c r="E87" s="151">
        <v>130</v>
      </c>
      <c r="F87" s="151">
        <v>0.4</v>
      </c>
      <c r="G87" s="151">
        <v>31.48</v>
      </c>
    </row>
    <row r="88" spans="1:19">
      <c r="B88" s="144" t="s">
        <v>196</v>
      </c>
      <c r="C88" s="142" t="s">
        <v>169</v>
      </c>
      <c r="D88" s="151">
        <v>69300</v>
      </c>
      <c r="E88" s="151">
        <v>180</v>
      </c>
      <c r="F88" s="151">
        <v>0.4</v>
      </c>
      <c r="G88" s="151">
        <v>31.48</v>
      </c>
    </row>
    <row r="89" spans="1:19">
      <c r="D89" s="147"/>
      <c r="E89" s="147"/>
      <c r="F89" s="147"/>
      <c r="G89" s="147"/>
    </row>
    <row r="90" spans="1:19">
      <c r="D90" s="147"/>
      <c r="E90" s="147"/>
      <c r="F90" s="147"/>
      <c r="G90" s="147"/>
    </row>
    <row r="91" spans="1:19">
      <c r="D91" s="147"/>
      <c r="E91" s="147"/>
      <c r="F91" s="147"/>
      <c r="G91" s="147"/>
    </row>
    <row r="92" spans="1:19">
      <c r="D92" s="147"/>
      <c r="E92" s="147"/>
      <c r="F92" s="147"/>
      <c r="G92" s="147"/>
    </row>
    <row r="93" spans="1:19">
      <c r="D93" s="147"/>
      <c r="E93" s="147"/>
      <c r="F93" s="147"/>
      <c r="G93" s="147"/>
    </row>
    <row r="94" spans="1:19">
      <c r="D94" s="147"/>
      <c r="E94" s="147"/>
      <c r="F94" s="147"/>
      <c r="G94" s="147"/>
    </row>
    <row r="95" spans="1:19">
      <c r="D95" s="147"/>
      <c r="E95" s="147"/>
      <c r="F95" s="147"/>
      <c r="G95" s="147"/>
    </row>
    <row r="96" spans="1:19">
      <c r="D96" s="147"/>
      <c r="E96" s="147"/>
      <c r="F96" s="147"/>
      <c r="G96" s="147"/>
    </row>
    <row r="97" spans="1:19">
      <c r="D97" s="147"/>
      <c r="E97" s="147"/>
      <c r="F97" s="147"/>
      <c r="G97" s="147"/>
    </row>
    <row r="98" spans="1:19">
      <c r="D98" s="147"/>
      <c r="E98" s="147"/>
      <c r="F98" s="147"/>
      <c r="G98" s="147"/>
    </row>
    <row r="99" spans="1:19">
      <c r="D99" s="147"/>
      <c r="E99" s="147"/>
      <c r="F99" s="147"/>
      <c r="G99" s="147"/>
    </row>
    <row r="100" spans="1:19">
      <c r="D100" s="147"/>
      <c r="E100" s="147"/>
      <c r="F100" s="147"/>
      <c r="G100" s="147"/>
    </row>
    <row r="101" spans="1:19">
      <c r="D101" s="147"/>
      <c r="E101" s="147"/>
      <c r="F101" s="147"/>
      <c r="G101" s="147"/>
    </row>
    <row r="102" spans="1:19">
      <c r="D102" s="147"/>
      <c r="E102" s="147"/>
      <c r="F102" s="147"/>
      <c r="G102" s="147"/>
    </row>
    <row r="103" spans="1:19">
      <c r="D103" s="147"/>
      <c r="E103" s="147"/>
      <c r="F103" s="147"/>
      <c r="G103" s="147"/>
    </row>
    <row r="104" spans="1:19">
      <c r="D104" s="147"/>
      <c r="E104" s="147"/>
      <c r="F104" s="147"/>
      <c r="G104" s="147"/>
    </row>
    <row r="105" spans="1:19">
      <c r="D105" s="147"/>
      <c r="E105" s="147"/>
      <c r="F105" s="147"/>
      <c r="G105" s="147"/>
    </row>
    <row r="106" spans="1:19">
      <c r="D106" s="147"/>
      <c r="E106" s="147"/>
      <c r="F106" s="147"/>
      <c r="G106" s="147"/>
    </row>
    <row r="107" spans="1:19">
      <c r="D107" s="147"/>
      <c r="E107" s="147"/>
      <c r="F107" s="147"/>
      <c r="G107" s="147"/>
    </row>
    <row r="108" spans="1:19">
      <c r="D108" s="147"/>
      <c r="E108" s="147"/>
      <c r="F108" s="147"/>
      <c r="G108" s="147"/>
    </row>
    <row r="109" spans="1:19">
      <c r="D109" s="147"/>
      <c r="E109" s="147"/>
      <c r="F109" s="147"/>
      <c r="G109" s="147"/>
    </row>
    <row r="110" spans="1:19">
      <c r="D110" s="147"/>
      <c r="E110" s="147"/>
      <c r="F110" s="147"/>
      <c r="G110" s="147"/>
    </row>
    <row r="111" spans="1:19">
      <c r="D111" s="147"/>
      <c r="E111" s="147"/>
      <c r="F111" s="147"/>
      <c r="G111" s="147"/>
    </row>
    <row r="112" spans="1:19">
      <c r="D112" s="147"/>
      <c r="E112" s="147"/>
      <c r="F112" s="147"/>
      <c r="G112" s="147"/>
    </row>
    <row r="113" spans="1:19">
      <c r="D113" s="147"/>
      <c r="E113" s="147"/>
      <c r="F113" s="147"/>
      <c r="G113" s="147"/>
    </row>
    <row r="114" spans="1:19">
      <c r="D114" s="147"/>
      <c r="E114" s="147"/>
      <c r="F114" s="147"/>
      <c r="G114" s="147"/>
    </row>
    <row r="115" spans="1:19">
      <c r="D115" s="147"/>
      <c r="E115" s="147"/>
      <c r="F115" s="147"/>
      <c r="G115" s="147"/>
    </row>
    <row r="116" spans="1:19">
      <c r="D116" s="147"/>
      <c r="E116" s="147"/>
      <c r="F116" s="147"/>
      <c r="G116" s="147"/>
    </row>
    <row r="117" spans="1:19">
      <c r="D117" s="147"/>
      <c r="E117" s="147"/>
      <c r="F117" s="147"/>
      <c r="G117" s="147"/>
    </row>
    <row r="118" spans="1:19">
      <c r="D118" s="147"/>
      <c r="E118" s="147"/>
      <c r="F118" s="147"/>
      <c r="G118" s="147"/>
    </row>
    <row r="119" spans="1:19">
      <c r="D119" s="147"/>
      <c r="E119" s="147"/>
      <c r="F119" s="147"/>
      <c r="G119" s="147"/>
    </row>
    <row r="120" spans="1:19">
      <c r="D120" s="147"/>
      <c r="E120" s="147"/>
      <c r="F120" s="147"/>
      <c r="G120" s="147"/>
    </row>
    <row r="121" spans="1:19">
      <c r="D121" s="147"/>
      <c r="E121" s="147"/>
      <c r="F121" s="147"/>
      <c r="G121" s="147"/>
    </row>
    <row r="122" spans="1:19">
      <c r="D122" s="147"/>
      <c r="E122" s="147"/>
      <c r="F122" s="147"/>
      <c r="G122" s="147"/>
    </row>
    <row r="123" spans="1:19">
      <c r="D123" s="147"/>
      <c r="E123" s="147"/>
      <c r="F123" s="147"/>
      <c r="G123" s="147"/>
    </row>
    <row r="124" spans="1:19">
      <c r="D124" s="147"/>
      <c r="E124" s="147"/>
      <c r="F124" s="147"/>
      <c r="G124" s="147"/>
    </row>
    <row r="125" spans="1:19">
      <c r="D125" s="147"/>
      <c r="E125" s="147"/>
      <c r="F125" s="147"/>
      <c r="G125" s="147"/>
    </row>
    <row r="126" spans="1:19">
      <c r="D126" s="147"/>
      <c r="E126" s="147"/>
      <c r="F126" s="147"/>
      <c r="G126" s="147"/>
    </row>
    <row r="127" spans="1:19">
      <c r="D127" s="147"/>
      <c r="E127" s="147"/>
      <c r="F127" s="147"/>
      <c r="G127" s="147"/>
    </row>
    <row r="128" spans="1:19">
      <c r="D128" s="147"/>
      <c r="E128" s="147"/>
      <c r="F128" s="147"/>
      <c r="G128" s="147"/>
    </row>
    <row r="129" spans="1:19">
      <c r="D129" s="147"/>
      <c r="E129" s="147"/>
      <c r="F129" s="147"/>
      <c r="G129" s="147"/>
    </row>
    <row r="130" spans="1:19">
      <c r="D130" s="147"/>
      <c r="E130" s="147"/>
      <c r="F130" s="147"/>
      <c r="G130" s="147"/>
    </row>
    <row r="131" spans="1:19">
      <c r="D131" s="147"/>
      <c r="E131" s="147"/>
      <c r="F131" s="147"/>
      <c r="G131" s="147"/>
    </row>
    <row r="132" spans="1:19">
      <c r="D132" s="147"/>
      <c r="E132" s="147"/>
      <c r="F132" s="147"/>
      <c r="G132" s="147"/>
    </row>
    <row r="133" spans="1:19">
      <c r="D133" s="147"/>
      <c r="E133" s="147"/>
      <c r="F133" s="147"/>
      <c r="G133" s="147"/>
    </row>
    <row r="134" spans="1:19">
      <c r="D134" s="147"/>
      <c r="E134" s="147"/>
      <c r="F134" s="147"/>
      <c r="G134" s="147"/>
    </row>
    <row r="135" spans="1:19">
      <c r="D135" s="147"/>
      <c r="E135" s="147"/>
      <c r="F135" s="147"/>
      <c r="G135" s="147"/>
    </row>
    <row r="136" spans="1:19">
      <c r="D136" s="147"/>
      <c r="E136" s="147"/>
      <c r="F136" s="147"/>
      <c r="G136" s="147"/>
    </row>
    <row r="137" spans="1:19">
      <c r="D137" s="147"/>
      <c r="E137" s="147"/>
      <c r="F137" s="147"/>
      <c r="G137" s="147"/>
    </row>
    <row r="138" spans="1:19">
      <c r="D138" s="147"/>
      <c r="E138" s="147"/>
      <c r="F138" s="147"/>
      <c r="G138" s="147"/>
    </row>
    <row r="139" spans="1:19">
      <c r="D139" s="147"/>
      <c r="E139" s="147"/>
      <c r="F139" s="147"/>
      <c r="G139" s="147"/>
    </row>
    <row r="140" spans="1:19">
      <c r="D140" s="147"/>
      <c r="E140" s="147"/>
      <c r="F140" s="147"/>
      <c r="G140" s="147"/>
    </row>
    <row r="141" spans="1:19">
      <c r="D141" s="147"/>
      <c r="E141" s="147"/>
      <c r="F141" s="147"/>
      <c r="G141" s="147"/>
    </row>
    <row r="142" spans="1:19">
      <c r="D142" s="147"/>
      <c r="E142" s="147"/>
      <c r="F142" s="147"/>
      <c r="G142" s="147"/>
    </row>
    <row r="143" spans="1:19">
      <c r="D143" s="147"/>
      <c r="E143" s="147"/>
      <c r="F143" s="147"/>
      <c r="G143" s="147"/>
    </row>
    <row r="144" spans="1:19">
      <c r="D144" s="147"/>
      <c r="E144" s="147"/>
      <c r="F144" s="147"/>
      <c r="G144" s="147"/>
    </row>
    <row r="145" spans="1:19">
      <c r="D145" s="147"/>
      <c r="E145" s="147"/>
      <c r="F145" s="147"/>
      <c r="G145" s="147"/>
    </row>
    <row r="146" spans="1:19">
      <c r="D146" s="147"/>
      <c r="E146" s="147"/>
      <c r="F146" s="147"/>
      <c r="G146" s="147"/>
    </row>
    <row r="147" spans="1:19">
      <c r="D147" s="147"/>
      <c r="E147" s="147"/>
      <c r="F147" s="147"/>
      <c r="G147" s="147"/>
    </row>
    <row r="148" spans="1:19">
      <c r="D148" s="147"/>
      <c r="E148" s="147"/>
      <c r="F148" s="147"/>
      <c r="G148" s="147"/>
    </row>
    <row r="149" spans="1:19">
      <c r="D149" s="147"/>
      <c r="E149" s="147"/>
      <c r="F149" s="147"/>
      <c r="G149" s="147"/>
    </row>
    <row r="150" spans="1:19">
      <c r="D150" s="147"/>
      <c r="E150" s="147"/>
      <c r="F150" s="147"/>
      <c r="G150" s="147"/>
    </row>
    <row r="151" spans="1:19">
      <c r="D151" s="147"/>
      <c r="E151" s="147"/>
      <c r="F151" s="147"/>
      <c r="G151" s="147"/>
    </row>
    <row r="152" spans="1:19">
      <c r="D152" s="147"/>
      <c r="E152" s="147"/>
      <c r="F152" s="147"/>
      <c r="G152" s="147"/>
    </row>
    <row r="153" spans="1:19">
      <c r="D153" s="147"/>
      <c r="E153" s="147"/>
      <c r="F153" s="147"/>
      <c r="G153" s="147"/>
    </row>
    <row r="154" spans="1:19">
      <c r="D154" s="147"/>
      <c r="E154" s="147"/>
      <c r="F154" s="147"/>
      <c r="G154" s="147"/>
    </row>
    <row r="155" spans="1:19">
      <c r="D155" s="147"/>
      <c r="E155" s="147"/>
      <c r="F155" s="147"/>
      <c r="G155" s="147"/>
    </row>
    <row r="156" spans="1:19">
      <c r="D156" s="147"/>
      <c r="E156" s="147"/>
      <c r="F156" s="147"/>
      <c r="G156" s="147"/>
    </row>
    <row r="157" spans="1:19">
      <c r="D157" s="147"/>
      <c r="E157" s="147"/>
      <c r="F157" s="147"/>
      <c r="G157" s="147"/>
    </row>
  </sheetData>
  <sheetProtection sheet="1" objects="1" scenarios="1"/>
  <mergeCells>
    <mergeCell ref="J2:L2"/>
    <mergeCell ref="A2:A4"/>
    <mergeCell ref="B2:B4"/>
    <mergeCell ref="C2:C4"/>
    <mergeCell ref="H2:H4"/>
    <mergeCell ref="D2:G2"/>
    <mergeCell ref="D46:F46"/>
    <mergeCell ref="D60:F60"/>
    <mergeCell ref="D61:F61"/>
    <mergeCell ref="D71:F71"/>
    <mergeCell ref="D72:F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185"/>
  <sheetViews>
    <sheetView tabSelected="0" workbookViewId="0" zoomScale="115" zoomScaleNormal="115" showGridLines="true" showRowColHeaders="1" topLeftCell="A85">
      <selection activeCell="B18" sqref="B18:F22"/>
    </sheetView>
  </sheetViews>
  <sheetFormatPr defaultRowHeight="14.4" defaultColWidth="9.140625" outlineLevelRow="0" outlineLevelCol="0"/>
  <cols>
    <col min="1" max="1" width="6.28515625" customWidth="true" style="137"/>
    <col min="2" max="2" width="34.42578125" customWidth="true" style="137"/>
    <col min="3" max="3" width="8" customWidth="true" style="137"/>
    <col min="4" max="4" width="14.28515625" customWidth="true" style="137"/>
    <col min="5" max="5" width="14.28515625" customWidth="true" style="137"/>
    <col min="6" max="6" width="14.28515625" customWidth="true" style="137"/>
    <col min="7" max="7" width="14.28515625" customWidth="true" style="137"/>
    <col min="8" max="8" width="14.28515625" customWidth="true" style="172"/>
    <col min="9" max="9" width="59.85546875" customWidth="true" style="137"/>
    <col min="10" max="10" width="9.140625" style="137"/>
    <col min="11" max="11" width="16.28515625" customWidth="true" style="137"/>
    <col min="12" max="12" width="13.28515625" customWidth="true" style="137"/>
    <col min="13" max="13" width="9.140625" style="137"/>
    <col min="14" max="14" width="8.85546875" hidden="true" customWidth="true" style="137"/>
    <col min="15" max="15" width="0" hidden="true" customWidth="true" style="137"/>
    <col min="16" max="16" width="0" hidden="true" customWidth="true" style="137"/>
    <col min="17" max="17" width="9.140625" style="137"/>
    <col min="18" max="18" width="23.140625" customWidth="true" style="137"/>
    <col min="19" max="19" width="9.140625" style="137"/>
    <col min="20" max="20" width="9.140625" style="137"/>
    <col min="21" max="21" width="15.140625" customWidth="true" style="137"/>
    <col min="22" max="22" width="12.28515625" customWidth="true" style="137"/>
    <col min="23" max="23" width="15.140625" customWidth="true" style="137"/>
    <col min="24" max="24" width="9.140625" style="137"/>
  </cols>
  <sheetData>
    <row r="2" spans="1:24" customHeight="1" ht="18">
      <c r="A2" s="644"/>
      <c r="B2" s="645" t="s">
        <v>148</v>
      </c>
      <c r="C2" s="644" t="s">
        <v>149</v>
      </c>
      <c r="D2" s="646" t="s">
        <v>150</v>
      </c>
      <c r="E2" s="647"/>
      <c r="F2" s="647"/>
      <c r="G2" s="647"/>
      <c r="H2" s="647"/>
      <c r="I2" s="645" t="s">
        <v>151</v>
      </c>
      <c r="K2" s="582" t="s">
        <v>97</v>
      </c>
      <c r="L2" s="583"/>
    </row>
    <row r="3" spans="1:24">
      <c r="A3" s="644"/>
      <c r="B3" s="645"/>
      <c r="C3" s="644"/>
      <c r="D3" s="218" t="s">
        <v>152</v>
      </c>
      <c r="E3" s="218" t="s">
        <v>210</v>
      </c>
      <c r="F3" s="249" t="s">
        <v>211</v>
      </c>
      <c r="G3" s="218" t="s">
        <v>154</v>
      </c>
      <c r="H3" s="186" t="s">
        <v>155</v>
      </c>
      <c r="I3" s="645"/>
      <c r="K3" s="2" t="s">
        <v>87</v>
      </c>
      <c r="L3" s="136" t="s">
        <v>101</v>
      </c>
    </row>
    <row r="4" spans="1:24">
      <c r="A4" s="644"/>
      <c r="B4" s="645"/>
      <c r="C4" s="644"/>
      <c r="D4" s="218" t="s">
        <v>157</v>
      </c>
      <c r="E4" s="218" t="s">
        <v>158</v>
      </c>
      <c r="F4" s="249" t="s">
        <v>158</v>
      </c>
      <c r="G4" s="218" t="s">
        <v>159</v>
      </c>
      <c r="H4" s="186" t="s">
        <v>160</v>
      </c>
      <c r="I4" s="645"/>
      <c r="K4" s="2" t="s">
        <v>111</v>
      </c>
      <c r="L4" s="177">
        <v>1</v>
      </c>
    </row>
    <row r="5" spans="1:24">
      <c r="A5" s="162" t="s">
        <v>161</v>
      </c>
      <c r="C5" s="163"/>
      <c r="D5" s="163"/>
      <c r="E5" s="163"/>
      <c r="F5" s="163"/>
      <c r="G5" s="163"/>
      <c r="H5" s="187"/>
      <c r="I5" s="138"/>
      <c r="K5" s="2" t="s">
        <v>115</v>
      </c>
      <c r="L5" s="177">
        <v>30</v>
      </c>
    </row>
    <row r="6" spans="1:24">
      <c r="A6" s="139"/>
      <c r="B6" s="140" t="s">
        <v>162</v>
      </c>
      <c r="C6" s="139" t="s">
        <v>163</v>
      </c>
      <c r="D6" s="164">
        <f>D70*$G$70*10^-6</f>
        <v>0.057222</v>
      </c>
      <c r="E6" s="164">
        <f>E70*$G$70*10^-6</f>
        <v>1.02E-6</v>
      </c>
      <c r="F6" s="164"/>
      <c r="G6" s="164">
        <f>F70*$G$70*10^-6</f>
        <v>1.02E-7</v>
      </c>
      <c r="H6" s="187">
        <f>D6+(E6*$L$5)+(G6*$L$7)</f>
        <v>0.05727963</v>
      </c>
      <c r="I6" s="141" t="s">
        <v>164</v>
      </c>
      <c r="J6" s="172"/>
      <c r="K6" s="2" t="s">
        <v>122</v>
      </c>
      <c r="L6" s="177">
        <v>28</v>
      </c>
    </row>
    <row r="7" spans="1:24">
      <c r="A7" s="139"/>
      <c r="B7" s="140" t="s">
        <v>162</v>
      </c>
      <c r="C7" s="139" t="s">
        <v>165</v>
      </c>
      <c r="D7" s="164">
        <f>D70/1000000</f>
        <v>0.0561</v>
      </c>
      <c r="E7" s="164">
        <f>E70/1000000</f>
        <v>1.0E-6</v>
      </c>
      <c r="F7" s="164"/>
      <c r="G7" s="164">
        <f>F70/1000000</f>
        <v>1.0E-7</v>
      </c>
      <c r="H7" s="187">
        <f>D7+(E7*$L$5)+(G7*$L$7)</f>
        <v>0.0561565</v>
      </c>
      <c r="I7" s="141" t="s">
        <v>164</v>
      </c>
      <c r="J7" s="172"/>
      <c r="K7" s="2" t="s">
        <v>123</v>
      </c>
      <c r="L7" s="177">
        <v>265</v>
      </c>
    </row>
    <row r="8" spans="1:24">
      <c r="A8" s="139"/>
      <c r="B8" s="140" t="s">
        <v>166</v>
      </c>
      <c r="C8" s="139" t="s">
        <v>167</v>
      </c>
      <c r="D8" s="164">
        <f>D71*$G$71*10^-6</f>
        <v>1.05747</v>
      </c>
      <c r="E8" s="164">
        <f>E71*$G$71*10^-6</f>
        <v>1.047E-5</v>
      </c>
      <c r="F8" s="164"/>
      <c r="G8" s="164">
        <f>F71*$G$71*10^-6</f>
        <v>1.5705E-5</v>
      </c>
      <c r="H8" s="187">
        <f>D8+(E8*$L$5)+(G8*$L$7)</f>
        <v>1.061945925</v>
      </c>
      <c r="I8" s="141" t="s">
        <v>164</v>
      </c>
      <c r="J8" s="172"/>
      <c r="K8" s="2" t="s">
        <v>124</v>
      </c>
      <c r="L8" s="177">
        <v>23500</v>
      </c>
    </row>
    <row r="9" spans="1:24">
      <c r="A9" s="139"/>
      <c r="B9" s="140" t="s">
        <v>168</v>
      </c>
      <c r="C9" s="139" t="s">
        <v>169</v>
      </c>
      <c r="D9" s="164">
        <f>D72*$G$72*10^-6</f>
        <v>3.2096984443713</v>
      </c>
      <c r="E9" s="164">
        <f>E72*$G$72*10^-6</f>
        <v>0.0001244069164485</v>
      </c>
      <c r="F9" s="164"/>
      <c r="G9" s="164">
        <f>F72*$G$72*10^-6</f>
        <v>2.48813832897E-5</v>
      </c>
      <c r="H9" s="187">
        <f>D9+(E9*$L$5)+(G9*$L$7)</f>
        <v>3.22002421843653</v>
      </c>
      <c r="I9" s="141" t="s">
        <v>170</v>
      </c>
      <c r="J9" s="172"/>
      <c r="K9" s="2" t="s">
        <v>125</v>
      </c>
      <c r="L9" s="177">
        <v>16100</v>
      </c>
    </row>
    <row r="10" spans="1:24">
      <c r="A10" s="139"/>
      <c r="B10" s="140" t="s">
        <v>172</v>
      </c>
      <c r="C10" s="139" t="s">
        <v>169</v>
      </c>
      <c r="D10" s="164">
        <f>D73*$G$73*10^-6</f>
        <v>3.23534010094254</v>
      </c>
      <c r="E10" s="164">
        <f>E73*$G$73*10^-6</f>
        <v>0.0001254007791063</v>
      </c>
      <c r="F10" s="164"/>
      <c r="G10" s="164">
        <f>F73*$G$73*10^-6</f>
        <v>2.508015582126E-5</v>
      </c>
      <c r="H10" s="187">
        <f>D10+(E10*$L$5)+(G10*$L$7)</f>
        <v>3.24574836560836</v>
      </c>
      <c r="I10" s="141" t="s">
        <v>170</v>
      </c>
      <c r="J10" s="172"/>
      <c r="K10" s="137" t="s">
        <v>171</v>
      </c>
    </row>
    <row r="11" spans="1:24">
      <c r="A11" s="139"/>
      <c r="B11" s="140" t="s">
        <v>173</v>
      </c>
      <c r="C11" s="139" t="s">
        <v>169</v>
      </c>
      <c r="D11" s="164">
        <f>D74*$G$74*10^-6</f>
        <v>2.698722</v>
      </c>
      <c r="E11" s="164">
        <f>E74*$G$74*10^-6</f>
        <v>0.00010926</v>
      </c>
      <c r="F11" s="164"/>
      <c r="G11" s="164">
        <f>F74*$G$74*10^-6</f>
        <v>2.1852E-5</v>
      </c>
      <c r="H11" s="187">
        <f>D11+(E11*$L$5)+(G11*$L$7)</f>
        <v>2.70779058</v>
      </c>
      <c r="I11" s="141" t="s">
        <v>164</v>
      </c>
      <c r="J11" s="172"/>
    </row>
    <row r="12" spans="1:24">
      <c r="A12" s="139"/>
      <c r="B12" s="140" t="s">
        <v>174</v>
      </c>
      <c r="C12" s="139" t="s">
        <v>167</v>
      </c>
      <c r="D12" s="164">
        <f>D75*$G$75*10^-6</f>
        <v>3.08662</v>
      </c>
      <c r="E12" s="164">
        <f>E75*$G$75*10^-6</f>
        <v>3.14E-5</v>
      </c>
      <c r="F12" s="164"/>
      <c r="G12" s="164">
        <f>F75*$G$75*10^-6</f>
        <v>4.71E-5</v>
      </c>
      <c r="H12" s="187">
        <f>D12+(E12*$L$5)+(G12*$L$7)</f>
        <v>3.1000435</v>
      </c>
      <c r="I12" s="141" t="s">
        <v>164</v>
      </c>
      <c r="J12" s="172"/>
    </row>
    <row r="13" spans="1:24">
      <c r="A13" s="139"/>
      <c r="B13" s="140" t="s">
        <v>175</v>
      </c>
      <c r="C13" s="139" t="s">
        <v>167</v>
      </c>
      <c r="D13" s="164">
        <f>D76*$G$76*10^-6</f>
        <v>2.534157</v>
      </c>
      <c r="E13" s="164">
        <f>E76*$G$76*10^-6</f>
        <v>2.637E-5</v>
      </c>
      <c r="F13" s="164"/>
      <c r="G13" s="164">
        <f>F76*$G$76*10^-6</f>
        <v>3.9555E-5</v>
      </c>
      <c r="H13" s="187">
        <f>D13+(E13*$L$5)+(G13*$L$7)</f>
        <v>2.545430175</v>
      </c>
      <c r="I13" s="141" t="s">
        <v>164</v>
      </c>
      <c r="J13" s="172"/>
    </row>
    <row r="14" spans="1:24">
      <c r="A14" s="139"/>
      <c r="B14" s="140" t="s">
        <v>176</v>
      </c>
      <c r="C14" s="139" t="s">
        <v>169</v>
      </c>
      <c r="D14" s="164">
        <f>D77*$G$77*10^-6</f>
        <v>2.468895</v>
      </c>
      <c r="E14" s="164">
        <f>E77*$G$77*10^-6</f>
        <v>0.00010359</v>
      </c>
      <c r="F14" s="164"/>
      <c r="G14" s="164">
        <f>F77*$G$77*10^-6</f>
        <v>2.0718E-5</v>
      </c>
      <c r="H14" s="187">
        <f>D14+(E14*$L$5)+(G14*$L$7)</f>
        <v>2.47749297</v>
      </c>
      <c r="I14" s="141" t="s">
        <v>164</v>
      </c>
      <c r="J14" s="172"/>
    </row>
    <row r="15" spans="1:24">
      <c r="A15" s="139"/>
      <c r="B15" s="140" t="s">
        <v>177</v>
      </c>
      <c r="C15" s="139" t="s">
        <v>169</v>
      </c>
      <c r="D15" s="164">
        <f>D78*$G$78*10^-6</f>
        <v>1.679722</v>
      </c>
      <c r="E15" s="164">
        <f>E78*$G$78*10^-6</f>
        <v>2.662E-5</v>
      </c>
      <c r="F15" s="164"/>
      <c r="G15" s="164">
        <f>F78*$G$78*10^-6</f>
        <v>2.662E-6</v>
      </c>
      <c r="H15" s="187">
        <f>D15+(E15*$L$5)+(G15*$L$7)</f>
        <v>1.68122603</v>
      </c>
      <c r="I15" s="141" t="s">
        <v>164</v>
      </c>
      <c r="J15" s="172"/>
    </row>
    <row r="16" spans="1:24">
      <c r="A16" s="162"/>
      <c r="B16" s="140" t="s">
        <v>177</v>
      </c>
      <c r="C16" s="139" t="s">
        <v>167</v>
      </c>
      <c r="D16" s="164">
        <f>D15/0.54</f>
        <v>3.1105962962963</v>
      </c>
      <c r="E16" s="164">
        <f>E15/0.54</f>
        <v>4.9296296296296E-5</v>
      </c>
      <c r="F16" s="164"/>
      <c r="G16" s="164">
        <f>G15/0.54</f>
        <v>4.9296296296296E-6</v>
      </c>
      <c r="H16" s="187">
        <f>D16+(E16*$L$5)+(G16*$L$7)</f>
        <v>3.11338153703704</v>
      </c>
      <c r="I16" s="141" t="s">
        <v>178</v>
      </c>
      <c r="J16" s="172"/>
    </row>
    <row r="17" spans="1:24">
      <c r="A17" s="162"/>
      <c r="B17" s="140" t="s">
        <v>179</v>
      </c>
      <c r="C17" s="139" t="s">
        <v>169</v>
      </c>
      <c r="D17" s="164">
        <f>D79*$G$79*10^-6</f>
        <v>2.181564</v>
      </c>
      <c r="E17" s="164">
        <f>E79*$G$79*10^-6</f>
        <v>9.444E-5</v>
      </c>
      <c r="F17" s="164"/>
      <c r="G17" s="164">
        <f>F79*$G$79*10^-6</f>
        <v>1.8888E-5</v>
      </c>
      <c r="H17" s="187">
        <f>D17+(E17*$L$5)+(G17*$L$7)</f>
        <v>2.18940252</v>
      </c>
      <c r="I17" s="141" t="s">
        <v>164</v>
      </c>
      <c r="J17" s="172"/>
    </row>
    <row r="18" spans="1:24">
      <c r="A18" s="162"/>
      <c r="B18" s="140" t="s">
        <v>212</v>
      </c>
      <c r="C18" s="139" t="s">
        <v>167</v>
      </c>
      <c r="D18" s="164"/>
      <c r="E18" s="164"/>
      <c r="F18" s="164">
        <f>E80*$G$80*10^-6</f>
        <v>0.0004797</v>
      </c>
      <c r="G18" s="164">
        <f>F80*$G$80*10^-6</f>
        <v>6.396E-5</v>
      </c>
      <c r="H18" s="187">
        <f>D18+(F18*$L$6)+(G18*$L$7)</f>
        <v>0.030381</v>
      </c>
      <c r="I18" s="141" t="s">
        <v>164</v>
      </c>
      <c r="J18" s="172"/>
    </row>
    <row r="19" spans="1:24">
      <c r="A19" s="162"/>
      <c r="B19" s="140" t="s">
        <v>213</v>
      </c>
      <c r="C19" s="139" t="s">
        <v>167</v>
      </c>
      <c r="D19" s="164"/>
      <c r="E19" s="164"/>
      <c r="F19" s="164">
        <f>E82*$G$82*10^-6</f>
        <v>0.0002259</v>
      </c>
      <c r="G19" s="164">
        <f>F82*$G$82*10^-6</f>
        <v>3.012E-5</v>
      </c>
      <c r="H19" s="187">
        <f>D19+(F19*$L$6)+(G19*$L$7)</f>
        <v>0.014307</v>
      </c>
      <c r="I19" s="141" t="s">
        <v>164</v>
      </c>
      <c r="J19" s="172"/>
    </row>
    <row r="20" spans="1:24">
      <c r="A20" s="162"/>
      <c r="B20" s="140" t="s">
        <v>214</v>
      </c>
      <c r="C20" s="139" t="s">
        <v>167</v>
      </c>
      <c r="D20" s="164"/>
      <c r="E20" s="164"/>
      <c r="F20" s="164">
        <f>E83*$G$83*10^-6</f>
        <v>0.0005559</v>
      </c>
      <c r="G20" s="164">
        <f>F83*$G$83*10^-6</f>
        <v>7.412E-5</v>
      </c>
      <c r="H20" s="187">
        <f>D20+(F20*$L$6)+(G20*$L$7)</f>
        <v>0.035207</v>
      </c>
      <c r="I20" s="141" t="s">
        <v>164</v>
      </c>
      <c r="J20" s="172"/>
    </row>
    <row r="21" spans="1:24">
      <c r="A21" s="162"/>
      <c r="B21" s="140" t="s">
        <v>215</v>
      </c>
      <c r="C21" s="139" t="s">
        <v>167</v>
      </c>
      <c r="D21" s="164"/>
      <c r="E21" s="164"/>
      <c r="F21" s="164">
        <f>E84*$G$84*10^-6</f>
        <v>0.0005034</v>
      </c>
      <c r="G21" s="164">
        <f>F84*$G$84*10^-6</f>
        <v>6.712E-5</v>
      </c>
      <c r="H21" s="187">
        <f>D21+(F21*$L$6)+(G21*$L$7)</f>
        <v>0.031882</v>
      </c>
      <c r="I21" s="141" t="s">
        <v>164</v>
      </c>
      <c r="J21" s="172"/>
    </row>
    <row r="22" spans="1:24">
      <c r="A22" s="162"/>
      <c r="B22" s="140" t="s">
        <v>216</v>
      </c>
      <c r="C22" s="139" t="s">
        <v>217</v>
      </c>
      <c r="D22" s="164"/>
      <c r="E22" s="164"/>
      <c r="F22" s="164">
        <f>E85*$G$85*10^-6</f>
        <v>2.093E-5</v>
      </c>
      <c r="G22" s="164">
        <f>F85*$G$85*10^-6</f>
        <v>2.093E-6</v>
      </c>
      <c r="H22" s="187">
        <f>D22+(F22*$L$6)+(G22*$L$7)</f>
        <v>0.001140685</v>
      </c>
      <c r="I22" s="141" t="s">
        <v>164</v>
      </c>
      <c r="J22" s="172"/>
    </row>
    <row r="23" spans="1:24">
      <c r="A23" s="162"/>
      <c r="B23" s="140" t="s">
        <v>218</v>
      </c>
      <c r="C23" s="139" t="s">
        <v>167</v>
      </c>
      <c r="D23" s="164">
        <f>D80*$G$80*10^-6</f>
        <v>1.79088</v>
      </c>
      <c r="E23" s="164"/>
      <c r="F23" s="164"/>
      <c r="G23" s="164"/>
      <c r="H23" s="187">
        <f>D23+(E23*$L$5)+(G23*$L$7)</f>
        <v>1.79088</v>
      </c>
      <c r="I23" s="141" t="s">
        <v>164</v>
      </c>
      <c r="J23" s="172"/>
    </row>
    <row r="24" spans="1:24">
      <c r="A24" s="162"/>
      <c r="B24" s="140" t="s">
        <v>219</v>
      </c>
      <c r="C24" s="139" t="s">
        <v>167</v>
      </c>
      <c r="D24" s="164">
        <f>D82*$G$82*10^-6</f>
        <v>0.753</v>
      </c>
      <c r="E24" s="164"/>
      <c r="F24" s="164"/>
      <c r="G24" s="164"/>
      <c r="H24" s="187">
        <f>D24+(E24*$L$5)+(G24*$L$7)</f>
        <v>0.753</v>
      </c>
      <c r="I24" s="141" t="s">
        <v>164</v>
      </c>
      <c r="J24" s="172"/>
    </row>
    <row r="25" spans="1:24">
      <c r="A25" s="162"/>
      <c r="B25" s="140" t="s">
        <v>220</v>
      </c>
      <c r="C25" s="139" t="s">
        <v>167</v>
      </c>
      <c r="D25" s="164">
        <f>D83*$G$83*10^-6</f>
        <v>1.853</v>
      </c>
      <c r="E25" s="164"/>
      <c r="F25" s="164"/>
      <c r="G25" s="164"/>
      <c r="H25" s="187">
        <f>D25+(E25*$L$5)+(G25*$L$7)</f>
        <v>1.853</v>
      </c>
      <c r="I25" s="141" t="s">
        <v>164</v>
      </c>
      <c r="J25" s="172"/>
    </row>
    <row r="26" spans="1:24">
      <c r="A26" s="162"/>
      <c r="B26" s="140" t="s">
        <v>221</v>
      </c>
      <c r="C26" s="139" t="s">
        <v>167</v>
      </c>
      <c r="D26" s="164">
        <f>D84*$G$84*10^-6</f>
        <v>1.678</v>
      </c>
      <c r="E26" s="164"/>
      <c r="F26" s="164"/>
      <c r="G26" s="164"/>
      <c r="H26" s="187">
        <f>D26+(E26*$L$5)+(G26*$L$7)</f>
        <v>1.678</v>
      </c>
      <c r="I26" s="141" t="s">
        <v>164</v>
      </c>
      <c r="J26" s="172"/>
    </row>
    <row r="27" spans="1:24">
      <c r="A27" s="162"/>
      <c r="B27" s="140" t="s">
        <v>222</v>
      </c>
      <c r="C27" s="139" t="s">
        <v>217</v>
      </c>
      <c r="D27" s="164">
        <f>D85*$G$85*10^-6</f>
        <v>1.142778</v>
      </c>
      <c r="E27" s="164"/>
      <c r="F27" s="164"/>
      <c r="G27" s="164"/>
      <c r="H27" s="187">
        <f>D27+(E27*$L$5)+(G27*$L$7)</f>
        <v>1.142778</v>
      </c>
      <c r="I27" s="141" t="s">
        <v>164</v>
      </c>
      <c r="J27" s="172"/>
    </row>
    <row r="28" spans="1:24">
      <c r="A28" s="162" t="s">
        <v>180</v>
      </c>
      <c r="B28" s="140"/>
      <c r="C28" s="139"/>
      <c r="D28" s="164"/>
      <c r="E28" s="164"/>
      <c r="F28" s="164"/>
      <c r="G28" s="164"/>
      <c r="H28" s="187"/>
      <c r="I28" s="141"/>
      <c r="J28" s="172"/>
    </row>
    <row r="29" spans="1:24">
      <c r="A29" s="162"/>
      <c r="B29" s="140" t="s">
        <v>181</v>
      </c>
      <c r="C29" s="142" t="s">
        <v>169</v>
      </c>
      <c r="D29" s="164">
        <f>D91*$G$91*10^-6</f>
        <v>2.181564</v>
      </c>
      <c r="E29" s="164">
        <f>E91*$G$91*10^-6</f>
        <v>0.00103884</v>
      </c>
      <c r="F29" s="164"/>
      <c r="G29" s="164">
        <f>F91*$G$91*10^-6</f>
        <v>0.000100736</v>
      </c>
      <c r="H29" s="187">
        <f>D29+(E29*$L$5)+(G29*$L$7)</f>
        <v>2.23942424</v>
      </c>
      <c r="I29" s="141" t="s">
        <v>182</v>
      </c>
      <c r="J29" s="172"/>
    </row>
    <row r="30" spans="1:24">
      <c r="A30" s="162"/>
      <c r="B30" s="140" t="s">
        <v>183</v>
      </c>
      <c r="C30" s="142" t="s">
        <v>169</v>
      </c>
      <c r="D30" s="164">
        <f>D92*$G$92*10^-6</f>
        <v>2.181564</v>
      </c>
      <c r="E30" s="164">
        <f>E92*$G$92*10^-6</f>
        <v>0.000787</v>
      </c>
      <c r="F30" s="164"/>
      <c r="G30" s="164">
        <f>F92*$G$92*10^-6</f>
        <v>0.00025184</v>
      </c>
      <c r="H30" s="187">
        <f>D30+(E30*$L$5)+(G30*$L$7)</f>
        <v>2.2719116</v>
      </c>
      <c r="I30" s="141" t="s">
        <v>182</v>
      </c>
      <c r="J30" s="172"/>
    </row>
    <row r="31" spans="1:24">
      <c r="A31" s="162"/>
      <c r="B31" s="140" t="s">
        <v>184</v>
      </c>
      <c r="C31" s="142" t="s">
        <v>169</v>
      </c>
      <c r="D31" s="164">
        <f>D93*$G$93*10^-6</f>
        <v>2.181564</v>
      </c>
      <c r="E31" s="164">
        <f>E93*$G$93*10^-6</f>
        <v>0.000119624</v>
      </c>
      <c r="F31" s="164"/>
      <c r="G31" s="164">
        <f>F93*$G$93*10^-6</f>
        <v>0.000179436</v>
      </c>
      <c r="H31" s="187">
        <f>D31+(E31*$L$5)+(G31*$L$7)</f>
        <v>2.23270326</v>
      </c>
      <c r="I31" s="141" t="s">
        <v>182</v>
      </c>
      <c r="J31" s="172"/>
    </row>
    <row r="32" spans="1:24">
      <c r="A32" s="162"/>
      <c r="B32" s="140" t="s">
        <v>185</v>
      </c>
      <c r="C32" s="142" t="s">
        <v>169</v>
      </c>
      <c r="D32" s="164">
        <f>D94*$G$94*10^-6</f>
        <v>2.698722</v>
      </c>
      <c r="E32" s="164">
        <f>E94*$G$94*10^-6</f>
        <v>0.000142038</v>
      </c>
      <c r="F32" s="164"/>
      <c r="G32" s="164">
        <f>F94*$G$94*10^-6</f>
        <v>0.000142038</v>
      </c>
      <c r="H32" s="187">
        <f>D32+(E32*$L$5)+(G32*$L$7)</f>
        <v>2.74062321</v>
      </c>
      <c r="I32" s="141" t="s">
        <v>182</v>
      </c>
      <c r="J32" s="172"/>
    </row>
    <row r="33" spans="1:24">
      <c r="A33" s="162"/>
      <c r="B33" s="140" t="s">
        <v>186</v>
      </c>
      <c r="C33" s="142" t="s">
        <v>167</v>
      </c>
      <c r="D33" s="164">
        <f>D95*$G$95*10^-6</f>
        <v>2.12619</v>
      </c>
      <c r="E33" s="164">
        <f>E95*$G$95*10^-6</f>
        <v>0.0034868</v>
      </c>
      <c r="F33" s="164"/>
      <c r="G33" s="164">
        <f>F95*$G$95*10^-6</f>
        <v>0.0001137</v>
      </c>
      <c r="H33" s="187">
        <f>D33+(E33*$L$5)+(G33*$L$7)</f>
        <v>2.2609245</v>
      </c>
      <c r="I33" s="141" t="s">
        <v>187</v>
      </c>
      <c r="J33" s="172"/>
    </row>
    <row r="34" spans="1:24">
      <c r="A34" s="162"/>
      <c r="B34" s="140" t="s">
        <v>188</v>
      </c>
      <c r="C34" s="142" t="s">
        <v>169</v>
      </c>
      <c r="D34" s="164">
        <f>D96*$G$96*10^-6</f>
        <v>1.679722</v>
      </c>
      <c r="E34" s="164">
        <f>E96*$G$96*10^-6</f>
        <v>0.00165044</v>
      </c>
      <c r="F34" s="164"/>
      <c r="G34" s="164">
        <f>F96*$G$96*10^-6</f>
        <v>5.324E-6</v>
      </c>
      <c r="H34" s="187">
        <f>D34+(E34*$L$5)+(G34*$L$7)</f>
        <v>1.73064606</v>
      </c>
      <c r="I34" s="141" t="s">
        <v>182</v>
      </c>
      <c r="J34" s="172"/>
    </row>
    <row r="35" spans="1:24">
      <c r="A35" s="162"/>
      <c r="B35" s="140" t="s">
        <v>188</v>
      </c>
      <c r="C35" s="139" t="s">
        <v>167</v>
      </c>
      <c r="D35" s="164">
        <f>D34/0.54</f>
        <v>3.1105962962963</v>
      </c>
      <c r="E35" s="164">
        <f>E34/0.54</f>
        <v>0.0030563703703704</v>
      </c>
      <c r="F35" s="164"/>
      <c r="G35" s="164">
        <f>G34/0.54</f>
        <v>9.8592592592593E-6</v>
      </c>
      <c r="H35" s="187">
        <f>D35+(E35*$L$5)+(G35*$L$7)</f>
        <v>3.20490011111111</v>
      </c>
      <c r="I35" s="141" t="s">
        <v>189</v>
      </c>
      <c r="J35" s="172"/>
    </row>
    <row r="36" spans="1:24">
      <c r="A36" s="162" t="s">
        <v>190</v>
      </c>
      <c r="B36" s="140"/>
      <c r="C36" s="139"/>
      <c r="D36" s="164"/>
      <c r="E36" s="164"/>
      <c r="F36" s="164"/>
      <c r="G36" s="164"/>
      <c r="H36" s="187"/>
      <c r="I36" s="141"/>
      <c r="J36" s="172"/>
    </row>
    <row r="37" spans="1:24">
      <c r="A37" s="162"/>
      <c r="B37" s="143" t="s">
        <v>191</v>
      </c>
      <c r="C37" s="142"/>
      <c r="D37" s="164"/>
      <c r="E37" s="164"/>
      <c r="F37" s="164"/>
      <c r="G37" s="164"/>
      <c r="H37" s="187"/>
      <c r="I37" s="141"/>
      <c r="J37" s="172"/>
    </row>
    <row r="38" spans="1:24">
      <c r="A38" s="162"/>
      <c r="B38" s="144" t="s">
        <v>192</v>
      </c>
      <c r="C38" s="142" t="s">
        <v>169</v>
      </c>
      <c r="D38" s="164">
        <f>D103*$G$103/(10^6)</f>
        <v>2.698722</v>
      </c>
      <c r="E38" s="164">
        <f>E103*$G$103/(10^6)</f>
        <v>0.000151143</v>
      </c>
      <c r="F38" s="164"/>
      <c r="G38" s="164">
        <f>F103*$G$103/(10^6)</f>
        <v>0.001041612</v>
      </c>
      <c r="H38" s="187">
        <f>D38+(E38*$L$5)+(G38*$L$7)</f>
        <v>2.97928347</v>
      </c>
      <c r="I38" s="141" t="s">
        <v>193</v>
      </c>
      <c r="J38" s="172"/>
    </row>
    <row r="39" spans="1:24">
      <c r="A39" s="162"/>
      <c r="B39" s="144" t="s">
        <v>194</v>
      </c>
      <c r="C39" s="142" t="s">
        <v>169</v>
      </c>
      <c r="D39" s="164">
        <f>D104*$G$104/(10^6)</f>
        <v>2.698722</v>
      </c>
      <c r="E39" s="164">
        <f>E104*$G$104/(10^6)</f>
        <v>0.000151143</v>
      </c>
      <c r="F39" s="164"/>
      <c r="G39" s="164">
        <f>F104*$G$104/(10^6)</f>
        <v>0.001041612</v>
      </c>
      <c r="H39" s="187">
        <f>D39+(E39*$L$5)+(G39*$L$7)</f>
        <v>2.97928347</v>
      </c>
      <c r="I39" s="141" t="s">
        <v>193</v>
      </c>
      <c r="J39" s="172"/>
    </row>
    <row r="40" spans="1:24">
      <c r="A40" s="162"/>
      <c r="B40" s="144" t="s">
        <v>195</v>
      </c>
      <c r="C40" s="142" t="s">
        <v>169</v>
      </c>
      <c r="D40" s="164">
        <f>D105*$G$105/(10^6)</f>
        <v>2.698722</v>
      </c>
      <c r="E40" s="164">
        <f>E105*$G$105/(10^6)</f>
        <v>0.000151143</v>
      </c>
      <c r="F40" s="164"/>
      <c r="G40" s="164">
        <f>F105*$G$105/(10^6)</f>
        <v>0.001041612</v>
      </c>
      <c r="H40" s="187">
        <f>D40+(E40*$L$5)+(G40*$L$7)</f>
        <v>2.97928347</v>
      </c>
      <c r="I40" s="141" t="s">
        <v>193</v>
      </c>
      <c r="J40" s="172"/>
    </row>
    <row r="41" spans="1:24">
      <c r="A41" s="162"/>
      <c r="B41" s="144" t="s">
        <v>196</v>
      </c>
      <c r="C41" s="142" t="s">
        <v>169</v>
      </c>
      <c r="D41" s="164">
        <f>D106*$G$106/(10^6)</f>
        <v>2.698722</v>
      </c>
      <c r="E41" s="164">
        <f>E106*$G$106/(10^6)</f>
        <v>0.000151143</v>
      </c>
      <c r="F41" s="164"/>
      <c r="G41" s="164">
        <f>F106*$G$106/(10^6)</f>
        <v>0.001041612</v>
      </c>
      <c r="H41" s="187">
        <f>D41+(E41*$L$5)+(G41*$L$7)</f>
        <v>2.97928347</v>
      </c>
      <c r="I41" s="141" t="s">
        <v>193</v>
      </c>
      <c r="J41" s="172"/>
    </row>
    <row r="42" spans="1:24">
      <c r="A42" s="162"/>
      <c r="B42" s="143" t="s">
        <v>197</v>
      </c>
      <c r="C42" s="142"/>
      <c r="D42" s="164"/>
      <c r="E42" s="164"/>
      <c r="F42" s="164"/>
      <c r="G42" s="164"/>
      <c r="H42" s="187"/>
      <c r="I42" s="141"/>
      <c r="J42" s="172"/>
    </row>
    <row r="43" spans="1:24">
      <c r="A43" s="162"/>
      <c r="B43" s="144" t="s">
        <v>192</v>
      </c>
      <c r="C43" s="142" t="s">
        <v>169</v>
      </c>
      <c r="D43" s="164">
        <f>D108*$G$108/(10^6)</f>
        <v>2.181564</v>
      </c>
      <c r="E43" s="164">
        <f>E108*$G$108/(10^6)</f>
        <v>0.0025184</v>
      </c>
      <c r="F43" s="164"/>
      <c r="G43" s="164">
        <f>F108*$G$108/(10^6)</f>
        <v>6.296E-5</v>
      </c>
      <c r="H43" s="187">
        <f>D43+(E43*$L$5)+(G43*$L$7)</f>
        <v>2.2738004</v>
      </c>
      <c r="I43" s="141" t="s">
        <v>193</v>
      </c>
      <c r="J43" s="172"/>
    </row>
    <row r="44" spans="1:24">
      <c r="A44" s="138"/>
      <c r="B44" s="144" t="s">
        <v>194</v>
      </c>
      <c r="C44" s="142" t="s">
        <v>169</v>
      </c>
      <c r="D44" s="164">
        <f>D109*$G$109/(10^6)</f>
        <v>2.181564</v>
      </c>
      <c r="E44" s="164">
        <f>E109*$G$109/(10^6)</f>
        <v>0</v>
      </c>
      <c r="F44" s="164"/>
      <c r="G44" s="164">
        <f>F109*$G$109/(10^6)</f>
        <v>0</v>
      </c>
      <c r="H44" s="187">
        <f>D44+(E44*$L$5)+(G44*$L$7)</f>
        <v>2.181564</v>
      </c>
      <c r="I44" s="141" t="s">
        <v>193</v>
      </c>
      <c r="J44" s="172"/>
    </row>
    <row r="45" spans="1:24">
      <c r="A45" s="138"/>
      <c r="B45" s="144" t="s">
        <v>195</v>
      </c>
      <c r="C45" s="142" t="s">
        <v>169</v>
      </c>
      <c r="D45" s="164">
        <f>D110*$G$110/(10^6)</f>
        <v>2.181564</v>
      </c>
      <c r="E45" s="164">
        <f>E110*$G$110/(10^6)</f>
        <v>0.001574</v>
      </c>
      <c r="F45" s="164"/>
      <c r="G45" s="164">
        <f>F110*$G$110/(10^6)</f>
        <v>6.296E-5</v>
      </c>
      <c r="H45" s="187">
        <f>D45+(E45*$L$5)+(G45*$L$7)</f>
        <v>2.2454684</v>
      </c>
      <c r="I45" s="141" t="s">
        <v>193</v>
      </c>
      <c r="J45" s="172"/>
    </row>
    <row r="46" spans="1:24">
      <c r="A46" s="138"/>
      <c r="B46" s="144" t="s">
        <v>196</v>
      </c>
      <c r="C46" s="142" t="s">
        <v>169</v>
      </c>
      <c r="D46" s="164">
        <f>D111*$G$111/(10^6)</f>
        <v>2.181564</v>
      </c>
      <c r="E46" s="164">
        <f>E111*$G$111/(10^6)</f>
        <v>0.0037776</v>
      </c>
      <c r="F46" s="164"/>
      <c r="G46" s="164">
        <f>F111*$G$111/(10^6)</f>
        <v>6.296E-5</v>
      </c>
      <c r="H46" s="187">
        <f>D46+(E46*$L$5)+(G46*$L$7)</f>
        <v>2.3115764</v>
      </c>
      <c r="I46" s="141" t="s">
        <v>193</v>
      </c>
      <c r="J46" s="172"/>
    </row>
    <row r="47" spans="1:24">
      <c r="A47" s="162"/>
      <c r="B47" s="143" t="s">
        <v>198</v>
      </c>
      <c r="C47" s="142"/>
      <c r="D47" s="164"/>
      <c r="E47" s="164"/>
      <c r="F47" s="164"/>
      <c r="G47" s="164"/>
      <c r="H47" s="187"/>
      <c r="I47" s="141"/>
      <c r="J47" s="172"/>
    </row>
    <row r="48" spans="1:24">
      <c r="A48" s="162"/>
      <c r="B48" s="144" t="s">
        <v>192</v>
      </c>
      <c r="C48" s="142" t="s">
        <v>169</v>
      </c>
      <c r="D48" s="164">
        <f>D113*$G$113/(10^6)</f>
        <v>2.181564</v>
      </c>
      <c r="E48" s="164">
        <f>E113*$G$113/(10^6)</f>
        <v>0.0044072</v>
      </c>
      <c r="F48" s="164"/>
      <c r="G48" s="164">
        <f>F113*$G$113/(10^6)</f>
        <v>1.2592E-5</v>
      </c>
      <c r="H48" s="187">
        <f>D48+(E48*$L$5)+(G48*$L$7)</f>
        <v>2.31711688</v>
      </c>
      <c r="I48" s="141" t="s">
        <v>193</v>
      </c>
      <c r="J48" s="172"/>
    </row>
    <row r="49" spans="1:24">
      <c r="A49" s="138"/>
      <c r="B49" s="144" t="s">
        <v>194</v>
      </c>
      <c r="C49" s="142" t="s">
        <v>169</v>
      </c>
      <c r="D49" s="164">
        <f>D114*$G$114/(10^6)</f>
        <v>2.181564</v>
      </c>
      <c r="E49" s="164">
        <f>E114*$G$114/(10^6)</f>
        <v>0.0053516</v>
      </c>
      <c r="F49" s="164"/>
      <c r="G49" s="164">
        <f>F114*$G$114/(10^6)</f>
        <v>1.2592E-5</v>
      </c>
      <c r="H49" s="187">
        <f>D49+(E49*$L$5)+(G49*$L$7)</f>
        <v>2.34544888</v>
      </c>
      <c r="I49" s="141" t="s">
        <v>193</v>
      </c>
      <c r="J49" s="172"/>
    </row>
    <row r="50" spans="1:24">
      <c r="A50" s="138"/>
      <c r="B50" s="144" t="s">
        <v>195</v>
      </c>
      <c r="C50" s="142" t="s">
        <v>169</v>
      </c>
      <c r="D50" s="164">
        <f>D115*$G$115/(10^6)</f>
        <v>2.181564</v>
      </c>
      <c r="E50" s="164">
        <f>E115*$G$115/(10^6)</f>
        <v>0.0040924</v>
      </c>
      <c r="F50" s="164"/>
      <c r="G50" s="164">
        <f>F115*$G$115/(10^6)</f>
        <v>1.2592E-5</v>
      </c>
      <c r="H50" s="187">
        <f>D50+(E50*$L$5)+(G50*$L$7)</f>
        <v>2.30767288</v>
      </c>
      <c r="I50" s="141" t="s">
        <v>193</v>
      </c>
      <c r="J50" s="172"/>
    </row>
    <row r="51" spans="1:24">
      <c r="A51" s="138"/>
      <c r="B51" s="144" t="s">
        <v>196</v>
      </c>
      <c r="C51" s="142" t="s">
        <v>169</v>
      </c>
      <c r="D51" s="164">
        <f>D116*$G$116/(10^6)</f>
        <v>2.181564</v>
      </c>
      <c r="E51" s="164">
        <f>E116*$G$116/(10^6)</f>
        <v>0.0056664</v>
      </c>
      <c r="F51" s="164"/>
      <c r="G51" s="164">
        <f>F116*$G$116/(10^6)</f>
        <v>1.2592E-5</v>
      </c>
      <c r="H51" s="187">
        <f>D51+(E51*$L$5)+(G51*$L$7)</f>
        <v>2.35489288</v>
      </c>
      <c r="I51" s="141" t="s">
        <v>193</v>
      </c>
      <c r="J51" s="172"/>
    </row>
    <row r="52" spans="1:24">
      <c r="A52" s="162" t="s">
        <v>223</v>
      </c>
      <c r="B52" s="144"/>
      <c r="C52" s="142"/>
      <c r="D52" s="164"/>
      <c r="E52" s="164"/>
      <c r="F52" s="164"/>
      <c r="G52" s="164"/>
      <c r="H52" s="187"/>
      <c r="I52" s="141"/>
      <c r="J52" s="172"/>
    </row>
    <row r="53" spans="1:24" customHeight="1" ht="45">
      <c r="A53" s="184"/>
      <c r="B53" s="185" t="s">
        <v>224</v>
      </c>
      <c r="C53" s="141" t="s">
        <v>225</v>
      </c>
      <c r="D53" s="164" t="s">
        <v>226</v>
      </c>
      <c r="E53" s="164" t="s">
        <v>226</v>
      </c>
      <c r="F53" s="164" t="s">
        <v>226</v>
      </c>
      <c r="G53" s="164" t="s">
        <v>226</v>
      </c>
      <c r="H53" s="187">
        <v>0.4999</v>
      </c>
      <c r="I53" s="183" t="s">
        <v>227</v>
      </c>
      <c r="J53" s="172"/>
      <c r="K53" s="229"/>
    </row>
    <row r="54" spans="1:24">
      <c r="A54" s="193" t="s">
        <v>228</v>
      </c>
      <c r="B54" s="185"/>
      <c r="C54" s="141"/>
      <c r="D54" s="164"/>
      <c r="E54" s="164"/>
      <c r="F54" s="164"/>
      <c r="G54" s="164"/>
      <c r="H54" s="187"/>
      <c r="I54" s="183"/>
      <c r="J54" s="172"/>
    </row>
    <row r="55" spans="1:24">
      <c r="A55" s="193"/>
      <c r="B55" s="185" t="s">
        <v>229</v>
      </c>
      <c r="C55" s="141" t="s">
        <v>167</v>
      </c>
      <c r="D55" s="164" t="s">
        <v>226</v>
      </c>
      <c r="E55" s="164" t="s">
        <v>226</v>
      </c>
      <c r="F55" s="164" t="s">
        <v>226</v>
      </c>
      <c r="G55" s="164" t="s">
        <v>226</v>
      </c>
      <c r="H55" s="187">
        <v>1760</v>
      </c>
      <c r="I55" s="183" t="s">
        <v>230</v>
      </c>
      <c r="J55" s="172"/>
    </row>
    <row r="56" spans="1:24">
      <c r="A56" s="184"/>
      <c r="B56" s="185" t="s">
        <v>231</v>
      </c>
      <c r="C56" s="141" t="s">
        <v>167</v>
      </c>
      <c r="D56" s="164" t="s">
        <v>226</v>
      </c>
      <c r="E56" s="164" t="s">
        <v>226</v>
      </c>
      <c r="F56" s="164" t="s">
        <v>226</v>
      </c>
      <c r="G56" s="164" t="s">
        <v>226</v>
      </c>
      <c r="H56" s="187">
        <v>677</v>
      </c>
      <c r="I56" s="183" t="s">
        <v>230</v>
      </c>
      <c r="J56" s="172"/>
    </row>
    <row r="57" spans="1:24">
      <c r="A57" s="184"/>
      <c r="B57" s="185" t="s">
        <v>232</v>
      </c>
      <c r="C57" s="141" t="s">
        <v>167</v>
      </c>
      <c r="D57" s="164" t="s">
        <v>226</v>
      </c>
      <c r="E57" s="164" t="s">
        <v>226</v>
      </c>
      <c r="F57" s="164" t="s">
        <v>226</v>
      </c>
      <c r="G57" s="164" t="s">
        <v>226</v>
      </c>
      <c r="H57" s="187">
        <v>3170</v>
      </c>
      <c r="I57" s="183" t="s">
        <v>230</v>
      </c>
      <c r="J57" s="172"/>
    </row>
    <row r="58" spans="1:24">
      <c r="A58" s="184"/>
      <c r="B58" s="185" t="s">
        <v>233</v>
      </c>
      <c r="C58" s="141" t="s">
        <v>167</v>
      </c>
      <c r="D58" s="164" t="s">
        <v>226</v>
      </c>
      <c r="E58" s="164" t="s">
        <v>226</v>
      </c>
      <c r="F58" s="164" t="s">
        <v>226</v>
      </c>
      <c r="G58" s="164" t="s">
        <v>226</v>
      </c>
      <c r="H58" s="187">
        <v>1120</v>
      </c>
      <c r="I58" s="183" t="s">
        <v>230</v>
      </c>
      <c r="J58" s="172"/>
    </row>
    <row r="59" spans="1:24">
      <c r="A59" s="184"/>
      <c r="B59" s="185" t="s">
        <v>234</v>
      </c>
      <c r="C59" s="141" t="s">
        <v>167</v>
      </c>
      <c r="D59" s="164" t="s">
        <v>226</v>
      </c>
      <c r="E59" s="164" t="s">
        <v>226</v>
      </c>
      <c r="F59" s="164" t="s">
        <v>226</v>
      </c>
      <c r="G59" s="164" t="s">
        <v>226</v>
      </c>
      <c r="H59" s="187">
        <v>1300</v>
      </c>
      <c r="I59" s="183" t="s">
        <v>230</v>
      </c>
      <c r="J59" s="172"/>
    </row>
    <row r="60" spans="1:24">
      <c r="A60" s="184"/>
      <c r="B60" s="185" t="s">
        <v>235</v>
      </c>
      <c r="C60" s="141" t="s">
        <v>167</v>
      </c>
      <c r="D60" s="164" t="s">
        <v>226</v>
      </c>
      <c r="E60" s="164" t="s">
        <v>226</v>
      </c>
      <c r="F60" s="164" t="s">
        <v>226</v>
      </c>
      <c r="G60" s="164" t="s">
        <v>226</v>
      </c>
      <c r="H60" s="187">
        <v>328</v>
      </c>
      <c r="I60" s="183" t="s">
        <v>230</v>
      </c>
      <c r="J60" s="172"/>
    </row>
    <row r="61" spans="1:24">
      <c r="A61" s="184"/>
      <c r="B61" s="185" t="s">
        <v>236</v>
      </c>
      <c r="C61" s="141" t="s">
        <v>167</v>
      </c>
      <c r="D61" s="164" t="s">
        <v>226</v>
      </c>
      <c r="E61" s="164" t="s">
        <v>226</v>
      </c>
      <c r="F61" s="164" t="s">
        <v>226</v>
      </c>
      <c r="G61" s="164" t="s">
        <v>226</v>
      </c>
      <c r="H61" s="187">
        <v>4800</v>
      </c>
      <c r="I61" s="183" t="s">
        <v>230</v>
      </c>
      <c r="J61" s="172"/>
    </row>
    <row r="62" spans="1:24">
      <c r="A62" s="219"/>
      <c r="B62" s="220"/>
      <c r="C62" s="221"/>
      <c r="D62" s="222"/>
      <c r="E62" s="222"/>
      <c r="F62" s="222"/>
      <c r="G62" s="222"/>
      <c r="H62" s="188"/>
      <c r="I62" s="223"/>
      <c r="J62" s="172"/>
    </row>
    <row r="63" spans="1:24">
      <c r="A63" s="137" t="s">
        <v>237</v>
      </c>
      <c r="B63" s="224"/>
      <c r="C63" s="175"/>
      <c r="D63" s="222"/>
      <c r="E63" s="225" t="s">
        <v>238</v>
      </c>
      <c r="F63" s="225"/>
      <c r="G63" s="222"/>
      <c r="H63" s="188"/>
      <c r="I63" s="221"/>
      <c r="J63" s="172"/>
    </row>
    <row r="64" spans="1:24">
      <c r="B64" s="224"/>
      <c r="C64" s="175"/>
      <c r="D64" s="222"/>
      <c r="E64" s="222"/>
      <c r="F64" s="222"/>
      <c r="G64" s="222"/>
      <c r="H64" s="188"/>
      <c r="I64" s="221"/>
      <c r="J64" s="172"/>
    </row>
    <row r="65" spans="1:24">
      <c r="B65" s="166"/>
      <c r="C65" s="166"/>
      <c r="D65" s="167"/>
      <c r="E65" s="167"/>
      <c r="F65" s="167"/>
      <c r="G65" s="167"/>
    </row>
    <row r="66" spans="1:24" s="146" customFormat="1">
      <c r="A66" s="145" t="s">
        <v>161</v>
      </c>
      <c r="B66" s="168"/>
      <c r="C66" s="168"/>
      <c r="D66" s="169"/>
      <c r="E66" s="170"/>
      <c r="F66" s="170"/>
      <c r="G66" s="169"/>
      <c r="H66" s="189"/>
    </row>
    <row r="67" spans="1:24">
      <c r="D67" s="147"/>
      <c r="E67" s="148" t="s">
        <v>199</v>
      </c>
      <c r="F67" s="148"/>
      <c r="G67" s="190" t="s">
        <v>200</v>
      </c>
      <c r="H67" s="137"/>
    </row>
    <row r="68" spans="1:24" customHeight="1" ht="14.25">
      <c r="B68" s="140"/>
      <c r="C68" s="139"/>
      <c r="D68" s="648" t="s">
        <v>201</v>
      </c>
      <c r="E68" s="649"/>
      <c r="F68" s="650"/>
      <c r="G68" s="191" t="s">
        <v>202</v>
      </c>
      <c r="H68" s="137"/>
    </row>
    <row r="69" spans="1:24">
      <c r="B69" s="140"/>
      <c r="C69" s="139" t="s">
        <v>203</v>
      </c>
      <c r="D69" s="217" t="s">
        <v>111</v>
      </c>
      <c r="E69" s="139" t="s">
        <v>122</v>
      </c>
      <c r="F69" s="139" t="s">
        <v>123</v>
      </c>
      <c r="G69" s="191" t="s">
        <v>204</v>
      </c>
      <c r="H69" s="137"/>
    </row>
    <row r="70" spans="1:24">
      <c r="B70" s="140" t="s">
        <v>162</v>
      </c>
      <c r="C70" s="139" t="s">
        <v>163</v>
      </c>
      <c r="D70" s="226">
        <v>56100</v>
      </c>
      <c r="E70" s="227">
        <v>1</v>
      </c>
      <c r="F70" s="227">
        <v>0.1</v>
      </c>
      <c r="G70" s="191">
        <v>1.02</v>
      </c>
      <c r="H70" s="137" t="s">
        <v>205</v>
      </c>
    </row>
    <row r="71" spans="1:24">
      <c r="B71" s="140" t="s">
        <v>166</v>
      </c>
      <c r="C71" s="139" t="s">
        <v>167</v>
      </c>
      <c r="D71" s="226">
        <v>101000</v>
      </c>
      <c r="E71" s="227">
        <v>1</v>
      </c>
      <c r="F71" s="227">
        <v>1.5</v>
      </c>
      <c r="G71" s="191">
        <v>10.47</v>
      </c>
      <c r="H71" s="137"/>
    </row>
    <row r="72" spans="1:24">
      <c r="B72" s="140" t="s">
        <v>239</v>
      </c>
      <c r="C72" s="139" t="s">
        <v>169</v>
      </c>
      <c r="D72" s="226">
        <v>77400</v>
      </c>
      <c r="E72" s="227">
        <v>3</v>
      </c>
      <c r="F72" s="227">
        <v>0.6</v>
      </c>
      <c r="G72" s="191">
        <v>41.46897214950003</v>
      </c>
      <c r="H72" s="137" t="s">
        <v>206</v>
      </c>
      <c r="K72" s="175"/>
      <c r="L72" s="173"/>
    </row>
    <row r="73" spans="1:24">
      <c r="B73" s="140" t="s">
        <v>240</v>
      </c>
      <c r="C73" s="139" t="s">
        <v>169</v>
      </c>
      <c r="D73" s="226">
        <v>77400</v>
      </c>
      <c r="E73" s="227">
        <v>3</v>
      </c>
      <c r="F73" s="227">
        <v>0.6</v>
      </c>
      <c r="G73" s="191">
        <v>41.80025970210002</v>
      </c>
      <c r="H73" s="137" t="s">
        <v>206</v>
      </c>
      <c r="K73" s="175"/>
      <c r="L73" s="173"/>
    </row>
    <row r="74" spans="1:24">
      <c r="B74" s="140" t="s">
        <v>173</v>
      </c>
      <c r="C74" s="139" t="s">
        <v>169</v>
      </c>
      <c r="D74" s="226">
        <v>74100</v>
      </c>
      <c r="E74" s="227">
        <v>3</v>
      </c>
      <c r="F74" s="227">
        <v>0.6</v>
      </c>
      <c r="G74" s="191">
        <v>36.42</v>
      </c>
      <c r="H74" s="137"/>
    </row>
    <row r="75" spans="1:24">
      <c r="B75" s="140" t="s">
        <v>174</v>
      </c>
      <c r="C75" s="139" t="s">
        <v>167</v>
      </c>
      <c r="D75" s="226">
        <v>98300</v>
      </c>
      <c r="E75" s="227">
        <v>1</v>
      </c>
      <c r="F75" s="227">
        <v>1.5</v>
      </c>
      <c r="G75" s="191">
        <v>31.4</v>
      </c>
      <c r="H75" s="137"/>
    </row>
    <row r="76" spans="1:24">
      <c r="B76" s="228" t="s">
        <v>175</v>
      </c>
      <c r="C76" s="227" t="s">
        <v>167</v>
      </c>
      <c r="D76" s="226">
        <v>96100</v>
      </c>
      <c r="E76" s="227">
        <v>1</v>
      </c>
      <c r="F76" s="227">
        <v>1.5</v>
      </c>
      <c r="G76" s="191">
        <v>26.37</v>
      </c>
      <c r="H76" s="137"/>
    </row>
    <row r="77" spans="1:24">
      <c r="B77" s="140" t="s">
        <v>176</v>
      </c>
      <c r="C77" s="139" t="s">
        <v>169</v>
      </c>
      <c r="D77" s="226">
        <v>71500</v>
      </c>
      <c r="E77" s="227">
        <v>3</v>
      </c>
      <c r="F77" s="227">
        <v>0.6</v>
      </c>
      <c r="G77" s="191">
        <v>34.53</v>
      </c>
      <c r="H77" s="137"/>
    </row>
    <row r="78" spans="1:24">
      <c r="B78" s="140" t="s">
        <v>177</v>
      </c>
      <c r="C78" s="139" t="s">
        <v>169</v>
      </c>
      <c r="D78" s="226">
        <v>63100</v>
      </c>
      <c r="E78" s="227">
        <v>1</v>
      </c>
      <c r="F78" s="227">
        <v>0.1</v>
      </c>
      <c r="G78" s="191">
        <v>26.62</v>
      </c>
      <c r="H78" s="137"/>
    </row>
    <row r="79" spans="1:24">
      <c r="B79" s="140" t="s">
        <v>179</v>
      </c>
      <c r="C79" s="139" t="s">
        <v>169</v>
      </c>
      <c r="D79" s="226">
        <v>69300</v>
      </c>
      <c r="E79" s="227">
        <v>3</v>
      </c>
      <c r="F79" s="227">
        <v>0.6</v>
      </c>
      <c r="G79" s="191">
        <f>G91</f>
        <v>31.48</v>
      </c>
      <c r="H79" s="137"/>
    </row>
    <row r="80" spans="1:24">
      <c r="B80" s="140" t="s">
        <v>241</v>
      </c>
      <c r="C80" s="139" t="s">
        <v>167</v>
      </c>
      <c r="D80" s="226">
        <v>112000</v>
      </c>
      <c r="E80" s="227">
        <v>30</v>
      </c>
      <c r="F80" s="227">
        <v>4</v>
      </c>
      <c r="G80" s="191">
        <v>15.99</v>
      </c>
      <c r="H80" s="137"/>
    </row>
    <row r="81" spans="1:24">
      <c r="B81" s="140" t="s">
        <v>242</v>
      </c>
      <c r="C81" s="139"/>
      <c r="D81" s="226"/>
      <c r="E81" s="227"/>
      <c r="F81" s="227"/>
      <c r="G81" s="191"/>
      <c r="H81" s="137"/>
    </row>
    <row r="82" spans="1:24">
      <c r="B82" s="140" t="s">
        <v>213</v>
      </c>
      <c r="C82" s="139" t="s">
        <v>167</v>
      </c>
      <c r="D82" s="226">
        <v>100000</v>
      </c>
      <c r="E82" s="227">
        <v>30</v>
      </c>
      <c r="F82" s="227">
        <v>4</v>
      </c>
      <c r="G82" s="191">
        <v>7.53</v>
      </c>
      <c r="H82" s="137"/>
    </row>
    <row r="83" spans="1:24">
      <c r="B83" s="140" t="s">
        <v>214</v>
      </c>
      <c r="C83" s="139" t="s">
        <v>167</v>
      </c>
      <c r="D83" s="226">
        <v>100000</v>
      </c>
      <c r="E83" s="227">
        <v>30</v>
      </c>
      <c r="F83" s="227">
        <v>4</v>
      </c>
      <c r="G83" s="191">
        <v>18.53</v>
      </c>
      <c r="H83" s="137"/>
    </row>
    <row r="84" spans="1:24">
      <c r="B84" s="140" t="s">
        <v>215</v>
      </c>
      <c r="C84" s="139" t="s">
        <v>167</v>
      </c>
      <c r="D84" s="226">
        <v>100000</v>
      </c>
      <c r="E84" s="227">
        <v>30</v>
      </c>
      <c r="F84" s="227">
        <v>4</v>
      </c>
      <c r="G84" s="191">
        <v>16.78</v>
      </c>
      <c r="H84" s="137"/>
    </row>
    <row r="85" spans="1:24" customHeight="1" ht="17.25">
      <c r="B85" s="140" t="s">
        <v>216</v>
      </c>
      <c r="C85" s="139" t="s">
        <v>243</v>
      </c>
      <c r="D85" s="226">
        <v>54600</v>
      </c>
      <c r="E85" s="227">
        <v>1</v>
      </c>
      <c r="F85" s="227">
        <v>0.1</v>
      </c>
      <c r="G85" s="191">
        <v>20.93</v>
      </c>
      <c r="H85" s="137"/>
    </row>
    <row r="86" spans="1:24">
      <c r="D86" s="147"/>
      <c r="E86" s="147"/>
      <c r="F86" s="147"/>
      <c r="G86" s="190"/>
      <c r="H86" s="137"/>
    </row>
    <row r="87" spans="1:24" s="146" customFormat="1">
      <c r="A87" s="145" t="s">
        <v>180</v>
      </c>
      <c r="B87" s="168"/>
      <c r="C87" s="168"/>
      <c r="D87" s="169"/>
      <c r="E87" s="170"/>
      <c r="F87" s="169"/>
      <c r="G87" s="189"/>
    </row>
    <row r="88" spans="1:24">
      <c r="D88" s="639" t="s">
        <v>199</v>
      </c>
      <c r="E88" s="639"/>
      <c r="F88" s="639"/>
      <c r="G88" s="190" t="s">
        <v>200</v>
      </c>
      <c r="H88" s="137"/>
    </row>
    <row r="89" spans="1:24">
      <c r="B89" s="140"/>
      <c r="C89" s="138"/>
      <c r="D89" s="648" t="s">
        <v>201</v>
      </c>
      <c r="E89" s="649"/>
      <c r="F89" s="650"/>
      <c r="G89" s="191" t="s">
        <v>202</v>
      </c>
      <c r="H89" s="137"/>
    </row>
    <row r="90" spans="1:24">
      <c r="B90" s="140"/>
      <c r="C90" s="142" t="s">
        <v>203</v>
      </c>
      <c r="D90" s="139" t="s">
        <v>111</v>
      </c>
      <c r="E90" s="217" t="s">
        <v>122</v>
      </c>
      <c r="F90" s="139" t="s">
        <v>123</v>
      </c>
      <c r="G90" s="191" t="s">
        <v>204</v>
      </c>
      <c r="H90" s="137"/>
    </row>
    <row r="91" spans="1:24">
      <c r="B91" s="140" t="s">
        <v>181</v>
      </c>
      <c r="C91" s="142" t="s">
        <v>169</v>
      </c>
      <c r="D91" s="139">
        <v>69300</v>
      </c>
      <c r="E91" s="150">
        <v>33</v>
      </c>
      <c r="F91" s="139">
        <v>3.2</v>
      </c>
      <c r="G91" s="191">
        <v>31.48</v>
      </c>
      <c r="H91" s="137" t="s">
        <v>207</v>
      </c>
    </row>
    <row r="92" spans="1:24">
      <c r="B92" s="140" t="s">
        <v>208</v>
      </c>
      <c r="C92" s="142" t="s">
        <v>169</v>
      </c>
      <c r="D92" s="139">
        <v>69300</v>
      </c>
      <c r="E92" s="150">
        <v>25</v>
      </c>
      <c r="F92" s="139">
        <v>8</v>
      </c>
      <c r="G92" s="191">
        <v>31.48</v>
      </c>
      <c r="H92" s="137"/>
    </row>
    <row r="93" spans="1:24">
      <c r="B93" s="140" t="s">
        <v>184</v>
      </c>
      <c r="C93" s="142" t="s">
        <v>169</v>
      </c>
      <c r="D93" s="139">
        <v>69300</v>
      </c>
      <c r="E93" s="150">
        <v>3.8</v>
      </c>
      <c r="F93" s="139">
        <v>5.7</v>
      </c>
      <c r="G93" s="191">
        <v>31.48</v>
      </c>
      <c r="H93" s="137"/>
    </row>
    <row r="94" spans="1:24">
      <c r="B94" s="140" t="s">
        <v>185</v>
      </c>
      <c r="C94" s="142" t="s">
        <v>169</v>
      </c>
      <c r="D94" s="139">
        <v>74100</v>
      </c>
      <c r="E94" s="150">
        <v>3.9</v>
      </c>
      <c r="F94" s="139">
        <v>3.9</v>
      </c>
      <c r="G94" s="191">
        <f>G74</f>
        <v>36.42</v>
      </c>
      <c r="H94" s="137"/>
    </row>
    <row r="95" spans="1:24">
      <c r="B95" s="140" t="s">
        <v>186</v>
      </c>
      <c r="C95" s="142" t="s">
        <v>167</v>
      </c>
      <c r="D95" s="139">
        <v>56100</v>
      </c>
      <c r="E95" s="150">
        <v>92</v>
      </c>
      <c r="F95" s="139">
        <v>3</v>
      </c>
      <c r="G95" s="191">
        <v>37.9</v>
      </c>
      <c r="H95" s="137" t="s">
        <v>206</v>
      </c>
    </row>
    <row r="96" spans="1:24">
      <c r="B96" s="140" t="s">
        <v>188</v>
      </c>
      <c r="C96" s="142" t="s">
        <v>169</v>
      </c>
      <c r="D96" s="139">
        <v>63100</v>
      </c>
      <c r="E96" s="150">
        <v>62</v>
      </c>
      <c r="F96" s="139">
        <v>0.2</v>
      </c>
      <c r="G96" s="191">
        <f>G78</f>
        <v>26.62</v>
      </c>
      <c r="H96" s="137"/>
    </row>
    <row r="97" spans="1:24">
      <c r="D97" s="147"/>
      <c r="E97" s="147"/>
      <c r="F97" s="147"/>
      <c r="G97" s="172"/>
      <c r="H97" s="137"/>
    </row>
    <row r="98" spans="1:24" s="146" customFormat="1">
      <c r="A98" s="145" t="s">
        <v>209</v>
      </c>
      <c r="B98" s="168"/>
      <c r="C98" s="168"/>
      <c r="D98" s="169"/>
      <c r="E98" s="170"/>
      <c r="F98" s="169"/>
      <c r="G98" s="189"/>
    </row>
    <row r="99" spans="1:24">
      <c r="D99" s="639" t="s">
        <v>199</v>
      </c>
      <c r="E99" s="639"/>
      <c r="F99" s="639"/>
      <c r="G99" s="190" t="s">
        <v>200</v>
      </c>
      <c r="H99" s="137"/>
    </row>
    <row r="100" spans="1:24">
      <c r="B100" s="140"/>
      <c r="C100" s="138"/>
      <c r="D100" s="648" t="s">
        <v>201</v>
      </c>
      <c r="E100" s="649"/>
      <c r="F100" s="650"/>
      <c r="G100" s="191" t="s">
        <v>202</v>
      </c>
      <c r="H100" s="137"/>
    </row>
    <row r="101" spans="1:24">
      <c r="B101" s="140"/>
      <c r="C101" s="142" t="s">
        <v>203</v>
      </c>
      <c r="D101" s="139" t="s">
        <v>111</v>
      </c>
      <c r="E101" s="217" t="s">
        <v>122</v>
      </c>
      <c r="F101" s="139" t="s">
        <v>123</v>
      </c>
      <c r="G101" s="191" t="s">
        <v>204</v>
      </c>
      <c r="H101" s="137"/>
    </row>
    <row r="102" spans="1:24">
      <c r="B102" s="143" t="s">
        <v>191</v>
      </c>
      <c r="C102" s="142"/>
      <c r="D102" s="139"/>
      <c r="E102" s="150"/>
      <c r="F102" s="139"/>
      <c r="G102" s="191"/>
      <c r="H102" s="137"/>
    </row>
    <row r="103" spans="1:24">
      <c r="B103" s="144" t="s">
        <v>192</v>
      </c>
      <c r="C103" s="142" t="s">
        <v>169</v>
      </c>
      <c r="D103" s="139">
        <v>74100</v>
      </c>
      <c r="E103" s="150">
        <v>4.15</v>
      </c>
      <c r="F103" s="139">
        <v>28.6</v>
      </c>
      <c r="G103" s="191">
        <v>36.42</v>
      </c>
      <c r="H103" s="137"/>
    </row>
    <row r="104" spans="1:24">
      <c r="B104" s="144" t="s">
        <v>194</v>
      </c>
      <c r="C104" s="142" t="s">
        <v>169</v>
      </c>
      <c r="D104" s="139">
        <v>74100</v>
      </c>
      <c r="E104" s="150">
        <v>4.15</v>
      </c>
      <c r="F104" s="139">
        <v>28.6</v>
      </c>
      <c r="G104" s="191">
        <v>36.42</v>
      </c>
      <c r="H104" s="137"/>
    </row>
    <row r="105" spans="1:24">
      <c r="B105" s="144" t="s">
        <v>195</v>
      </c>
      <c r="C105" s="142" t="s">
        <v>169</v>
      </c>
      <c r="D105" s="139">
        <v>74100</v>
      </c>
      <c r="E105" s="150">
        <v>4.15</v>
      </c>
      <c r="F105" s="139">
        <v>28.6</v>
      </c>
      <c r="G105" s="191">
        <v>36.42</v>
      </c>
      <c r="H105" s="137"/>
    </row>
    <row r="106" spans="1:24">
      <c r="B106" s="144" t="s">
        <v>196</v>
      </c>
      <c r="C106" s="142" t="s">
        <v>169</v>
      </c>
      <c r="D106" s="139">
        <v>74100</v>
      </c>
      <c r="E106" s="150">
        <v>4.15</v>
      </c>
      <c r="F106" s="139">
        <v>28.6</v>
      </c>
      <c r="G106" s="191">
        <v>36.42</v>
      </c>
      <c r="H106" s="137"/>
    </row>
    <row r="107" spans="1:24">
      <c r="B107" s="143" t="s">
        <v>197</v>
      </c>
      <c r="C107" s="142"/>
      <c r="D107" s="139"/>
      <c r="E107" s="150"/>
      <c r="F107" s="139"/>
      <c r="G107" s="191"/>
      <c r="H107" s="137"/>
    </row>
    <row r="108" spans="1:24">
      <c r="B108" s="144" t="s">
        <v>192</v>
      </c>
      <c r="C108" s="142" t="s">
        <v>169</v>
      </c>
      <c r="D108" s="151">
        <v>69300</v>
      </c>
      <c r="E108" s="151">
        <v>80</v>
      </c>
      <c r="F108" s="151">
        <v>2</v>
      </c>
      <c r="G108" s="191">
        <v>31.48</v>
      </c>
      <c r="H108" s="137"/>
    </row>
    <row r="109" spans="1:24">
      <c r="B109" s="144" t="s">
        <v>194</v>
      </c>
      <c r="C109" s="142" t="s">
        <v>169</v>
      </c>
      <c r="D109" s="151">
        <v>69300</v>
      </c>
      <c r="E109" s="151"/>
      <c r="F109" s="151"/>
      <c r="G109" s="191">
        <v>31.48</v>
      </c>
      <c r="H109" s="137"/>
    </row>
    <row r="110" spans="1:24">
      <c r="B110" s="144" t="s">
        <v>195</v>
      </c>
      <c r="C110" s="142" t="s">
        <v>169</v>
      </c>
      <c r="D110" s="151">
        <v>69300</v>
      </c>
      <c r="E110" s="151">
        <v>50</v>
      </c>
      <c r="F110" s="151">
        <v>2</v>
      </c>
      <c r="G110" s="191">
        <v>31.48</v>
      </c>
      <c r="H110" s="137"/>
    </row>
    <row r="111" spans="1:24">
      <c r="B111" s="144" t="s">
        <v>196</v>
      </c>
      <c r="C111" s="142" t="s">
        <v>169</v>
      </c>
      <c r="D111" s="151">
        <v>69300</v>
      </c>
      <c r="E111" s="151">
        <v>120</v>
      </c>
      <c r="F111" s="151">
        <v>2</v>
      </c>
      <c r="G111" s="191">
        <v>31.48</v>
      </c>
      <c r="H111" s="137"/>
    </row>
    <row r="112" spans="1:24">
      <c r="B112" s="143" t="s">
        <v>198</v>
      </c>
      <c r="C112" s="138"/>
      <c r="D112" s="153"/>
      <c r="E112" s="153"/>
      <c r="F112" s="153"/>
      <c r="G112" s="192"/>
      <c r="H112" s="137"/>
    </row>
    <row r="113" spans="1:24">
      <c r="B113" s="144" t="s">
        <v>192</v>
      </c>
      <c r="C113" s="142" t="s">
        <v>169</v>
      </c>
      <c r="D113" s="151">
        <v>69300</v>
      </c>
      <c r="E113" s="151">
        <v>140</v>
      </c>
      <c r="F113" s="151">
        <v>0.4</v>
      </c>
      <c r="G113" s="191">
        <v>31.48</v>
      </c>
      <c r="H113" s="137"/>
    </row>
    <row r="114" spans="1:24">
      <c r="B114" s="144" t="s">
        <v>194</v>
      </c>
      <c r="C114" s="142" t="s">
        <v>169</v>
      </c>
      <c r="D114" s="151">
        <v>69300</v>
      </c>
      <c r="E114" s="151">
        <v>170</v>
      </c>
      <c r="F114" s="151">
        <v>0.4</v>
      </c>
      <c r="G114" s="191">
        <v>31.48</v>
      </c>
      <c r="H114" s="137"/>
    </row>
    <row r="115" spans="1:24">
      <c r="B115" s="144" t="s">
        <v>195</v>
      </c>
      <c r="C115" s="142" t="s">
        <v>169</v>
      </c>
      <c r="D115" s="151">
        <v>69300</v>
      </c>
      <c r="E115" s="151">
        <v>130</v>
      </c>
      <c r="F115" s="151">
        <v>0.4</v>
      </c>
      <c r="G115" s="191">
        <v>31.48</v>
      </c>
      <c r="H115" s="137"/>
    </row>
    <row r="116" spans="1:24">
      <c r="B116" s="144" t="s">
        <v>196</v>
      </c>
      <c r="C116" s="142" t="s">
        <v>169</v>
      </c>
      <c r="D116" s="151">
        <v>69300</v>
      </c>
      <c r="E116" s="151">
        <v>180</v>
      </c>
      <c r="F116" s="151">
        <v>0.4</v>
      </c>
      <c r="G116" s="191">
        <v>31.48</v>
      </c>
      <c r="H116" s="137"/>
    </row>
    <row r="117" spans="1:24">
      <c r="D117" s="147"/>
      <c r="E117" s="147"/>
      <c r="F117" s="147"/>
      <c r="G117" s="172"/>
      <c r="H117" s="137"/>
    </row>
    <row r="118" spans="1:24">
      <c r="D118" s="147"/>
      <c r="E118" s="147"/>
      <c r="F118" s="147"/>
      <c r="G118" s="172"/>
      <c r="H118" s="137"/>
    </row>
    <row r="119" spans="1:24">
      <c r="D119" s="147"/>
      <c r="E119" s="147"/>
      <c r="F119" s="147"/>
      <c r="G119" s="172"/>
      <c r="H119" s="137"/>
    </row>
    <row r="120" spans="1:24">
      <c r="D120" s="147"/>
      <c r="E120" s="147"/>
      <c r="F120" s="147"/>
      <c r="G120" s="172"/>
      <c r="H120" s="137"/>
    </row>
    <row r="121" spans="1:24">
      <c r="D121" s="147"/>
      <c r="E121" s="147"/>
      <c r="F121" s="147"/>
      <c r="G121" s="172"/>
      <c r="H121" s="137"/>
    </row>
    <row r="122" spans="1:24">
      <c r="D122" s="147"/>
      <c r="E122" s="147"/>
      <c r="F122" s="147"/>
      <c r="G122" s="172"/>
      <c r="H122" s="137"/>
    </row>
    <row r="123" spans="1:24">
      <c r="D123" s="147"/>
      <c r="E123" s="147"/>
      <c r="F123" s="147"/>
      <c r="G123" s="172"/>
      <c r="H123" s="137"/>
    </row>
    <row r="124" spans="1:24">
      <c r="D124" s="147"/>
      <c r="E124" s="147"/>
      <c r="F124" s="147"/>
      <c r="G124" s="147"/>
    </row>
    <row r="125" spans="1:24">
      <c r="D125" s="147"/>
      <c r="E125" s="147"/>
      <c r="F125" s="147"/>
      <c r="G125" s="147"/>
    </row>
    <row r="126" spans="1:24">
      <c r="D126" s="147"/>
      <c r="E126" s="147"/>
      <c r="F126" s="147"/>
      <c r="G126" s="147"/>
    </row>
    <row r="127" spans="1:24">
      <c r="D127" s="147"/>
      <c r="E127" s="147"/>
      <c r="F127" s="147"/>
      <c r="G127" s="147"/>
    </row>
    <row r="128" spans="1:24">
      <c r="D128" s="147"/>
      <c r="E128" s="147"/>
      <c r="F128" s="147"/>
      <c r="G128" s="147"/>
    </row>
    <row r="129" spans="1:24">
      <c r="D129" s="147"/>
      <c r="E129" s="147"/>
      <c r="F129" s="147"/>
      <c r="G129" s="147"/>
    </row>
    <row r="130" spans="1:24">
      <c r="D130" s="147"/>
      <c r="E130" s="147"/>
      <c r="F130" s="147"/>
      <c r="G130" s="147"/>
    </row>
    <row r="131" spans="1:24">
      <c r="D131" s="147"/>
      <c r="E131" s="147"/>
      <c r="F131" s="147"/>
      <c r="G131" s="147"/>
    </row>
    <row r="132" spans="1:24">
      <c r="D132" s="147"/>
      <c r="E132" s="147"/>
      <c r="F132" s="147"/>
      <c r="G132" s="147"/>
    </row>
    <row r="133" spans="1:24">
      <c r="D133" s="147"/>
      <c r="E133" s="147"/>
      <c r="F133" s="147"/>
      <c r="G133" s="147"/>
    </row>
    <row r="134" spans="1:24">
      <c r="D134" s="147"/>
      <c r="E134" s="147"/>
      <c r="F134" s="147"/>
      <c r="G134" s="147"/>
    </row>
    <row r="135" spans="1:24">
      <c r="D135" s="147"/>
      <c r="E135" s="147"/>
      <c r="F135" s="147"/>
      <c r="G135" s="147"/>
    </row>
    <row r="136" spans="1:24">
      <c r="D136" s="147"/>
      <c r="E136" s="147"/>
      <c r="F136" s="147"/>
      <c r="G136" s="147"/>
    </row>
    <row r="137" spans="1:24">
      <c r="D137" s="147"/>
      <c r="E137" s="147"/>
      <c r="F137" s="147"/>
      <c r="G137" s="147"/>
    </row>
    <row r="138" spans="1:24">
      <c r="D138" s="147"/>
      <c r="E138" s="147"/>
      <c r="F138" s="147"/>
      <c r="G138" s="147"/>
    </row>
    <row r="139" spans="1:24">
      <c r="D139" s="147"/>
      <c r="E139" s="147"/>
      <c r="F139" s="147"/>
      <c r="G139" s="147"/>
    </row>
    <row r="140" spans="1:24">
      <c r="D140" s="147"/>
      <c r="E140" s="147"/>
      <c r="F140" s="147"/>
      <c r="G140" s="147"/>
    </row>
    <row r="141" spans="1:24">
      <c r="D141" s="147"/>
      <c r="E141" s="147"/>
      <c r="F141" s="147"/>
      <c r="G141" s="147"/>
    </row>
    <row r="142" spans="1:24">
      <c r="D142" s="147"/>
      <c r="E142" s="147"/>
      <c r="F142" s="147"/>
      <c r="G142" s="147"/>
    </row>
    <row r="143" spans="1:24">
      <c r="D143" s="147"/>
      <c r="E143" s="147"/>
      <c r="F143" s="147"/>
      <c r="G143" s="147"/>
    </row>
    <row r="144" spans="1:24">
      <c r="D144" s="147"/>
      <c r="E144" s="147"/>
      <c r="F144" s="147"/>
      <c r="G144" s="147"/>
    </row>
    <row r="145" spans="1:24">
      <c r="D145" s="147"/>
      <c r="E145" s="147"/>
      <c r="F145" s="147"/>
      <c r="G145" s="147"/>
    </row>
    <row r="146" spans="1:24">
      <c r="D146" s="147"/>
      <c r="E146" s="147"/>
      <c r="F146" s="147"/>
      <c r="G146" s="147"/>
    </row>
    <row r="147" spans="1:24">
      <c r="D147" s="147"/>
      <c r="E147" s="147"/>
      <c r="F147" s="147"/>
      <c r="G147" s="147"/>
    </row>
    <row r="148" spans="1:24">
      <c r="D148" s="147"/>
      <c r="E148" s="147"/>
      <c r="F148" s="147"/>
      <c r="G148" s="147"/>
    </row>
    <row r="149" spans="1:24">
      <c r="D149" s="147"/>
      <c r="E149" s="147"/>
      <c r="F149" s="147"/>
      <c r="G149" s="147"/>
    </row>
    <row r="150" spans="1:24">
      <c r="D150" s="147"/>
      <c r="E150" s="147"/>
      <c r="F150" s="147"/>
      <c r="G150" s="147"/>
    </row>
    <row r="151" spans="1:24">
      <c r="D151" s="147"/>
      <c r="E151" s="147"/>
      <c r="F151" s="147"/>
      <c r="G151" s="147"/>
    </row>
    <row r="152" spans="1:24">
      <c r="D152" s="147"/>
      <c r="E152" s="147"/>
      <c r="F152" s="147"/>
      <c r="G152" s="147"/>
    </row>
    <row r="153" spans="1:24">
      <c r="D153" s="147"/>
      <c r="E153" s="147"/>
      <c r="F153" s="147"/>
      <c r="G153" s="147"/>
    </row>
    <row r="154" spans="1:24">
      <c r="D154" s="147"/>
      <c r="E154" s="147"/>
      <c r="F154" s="147"/>
      <c r="G154" s="147"/>
    </row>
    <row r="155" spans="1:24">
      <c r="D155" s="147"/>
      <c r="E155" s="147"/>
      <c r="F155" s="147"/>
      <c r="G155" s="147"/>
    </row>
    <row r="156" spans="1:24">
      <c r="D156" s="147"/>
      <c r="E156" s="147"/>
      <c r="F156" s="147"/>
      <c r="G156" s="147"/>
    </row>
    <row r="157" spans="1:24">
      <c r="D157" s="147"/>
      <c r="E157" s="147"/>
      <c r="F157" s="147"/>
      <c r="G157" s="147"/>
    </row>
    <row r="158" spans="1:24">
      <c r="D158" s="147"/>
      <c r="E158" s="147"/>
      <c r="F158" s="147"/>
      <c r="G158" s="147"/>
    </row>
    <row r="159" spans="1:24">
      <c r="D159" s="147"/>
      <c r="E159" s="147"/>
      <c r="F159" s="147"/>
      <c r="G159" s="147"/>
    </row>
    <row r="160" spans="1:24">
      <c r="D160" s="147"/>
      <c r="E160" s="147"/>
      <c r="F160" s="147"/>
      <c r="G160" s="147"/>
    </row>
    <row r="161" spans="1:24">
      <c r="D161" s="147"/>
      <c r="E161" s="147"/>
      <c r="F161" s="147"/>
      <c r="G161" s="147"/>
    </row>
    <row r="162" spans="1:24">
      <c r="D162" s="147"/>
      <c r="E162" s="147"/>
      <c r="F162" s="147"/>
      <c r="G162" s="147"/>
    </row>
    <row r="163" spans="1:24">
      <c r="D163" s="147"/>
      <c r="E163" s="147"/>
      <c r="F163" s="147"/>
      <c r="G163" s="147"/>
    </row>
    <row r="164" spans="1:24">
      <c r="D164" s="147"/>
      <c r="E164" s="147"/>
      <c r="F164" s="147"/>
      <c r="G164" s="147"/>
    </row>
    <row r="165" spans="1:24">
      <c r="D165" s="147"/>
      <c r="E165" s="147"/>
      <c r="F165" s="147"/>
      <c r="G165" s="147"/>
    </row>
    <row r="166" spans="1:24">
      <c r="D166" s="147"/>
      <c r="E166" s="147"/>
      <c r="F166" s="147"/>
      <c r="G166" s="147"/>
    </row>
    <row r="167" spans="1:24">
      <c r="D167" s="147"/>
      <c r="E167" s="147"/>
      <c r="F167" s="147"/>
      <c r="G167" s="147"/>
    </row>
    <row r="168" spans="1:24">
      <c r="D168" s="147"/>
      <c r="E168" s="147"/>
      <c r="F168" s="147"/>
      <c r="G168" s="147"/>
    </row>
    <row r="169" spans="1:24">
      <c r="D169" s="147"/>
      <c r="E169" s="147"/>
      <c r="F169" s="147"/>
      <c r="G169" s="147"/>
    </row>
    <row r="170" spans="1:24">
      <c r="D170" s="147"/>
      <c r="E170" s="147"/>
      <c r="F170" s="147"/>
      <c r="G170" s="147"/>
    </row>
    <row r="171" spans="1:24">
      <c r="D171" s="147"/>
      <c r="E171" s="147"/>
      <c r="F171" s="147"/>
      <c r="G171" s="147"/>
    </row>
    <row r="172" spans="1:24">
      <c r="D172" s="147"/>
      <c r="E172" s="147"/>
      <c r="F172" s="147"/>
      <c r="G172" s="147"/>
    </row>
    <row r="173" spans="1:24">
      <c r="D173" s="147"/>
      <c r="E173" s="147"/>
      <c r="F173" s="147"/>
      <c r="G173" s="147"/>
    </row>
    <row r="174" spans="1:24">
      <c r="D174" s="147"/>
      <c r="E174" s="147"/>
      <c r="F174" s="147"/>
      <c r="G174" s="147"/>
    </row>
    <row r="175" spans="1:24">
      <c r="D175" s="147"/>
      <c r="E175" s="147"/>
      <c r="F175" s="147"/>
      <c r="G175" s="147"/>
    </row>
    <row r="176" spans="1:24">
      <c r="D176" s="147"/>
      <c r="E176" s="147"/>
      <c r="F176" s="147"/>
      <c r="G176" s="147"/>
    </row>
    <row r="177" spans="1:24">
      <c r="D177" s="147"/>
      <c r="E177" s="147"/>
      <c r="F177" s="147"/>
      <c r="G177" s="147"/>
    </row>
    <row r="178" spans="1:24">
      <c r="D178" s="147"/>
      <c r="E178" s="147"/>
      <c r="F178" s="147"/>
      <c r="G178" s="147"/>
    </row>
    <row r="179" spans="1:24">
      <c r="D179" s="147"/>
      <c r="E179" s="147"/>
      <c r="F179" s="147"/>
      <c r="G179" s="147"/>
    </row>
    <row r="180" spans="1:24">
      <c r="D180" s="147"/>
      <c r="E180" s="147"/>
      <c r="F180" s="147"/>
      <c r="G180" s="147"/>
    </row>
    <row r="181" spans="1:24">
      <c r="D181" s="147"/>
      <c r="E181" s="147"/>
      <c r="F181" s="147"/>
      <c r="G181" s="147"/>
    </row>
    <row r="182" spans="1:24">
      <c r="D182" s="147"/>
      <c r="E182" s="147"/>
      <c r="F182" s="147"/>
      <c r="G182" s="147"/>
    </row>
    <row r="183" spans="1:24">
      <c r="D183" s="147"/>
      <c r="E183" s="147"/>
      <c r="F183" s="147"/>
      <c r="G183" s="147"/>
    </row>
    <row r="184" spans="1:24">
      <c r="D184" s="147"/>
      <c r="E184" s="147"/>
      <c r="F184" s="147"/>
      <c r="G184" s="147"/>
    </row>
    <row r="185" spans="1:24">
      <c r="D185" s="147"/>
      <c r="E185" s="147"/>
      <c r="F185" s="147"/>
      <c r="G185" s="147"/>
    </row>
  </sheetData>
  <sheetProtection sheet="1" objects="1" scenarios="1"/>
  <mergeCells>
    <mergeCell ref="I2:I4"/>
    <mergeCell ref="K2:L2"/>
    <mergeCell ref="A2:A4"/>
    <mergeCell ref="B2:B4"/>
    <mergeCell ref="C2:C4"/>
    <mergeCell ref="D2:H2"/>
    <mergeCell ref="D68:F68"/>
    <mergeCell ref="D89:F89"/>
    <mergeCell ref="D100:F100"/>
    <mergeCell ref="D99:F99"/>
    <mergeCell ref="D88:F88"/>
  </mergeCells>
  <hyperlinks>
    <hyperlink ref="E63" r:id="rId_hyperlink_1"/>
  </hyperlinks>
  <printOptions gridLines="false" gridLinesSet="true"/>
  <pageMargins left="0.7" right="0.7" top="0.75" bottom="0.75" header="0.3" footer="0.3"/>
  <pageSetup paperSize="1" orientation="portrait" scale="100" fitToHeight="1" fitToWidth="1" pageOrder="downThenOver" r:id="rId2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0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3.85546875" customWidth="true" style="0"/>
    <col min="2" max="2" width="5.85546875" customWidth="true" style="0"/>
    <col min="3" max="3" width="18.140625" customWidth="true" style="0"/>
    <col min="4" max="4" width="12.42578125" customWidth="true" style="0"/>
    <col min="5" max="5" width="74.140625" customWidth="true" style="0"/>
    <col min="6" max="6" width="20.28515625" hidden="true" customWidth="true" style="0"/>
  </cols>
  <sheetData>
    <row r="1" spans="1:6">
      <c r="A1" s="651" t="s">
        <v>244</v>
      </c>
      <c r="B1" s="651"/>
      <c r="C1" s="651"/>
      <c r="D1" s="651"/>
      <c r="E1" s="651"/>
      <c r="F1" s="651"/>
    </row>
    <row r="2" spans="1:6">
      <c r="A2" s="231" t="s">
        <v>30</v>
      </c>
      <c r="B2" s="231" t="s">
        <v>245</v>
      </c>
      <c r="C2" s="231" t="s">
        <v>246</v>
      </c>
      <c r="D2" s="231" t="s">
        <v>247</v>
      </c>
      <c r="E2" s="231" t="s">
        <v>248</v>
      </c>
      <c r="F2" s="231" t="s">
        <v>249</v>
      </c>
    </row>
    <row r="3" spans="1:6">
      <c r="A3" s="231"/>
      <c r="B3" s="231"/>
      <c r="C3" s="231"/>
      <c r="D3" s="231"/>
      <c r="E3" s="231"/>
      <c r="F3" s="231"/>
    </row>
    <row r="4" spans="1:6">
      <c r="A4" s="132">
        <v>241864</v>
      </c>
      <c r="B4" s="231">
        <v>1</v>
      </c>
      <c r="C4" s="231" t="s">
        <v>250</v>
      </c>
      <c r="D4" s="231" t="s">
        <v>251</v>
      </c>
      <c r="E4" s="133" t="s">
        <v>252</v>
      </c>
      <c r="F4" s="231" t="s">
        <v>253</v>
      </c>
    </row>
    <row r="5" spans="1:6">
      <c r="A5" s="132">
        <v>241864</v>
      </c>
      <c r="B5" s="231">
        <v>2</v>
      </c>
      <c r="C5" s="231" t="s">
        <v>135</v>
      </c>
      <c r="D5" s="231" t="s">
        <v>254</v>
      </c>
      <c r="E5" s="133" t="s">
        <v>255</v>
      </c>
      <c r="F5" s="231" t="s">
        <v>253</v>
      </c>
    </row>
    <row r="6" spans="1:6">
      <c r="A6" s="132">
        <v>241864</v>
      </c>
      <c r="B6" s="231">
        <v>3</v>
      </c>
      <c r="C6" s="231" t="s">
        <v>135</v>
      </c>
      <c r="D6" s="231" t="s">
        <v>256</v>
      </c>
      <c r="E6" s="133" t="s">
        <v>257</v>
      </c>
      <c r="F6" s="231" t="s">
        <v>253</v>
      </c>
    </row>
    <row r="7" spans="1:6">
      <c r="A7" s="132">
        <v>241864</v>
      </c>
      <c r="B7" s="136">
        <v>4</v>
      </c>
      <c r="C7" s="231" t="s">
        <v>258</v>
      </c>
      <c r="D7" s="2"/>
      <c r="E7" s="2" t="s">
        <v>259</v>
      </c>
      <c r="F7" s="231" t="s">
        <v>253</v>
      </c>
    </row>
    <row r="8" spans="1:6">
      <c r="A8" s="132">
        <v>242229</v>
      </c>
      <c r="B8" s="136">
        <v>5</v>
      </c>
      <c r="C8" s="231" t="s">
        <v>258</v>
      </c>
      <c r="D8" s="2"/>
      <c r="E8" s="178" t="s">
        <v>260</v>
      </c>
      <c r="F8" s="231" t="s">
        <v>253</v>
      </c>
    </row>
    <row r="9" spans="1:6">
      <c r="A9" s="132">
        <v>242229</v>
      </c>
      <c r="B9" s="136">
        <v>6</v>
      </c>
      <c r="C9" s="231" t="s">
        <v>250</v>
      </c>
      <c r="D9" s="2"/>
      <c r="E9" s="178" t="s">
        <v>261</v>
      </c>
      <c r="F9" s="231" t="s">
        <v>253</v>
      </c>
    </row>
    <row r="10" spans="1:6">
      <c r="A10" s="132">
        <v>242355</v>
      </c>
      <c r="B10" s="136">
        <v>7</v>
      </c>
      <c r="C10" s="231" t="s">
        <v>135</v>
      </c>
      <c r="D10" s="2"/>
      <c r="E10" s="178" t="s">
        <v>262</v>
      </c>
      <c r="F10" s="231" t="s">
        <v>253</v>
      </c>
    </row>
    <row r="11" spans="1:6">
      <c r="A11" s="132">
        <v>242433</v>
      </c>
      <c r="B11" s="136">
        <v>8</v>
      </c>
      <c r="C11" s="231" t="s">
        <v>258</v>
      </c>
      <c r="D11" s="2"/>
      <c r="E11" s="178" t="s">
        <v>263</v>
      </c>
      <c r="F11" s="231" t="s">
        <v>253</v>
      </c>
    </row>
    <row r="12" spans="1:6">
      <c r="A12" s="132">
        <v>242433</v>
      </c>
      <c r="B12" s="136">
        <v>9</v>
      </c>
      <c r="C12" s="231" t="s">
        <v>264</v>
      </c>
      <c r="D12" s="2"/>
      <c r="E12" s="178" t="s">
        <v>265</v>
      </c>
      <c r="F12" s="231" t="s">
        <v>253</v>
      </c>
    </row>
    <row r="13" spans="1:6">
      <c r="A13" s="132">
        <v>242783</v>
      </c>
      <c r="B13" s="136">
        <v>10</v>
      </c>
      <c r="C13" s="231" t="s">
        <v>266</v>
      </c>
      <c r="D13" s="2"/>
      <c r="E13" s="178" t="s">
        <v>267</v>
      </c>
      <c r="F13" s="231" t="s">
        <v>253</v>
      </c>
    </row>
    <row r="14" spans="1:6">
      <c r="A14" s="132">
        <v>242783</v>
      </c>
      <c r="B14" s="136">
        <v>11</v>
      </c>
      <c r="C14" s="231" t="s">
        <v>268</v>
      </c>
      <c r="D14" s="2"/>
      <c r="E14" s="178" t="s">
        <v>269</v>
      </c>
      <c r="F14" s="231" t="s">
        <v>253</v>
      </c>
    </row>
    <row r="15" spans="1:6">
      <c r="A15" s="132">
        <v>242783</v>
      </c>
      <c r="B15" s="136">
        <v>12</v>
      </c>
      <c r="C15" s="233" t="s">
        <v>270</v>
      </c>
      <c r="D15" s="2"/>
      <c r="E15" s="178" t="s">
        <v>271</v>
      </c>
      <c r="F15" s="233" t="s">
        <v>253</v>
      </c>
    </row>
    <row r="16" spans="1:6">
      <c r="A16" s="132">
        <v>242879</v>
      </c>
      <c r="B16" s="136">
        <v>13</v>
      </c>
      <c r="C16" s="247" t="s">
        <v>268</v>
      </c>
      <c r="D16" s="2"/>
      <c r="E16" s="178" t="s">
        <v>272</v>
      </c>
      <c r="F16" s="301" t="s">
        <v>253</v>
      </c>
    </row>
    <row r="17" spans="1:6">
      <c r="A17" s="132">
        <v>242879</v>
      </c>
      <c r="B17" s="136">
        <v>14</v>
      </c>
      <c r="C17" s="247" t="s">
        <v>80</v>
      </c>
      <c r="D17" s="2"/>
      <c r="E17" s="178" t="s">
        <v>273</v>
      </c>
      <c r="F17" s="301" t="s">
        <v>253</v>
      </c>
    </row>
    <row r="18" spans="1:6">
      <c r="A18" s="132">
        <v>243016</v>
      </c>
      <c r="B18" s="136">
        <v>15</v>
      </c>
      <c r="C18" s="250" t="s">
        <v>80</v>
      </c>
      <c r="D18" s="2"/>
      <c r="E18" s="178" t="s">
        <v>274</v>
      </c>
      <c r="F18" s="301" t="s">
        <v>253</v>
      </c>
    </row>
    <row r="19" spans="1:6">
      <c r="A19" s="132">
        <v>243016</v>
      </c>
      <c r="B19" s="302">
        <v>16</v>
      </c>
      <c r="C19" s="301" t="s">
        <v>80</v>
      </c>
      <c r="D19" s="2"/>
      <c r="E19" s="178" t="s">
        <v>274</v>
      </c>
      <c r="F19" s="301" t="s">
        <v>253</v>
      </c>
    </row>
    <row r="20" spans="1:6">
      <c r="A20" s="132">
        <v>243016</v>
      </c>
      <c r="B20" s="302">
        <v>17</v>
      </c>
      <c r="C20" s="301" t="s">
        <v>268</v>
      </c>
      <c r="D20" s="2"/>
      <c r="E20" s="178" t="s">
        <v>274</v>
      </c>
      <c r="F20" s="301" t="s">
        <v>253</v>
      </c>
    </row>
  </sheetData>
  <sheetProtection sheet="1" objects="1" scenarios="1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</sheetPr>
  <dimension ref="A1:AB1002"/>
  <sheetViews>
    <sheetView tabSelected="0" workbookViewId="0" zoomScale="70" zoomScaleNormal="70" showGridLines="true" showRowColHeaders="1">
      <selection activeCell="J2" sqref="J2"/>
    </sheetView>
  </sheetViews>
  <sheetFormatPr defaultRowHeight="14.4" defaultColWidth="14.3984375" outlineLevelRow="0" outlineLevelCol="0"/>
  <cols>
    <col min="1" max="1" width="40.3984375" customWidth="true" style="653"/>
    <col min="2" max="2" width="15" customWidth="true" style="653"/>
    <col min="3" max="3" width="8.796875" customWidth="true" style="653"/>
    <col min="4" max="4" width="12.69921875" customWidth="true" style="653"/>
    <col min="5" max="5" width="12.59765625" customWidth="true" style="653"/>
    <col min="6" max="6" width="12.59765625" customWidth="true" style="653"/>
    <col min="7" max="7" width="32.796875" customWidth="true" style="653"/>
    <col min="8" max="8" width="12.59765625" customWidth="true" style="653"/>
    <col min="9" max="9" width="22.69921875" customWidth="true" style="653"/>
    <col min="10" max="10" width="35.59765625" customWidth="true" style="653"/>
    <col min="11" max="11" width="12.59765625" customWidth="true" style="653"/>
    <col min="12" max="12" width="18.59765625" customWidth="true" style="653"/>
    <col min="13" max="13" width="13.296875" customWidth="true" style="653"/>
    <col min="14" max="14" width="13.296875" customWidth="true" style="653"/>
    <col min="15" max="15" width="13.296875" customWidth="true" style="653"/>
    <col min="16" max="16" width="13.296875" customWidth="true" style="653"/>
    <col min="17" max="17" width="8.796875" customWidth="true" style="653"/>
    <col min="18" max="18" width="8.796875" customWidth="true" style="653"/>
    <col min="19" max="19" width="8.796875" customWidth="true" style="653"/>
    <col min="20" max="20" width="8.796875" customWidth="true" style="653"/>
    <col min="21" max="21" width="8.796875" customWidth="true" style="653"/>
    <col min="22" max="22" width="8.796875" customWidth="true" style="653"/>
    <col min="23" max="23" width="8.796875" customWidth="true" style="653"/>
    <col min="24" max="24" width="8.796875" customWidth="true" style="653"/>
    <col min="25" max="25" width="8.796875" customWidth="true" style="653"/>
    <col min="26" max="26" width="8.796875" customWidth="true" style="653"/>
    <col min="27" max="27" width="8.796875" customWidth="true" style="653"/>
    <col min="28" max="28" width="14.3984375" style="653"/>
  </cols>
  <sheetData>
    <row r="1" spans="1:28" customHeight="1" ht="21">
      <c r="A1" s="652" t="s">
        <v>275</v>
      </c>
    </row>
    <row r="2" spans="1:28" customHeight="1" ht="21">
      <c r="A2" s="686" t="s">
        <v>82</v>
      </c>
      <c r="B2" s="686"/>
      <c r="C2" s="686" t="s">
        <v>276</v>
      </c>
      <c r="D2" s="686" t="s">
        <v>277</v>
      </c>
      <c r="E2" s="686" t="s">
        <v>112</v>
      </c>
      <c r="F2" s="686" t="s">
        <v>278</v>
      </c>
      <c r="G2" s="676" t="s">
        <v>279</v>
      </c>
      <c r="H2" s="686" t="s">
        <v>280</v>
      </c>
      <c r="I2" s="686"/>
      <c r="J2" s="676" t="s">
        <v>281</v>
      </c>
      <c r="K2" s="686" t="s">
        <v>282</v>
      </c>
      <c r="L2" s="686"/>
    </row>
    <row r="3" spans="1:28" customHeight="1" ht="21">
      <c r="A3" s="686"/>
      <c r="B3" s="686"/>
      <c r="C3" s="686"/>
      <c r="D3" s="686"/>
      <c r="E3" s="686"/>
      <c r="F3" s="686"/>
      <c r="G3" s="676" t="s">
        <v>283</v>
      </c>
      <c r="H3" s="676" t="s">
        <v>283</v>
      </c>
      <c r="I3" s="676" t="s">
        <v>167</v>
      </c>
      <c r="J3" s="676" t="s">
        <v>283</v>
      </c>
      <c r="K3" s="676" t="s">
        <v>283</v>
      </c>
      <c r="L3" s="676" t="s">
        <v>167</v>
      </c>
    </row>
    <row r="4" spans="1:28" customHeight="1" ht="21">
      <c r="A4" s="687" t="str">
        <f>A9</f>
        <v>น้ำมัน Diesel B7 (Fire Pump) </v>
      </c>
      <c r="B4" s="687"/>
      <c r="C4" s="673" t="s">
        <v>284</v>
      </c>
      <c r="D4" s="672">
        <f>B9</f>
        <v>0</v>
      </c>
      <c r="E4" s="673" t="s">
        <v>283</v>
      </c>
      <c r="F4" s="674">
        <f>D9</f>
        <v>0</v>
      </c>
      <c r="G4" s="678">
        <f>F4*0.93</f>
        <v>0</v>
      </c>
      <c r="H4" s="677">
        <f>F4-G4</f>
        <v>0</v>
      </c>
      <c r="I4" s="678">
        <f>H4*0.87</f>
        <v>0</v>
      </c>
      <c r="J4" s="672"/>
      <c r="K4" s="672"/>
      <c r="L4" s="672"/>
    </row>
    <row r="5" spans="1:28" customHeight="1" ht="21">
      <c r="A5" s="688" t="str">
        <f>A10</f>
        <v>น้ำมัน Gasohol 91/95 (เครื่องตัดหญ้า)</v>
      </c>
      <c r="B5" s="689"/>
      <c r="C5" s="673" t="s">
        <v>285</v>
      </c>
      <c r="D5" s="672">
        <f>B10</f>
        <v>0</v>
      </c>
      <c r="E5" s="673" t="s">
        <v>283</v>
      </c>
      <c r="F5" s="677">
        <f>D10</f>
        <v>0</v>
      </c>
      <c r="G5" s="672"/>
      <c r="H5" s="672"/>
      <c r="I5" s="672"/>
      <c r="J5" s="679">
        <f>F5*0.9</f>
        <v>0</v>
      </c>
      <c r="K5" s="677">
        <f>F5-J5</f>
        <v>0</v>
      </c>
      <c r="L5" s="679">
        <f>K5*0.79</f>
        <v>0</v>
      </c>
    </row>
    <row r="6" spans="1:28" customHeight="1" ht="21">
      <c r="A6" s="652"/>
    </row>
    <row r="7" spans="1:28" customHeight="1" ht="21">
      <c r="A7" s="680" t="s">
        <v>82</v>
      </c>
      <c r="B7" s="680" t="s">
        <v>277</v>
      </c>
      <c r="C7" s="680" t="s">
        <v>286</v>
      </c>
      <c r="D7" s="680" t="s">
        <v>287</v>
      </c>
      <c r="E7" s="683" t="s">
        <v>288</v>
      </c>
      <c r="F7" s="684"/>
      <c r="G7" s="684"/>
      <c r="H7" s="684"/>
      <c r="I7" s="684"/>
      <c r="J7" s="684"/>
      <c r="K7" s="684"/>
      <c r="L7" s="684"/>
      <c r="M7" s="684"/>
      <c r="N7" s="684"/>
      <c r="O7" s="684"/>
      <c r="P7" s="685"/>
    </row>
    <row r="8" spans="1:28" customHeight="1" ht="21">
      <c r="A8" s="681"/>
      <c r="B8" s="681"/>
      <c r="C8" s="681"/>
      <c r="D8" s="682"/>
      <c r="E8" s="654">
        <v>1</v>
      </c>
      <c r="F8" s="654">
        <v>2</v>
      </c>
      <c r="G8" s="654">
        <v>3</v>
      </c>
      <c r="H8" s="654">
        <v>4</v>
      </c>
      <c r="I8" s="654">
        <v>5</v>
      </c>
      <c r="J8" s="654">
        <v>6</v>
      </c>
      <c r="K8" s="654">
        <v>7</v>
      </c>
      <c r="L8" s="654">
        <v>8</v>
      </c>
      <c r="M8" s="654">
        <v>9</v>
      </c>
      <c r="N8" s="654">
        <v>10</v>
      </c>
      <c r="O8" s="654">
        <v>11</v>
      </c>
      <c r="P8" s="654">
        <v>12</v>
      </c>
    </row>
    <row r="9" spans="1:28" customHeight="1" ht="22.2">
      <c r="A9" s="655" t="s">
        <v>289</v>
      </c>
      <c r="B9" s="656">
        <f>IFERROR(_xlfn.XLOOKUP("DIESEL_B7_STATIONARY",tblScope11Stationary[RowId],tblScope11Stationary[Evidence],""),"")</f>
      </c>
      <c r="C9" s="656">
        <f>IFERROR(_xlfn.XLOOKUP("DIESEL_B7_STATIONARY",tblScope11Stationary[RowId],tblScope11Stationary[Unit],""),"")</f>
      </c>
      <c r="D9" s="657">
        <f>SUM(E9:P9)</f>
        <v>0</v>
      </c>
      <c r="E9" s="658">
        <f>IFERROR(_xlfn.XLOOKUP("DIESEL_B7_STATIONARY",tblScope11Stationary[RowId],tblScope11Stationary[M1],""),"")</f>
      </c>
      <c r="F9" s="658">
        <f>IFERROR(_xlfn.XLOOKUP("DIESEL_B7_STATIONARY",tblScope11Stationary[RowId],tblScope11Stationary[M2],""),"")</f>
      </c>
      <c r="G9" s="658">
        <f>IFERROR(_xlfn.XLOOKUP("DIESEL_B7_STATIONARY",tblScope11Stationary[RowId],tblScope11Stationary[M3],""),"")</f>
      </c>
      <c r="H9" s="658">
        <f>IFERROR(_xlfn.XLOOKUP("DIESEL_B7_STATIONARY",tblScope11Stationary[RowId],tblScope11Stationary[M4],""),"")</f>
      </c>
      <c r="I9" s="659">
        <f>IFERROR(_xlfn.XLOOKUP("DIESEL_B7_STATIONARY",tblScope11Stationary[RowId],tblScope11Stationary[M5],""),"")</f>
      </c>
      <c r="J9" s="658">
        <f>IFERROR(_xlfn.XLOOKUP("DIESEL_B7_STATIONARY",tblScope11Stationary[RowId],tblScope11Stationary[M6],""),"")</f>
      </c>
      <c r="K9" s="658">
        <f>IFERROR(_xlfn.XLOOKUP("DIESEL_B7_STATIONARY",tblScope11Stationary[RowId],tblScope11Stationary[M7],""),"")</f>
      </c>
      <c r="L9" s="658">
        <f>IFERROR(_xlfn.XLOOKUP("DIESEL_B7_STATIONARY",tblScope11Stationary[RowId],tblScope11Stationary[M8],""),"")</f>
      </c>
      <c r="M9" s="659">
        <f>IFERROR(_xlfn.XLOOKUP("DIESEL_B7_STATIONARY",tblScope11Stationary[RowId],tblScope11Stationary[M9],""),"")</f>
      </c>
      <c r="N9" s="658">
        <f>IFERROR(_xlfn.XLOOKUP("DIESEL_B7_STATIONARY",tblScope11Stationary[RowId],tblScope11Stationary[M10],""),"")</f>
      </c>
      <c r="O9" s="658">
        <f>IFERROR(_xlfn.XLOOKUP("DIESEL_B7_STATIONARY",tblScope11Stationary[RowId],tblScope11Stationary[M11],""),"")</f>
      </c>
      <c r="P9" s="659">
        <f>IFERROR(_xlfn.XLOOKUP("DIESEL_B7_STATIONARY",tblScope11Stationary[RowId],tblScope11Stationary[M12],""),"")</f>
      </c>
    </row>
    <row r="10" spans="1:28" customHeight="1" ht="22.2">
      <c r="A10" s="655" t="s">
        <v>290</v>
      </c>
      <c r="B10" s="675">
        <f>IFERROR(_xlfn.XLOOKUP("GASOHOL_9195_STATIONARY",tblScope11Stationary[RowId],tblScope11Stationary[Evidence],""),"")</f>
      </c>
      <c r="C10" s="656">
        <f>IFERROR(_xlfn.XLOOKUP("GASOHOL_9195_STATIONARY",tblScope11Stationary[RowId],tblScope11Stationary[Unit],""),"")</f>
      </c>
      <c r="D10" s="657">
        <f>SUM(E10:P10)</f>
        <v>0</v>
      </c>
      <c r="E10" s="658">
        <f>IFERROR(_xlfn.XLOOKUP("GASOHOL_9195_STATIONARY",tblScope11Stationary[RowId],tblScope11Stationary[M1],""),"")</f>
      </c>
      <c r="F10" s="658">
        <f>IFERROR(_xlfn.XLOOKUP("GASOHOL_9195_STATIONARY",tblScope11Stationary[RowId],tblScope11Stationary[M2],""),"")</f>
      </c>
      <c r="G10" s="658">
        <f>IFERROR(_xlfn.XLOOKUP("GASOHOL_9195_STATIONARY",tblScope11Stationary[RowId],tblScope11Stationary[M3],""),"")</f>
      </c>
      <c r="H10" s="658">
        <f>IFERROR(_xlfn.XLOOKUP("GASOHOL_9195_STATIONARY",tblScope11Stationary[RowId],tblScope11Stationary[M4],""),"")</f>
      </c>
      <c r="I10" s="659">
        <f>IFERROR(_xlfn.XLOOKUP("GASOHOL_9195_STATIONARY",tblScope11Stationary[RowId],tblScope11Stationary[M5],""),"")</f>
      </c>
      <c r="J10" s="658">
        <f>IFERROR(_xlfn.XLOOKUP("GASOHOL_9195_STATIONARY",tblScope11Stationary[RowId],tblScope11Stationary[M6],""),"")</f>
      </c>
      <c r="K10" s="658">
        <f>IFERROR(_xlfn.XLOOKUP("GASOHOL_9195_STATIONARY",tblScope11Stationary[RowId],tblScope11Stationary[M7],""),"")</f>
      </c>
      <c r="L10" s="658">
        <f>IFERROR(_xlfn.XLOOKUP("GASOHOL_9195_STATIONARY",tblScope11Stationary[RowId],tblScope11Stationary[M8],""),"")</f>
      </c>
      <c r="M10" s="659">
        <f>IFERROR(_xlfn.XLOOKUP("GASOHOL_9195_STATIONARY",tblScope11Stationary[RowId],tblScope11Stationary[M9],""),"")</f>
      </c>
      <c r="N10" s="658">
        <f>IFERROR(_xlfn.XLOOKUP("GASOHOL_9195_STATIONARY",tblScope11Stationary[RowId],tblScope11Stationary[M10],""),"")</f>
      </c>
      <c r="O10" s="658">
        <f>IFERROR(_xlfn.XLOOKUP("GASOHOL_9195_STATIONARY",tblScope11Stationary[RowId],tblScope11Stationary[M11],""),"")</f>
      </c>
      <c r="P10" s="659">
        <f>IFERROR(_xlfn.XLOOKUP("GASOHOL_9195_STATIONARY",tblScope11Stationary[RowId],tblScope11Stationary[M12],""),"")</f>
      </c>
    </row>
    <row r="11" spans="1:28" customHeight="1" ht="22.2">
      <c r="A11" s="661" t="s">
        <v>291</v>
      </c>
      <c r="B11" s="660" t="s">
        <v>292</v>
      </c>
      <c r="C11" s="656" t="s">
        <v>167</v>
      </c>
      <c r="D11" s="657">
        <f>D13+D15</f>
        <v>0</v>
      </c>
      <c r="E11" s="658"/>
      <c r="F11" s="658"/>
      <c r="G11" s="658"/>
      <c r="H11" s="658"/>
      <c r="I11" s="659"/>
      <c r="J11" s="658"/>
      <c r="K11" s="658"/>
      <c r="L11" s="658"/>
      <c r="M11" s="659"/>
      <c r="N11" s="658"/>
      <c r="O11" s="658"/>
      <c r="P11" s="659"/>
    </row>
    <row r="12" spans="1:28" customHeight="1" ht="22.2">
      <c r="A12" s="662" t="s">
        <v>293</v>
      </c>
      <c r="B12" s="663">
        <f>IFERROR(_xlfn.XLOOKUP("ACETYLENE_TANK5_MAINT_2",tblScope11Stationary[RowId],tblScope11Stationary[Evidence],""),"")</f>
      </c>
      <c r="C12" s="664">
        <f>IFERROR(_xlfn.XLOOKUP("ACETYLENE_TANK5_MAINT_2",tblScope11Stationary[RowId],tblScope11Stationary[Unit],""),"")</f>
      </c>
      <c r="D12" s="665">
        <f>SUM(E12:P12)</f>
        <v>0</v>
      </c>
      <c r="E12" s="658">
        <f>IFERROR(_xlfn.XLOOKUP("ACETYLENE_TANK5_MAINT_2",tblScope11Stationary[RowId],tblScope11Stationary[M1],""),"")</f>
      </c>
      <c r="F12" s="658">
        <f>IFERROR(_xlfn.XLOOKUP("ACETYLENE_TANK5_MAINT_2",tblScope11Stationary[RowId],tblScope11Stationary[M2],""),"")</f>
      </c>
      <c r="G12" s="658">
        <f>IFERROR(_xlfn.XLOOKUP("ACETYLENE_TANK5_MAINT_2",tblScope11Stationary[RowId],tblScope11Stationary[M3],""),"")</f>
      </c>
      <c r="H12" s="658">
        <f>IFERROR(_xlfn.XLOOKUP("ACETYLENE_TANK5_MAINT_2",tblScope11Stationary[RowId],tblScope11Stationary[M4],""),"")</f>
      </c>
      <c r="I12" s="658">
        <f>IFERROR(_xlfn.XLOOKUP("ACETYLENE_TANK5_MAINT_2",tblScope11Stationary[RowId],tblScope11Stationary[M5],""),"")</f>
      </c>
      <c r="J12" s="658">
        <f>IFERROR(_xlfn.XLOOKUP("ACETYLENE_TANK5_MAINT_2",tblScope11Stationary[RowId],tblScope11Stationary[M6],""),"")</f>
      </c>
      <c r="K12" s="658">
        <f>IFERROR(_xlfn.XLOOKUP("ACETYLENE_TANK5_MAINT_2",tblScope11Stationary[RowId],tblScope11Stationary[M7],""),"")</f>
      </c>
      <c r="L12" s="658">
        <f>IFERROR(_xlfn.XLOOKUP("ACETYLENE_TANK5_MAINT_2",tblScope11Stationary[RowId],tblScope11Stationary[M8],""),"")</f>
      </c>
      <c r="M12" s="658">
        <f>IFERROR(_xlfn.XLOOKUP("ACETYLENE_TANK5_MAINT_2",tblScope11Stationary[RowId],tblScope11Stationary[M9],""),"")</f>
      </c>
      <c r="N12" s="658">
        <f>IFERROR(_xlfn.XLOOKUP("ACETYLENE_TANK5_MAINT_2",tblScope11Stationary[RowId],tblScope11Stationary[M10],""),"")</f>
      </c>
      <c r="O12" s="658">
        <f>IFERROR(_xlfn.XLOOKUP("ACETYLENE_TANK5_MAINT_2",tblScope11Stationary[RowId],tblScope11Stationary[M11],""),"")</f>
      </c>
      <c r="P12" s="658">
        <f>IFERROR(_xlfn.XLOOKUP("ACETYLENE_TANK5_MAINT_2",tblScope11Stationary[RowId],tblScope11Stationary[M12],""),"")</f>
      </c>
    </row>
    <row r="13" spans="1:28" customHeight="1" ht="22.2">
      <c r="A13" s="666"/>
      <c r="B13" s="667"/>
      <c r="C13" s="664" t="s">
        <v>167</v>
      </c>
      <c r="D13" s="665">
        <f>SUM(E13:P13)</f>
        <v>0</v>
      </c>
      <c r="E13" s="658">
        <f>E12*5</f>
        <v>0</v>
      </c>
      <c r="F13" s="658">
        <f>F12*5</f>
        <v>0</v>
      </c>
      <c r="G13" s="658">
        <f>G12*5</f>
        <v>0</v>
      </c>
      <c r="H13" s="658">
        <f>H12*5</f>
        <v>0</v>
      </c>
      <c r="I13" s="658">
        <f>I12*5</f>
        <v>0</v>
      </c>
      <c r="J13" s="658">
        <f>J12*5</f>
        <v>0</v>
      </c>
      <c r="K13" s="658">
        <f>K12*5</f>
        <v>0</v>
      </c>
      <c r="L13" s="658">
        <f>L12*5</f>
        <v>0</v>
      </c>
      <c r="M13" s="658">
        <f>M12*5</f>
        <v>0</v>
      </c>
      <c r="N13" s="658">
        <f>N12*5</f>
        <v>0</v>
      </c>
      <c r="O13" s="658">
        <f>O12*5</f>
        <v>0</v>
      </c>
      <c r="P13" s="658">
        <f>P12*5</f>
        <v>0</v>
      </c>
    </row>
    <row r="14" spans="1:28" customHeight="1" ht="22.2">
      <c r="A14" s="662" t="s">
        <v>294</v>
      </c>
      <c r="B14" s="663">
        <f>IFERROR(_xlfn.XLOOKUP("ACETYLENE_TANK5_MAINT_3",tblScope11Stationary[RowId],tblScope11Stationary[Evidence],""),"")</f>
      </c>
      <c r="C14" s="668">
        <f>IFERROR(_xlfn.XLOOKUP("ACETYLENE_TANK5_MAINT_3",tblScope11Stationary[RowId],tblScope11Stationary[Unit],""),"")</f>
      </c>
      <c r="D14" s="665">
        <f>SUM(E14:P14)</f>
        <v>0</v>
      </c>
      <c r="E14" s="658">
        <f>IFERROR(_xlfn.XLOOKUP("ACETYLENE_TANK5_MAINT_3",tblScope11Stationary[RowId],tblScope11Stationary[M1],""),"")</f>
      </c>
      <c r="F14" s="658">
        <f>IFERROR(_xlfn.XLOOKUP("ACETYLENE_TANK5_MAINT_3",tblScope11Stationary[RowId],tblScope11Stationary[M2],""),"")</f>
      </c>
      <c r="G14" s="658">
        <f>IFERROR(_xlfn.XLOOKUP("ACETYLENE_TANK5_MAINT_3",tblScope11Stationary[RowId],tblScope11Stationary[M3],""),"")</f>
      </c>
      <c r="H14" s="658">
        <f>IFERROR(_xlfn.XLOOKUP("ACETYLENE_TANK5_MAINT_3",tblScope11Stationary[RowId],tblScope11Stationary[M4],""),"")</f>
      </c>
      <c r="I14" s="658">
        <f>IFERROR(_xlfn.XLOOKUP("ACETYLENE_TANK5_MAINT_3",tblScope11Stationary[RowId],tblScope11Stationary[M5],""),"")</f>
      </c>
      <c r="J14" s="658">
        <f>IFERROR(_xlfn.XLOOKUP("ACETYLENE_TANK5_MAINT_3",tblScope11Stationary[RowId],tblScope11Stationary[M6],""),"")</f>
      </c>
      <c r="K14" s="658">
        <f>IFERROR(_xlfn.XLOOKUP("ACETYLENE_TANK5_MAINT_3",tblScope11Stationary[RowId],tblScope11Stationary[M7],""),"")</f>
      </c>
      <c r="L14" s="658">
        <f>IFERROR(_xlfn.XLOOKUP("ACETYLENE_TANK5_MAINT_3",tblScope11Stationary[RowId],tblScope11Stationary[M8],""),"")</f>
      </c>
      <c r="M14" s="658">
        <f>IFERROR(_xlfn.XLOOKUP("ACETYLENE_TANK5_MAINT_3",tblScope11Stationary[RowId],tblScope11Stationary[M9],""),"")</f>
      </c>
      <c r="N14" s="658">
        <f>IFERROR(_xlfn.XLOOKUP("ACETYLENE_TANK5_MAINT_3",tblScope11Stationary[RowId],tblScope11Stationary[M10],""),"")</f>
      </c>
      <c r="O14" s="658">
        <f>IFERROR(_xlfn.XLOOKUP("ACETYLENE_TANK5_MAINT_3",tblScope11Stationary[RowId],tblScope11Stationary[M11],""),"")</f>
      </c>
      <c r="P14" s="658">
        <f>IFERROR(_xlfn.XLOOKUP("ACETYLENE_TANK5_MAINT_3",tblScope11Stationary[RowId],tblScope11Stationary[M12],""),"")</f>
      </c>
    </row>
    <row r="15" spans="1:28" customHeight="1" ht="22.2">
      <c r="A15" s="669"/>
      <c r="B15" s="670"/>
      <c r="C15" s="668" t="s">
        <v>295</v>
      </c>
      <c r="D15" s="665">
        <f>SUM(E15:P15)</f>
        <v>0</v>
      </c>
      <c r="E15" s="671">
        <f>E14*5</f>
        <v>0</v>
      </c>
      <c r="F15" s="671">
        <f>F14*5</f>
        <v>0</v>
      </c>
      <c r="G15" s="671">
        <f>G14*5</f>
        <v>0</v>
      </c>
      <c r="H15" s="671">
        <f>H14*5</f>
        <v>0</v>
      </c>
      <c r="I15" s="671">
        <f>I14*5</f>
        <v>0</v>
      </c>
      <c r="J15" s="671">
        <f>J14*5</f>
        <v>0</v>
      </c>
      <c r="K15" s="671">
        <f>K14*5</f>
        <v>0</v>
      </c>
      <c r="L15" s="671">
        <f>L14*5</f>
        <v>0</v>
      </c>
      <c r="M15" s="671">
        <f>M14*5</f>
        <v>0</v>
      </c>
      <c r="N15" s="671">
        <f>N14*5</f>
        <v>0</v>
      </c>
      <c r="O15" s="671">
        <f>O14*5</f>
        <v>0</v>
      </c>
      <c r="P15" s="671">
        <f>P14*5</f>
        <v>0</v>
      </c>
    </row>
    <row r="16" spans="1:28" customHeight="1" ht="21"/>
    <row r="17" spans="1:28" customHeight="1" ht="21"/>
    <row r="18" spans="1:28" customHeight="1" ht="21"/>
    <row r="19" spans="1:28" customHeight="1" ht="21"/>
    <row r="20" spans="1:28" customHeight="1" ht="21"/>
    <row r="21" spans="1:28" customHeight="1" ht="21"/>
    <row r="22" spans="1:28" customHeight="1" ht="21"/>
    <row r="23" spans="1:28" customHeight="1" ht="21"/>
    <row r="24" spans="1:28" customHeight="1" ht="21"/>
    <row r="25" spans="1:28" customHeight="1" ht="21"/>
    <row r="26" spans="1:28" customHeight="1" ht="21"/>
    <row r="27" spans="1:28" customHeight="1" ht="21"/>
    <row r="28" spans="1:28" customHeight="1" ht="21"/>
    <row r="29" spans="1:28" customHeight="1" ht="21"/>
    <row r="30" spans="1:28" customHeight="1" ht="21"/>
    <row r="31" spans="1:28" customHeight="1" ht="21"/>
    <row r="32" spans="1:28" customHeight="1" ht="21"/>
    <row r="33" spans="1:28" customHeight="1" ht="21"/>
    <row r="34" spans="1:28" customHeight="1" ht="21"/>
    <row r="35" spans="1:28" customHeight="1" ht="21"/>
    <row r="36" spans="1:28" customHeight="1" ht="21"/>
    <row r="37" spans="1:28" customHeight="1" ht="21"/>
    <row r="38" spans="1:28" customHeight="1" ht="21"/>
    <row r="39" spans="1:28" customHeight="1" ht="21"/>
    <row r="40" spans="1:28" customHeight="1" ht="21"/>
    <row r="41" spans="1:28" customHeight="1" ht="21"/>
    <row r="42" spans="1:28" customHeight="1" ht="21"/>
    <row r="43" spans="1:28" customHeight="1" ht="21"/>
    <row r="44" spans="1:28" customHeight="1" ht="21"/>
    <row r="45" spans="1:28" customHeight="1" ht="21"/>
    <row r="46" spans="1:28" customHeight="1" ht="21"/>
    <row r="47" spans="1:28" customHeight="1" ht="21"/>
    <row r="48" spans="1:28" customHeight="1" ht="21"/>
    <row r="49" spans="1:28" customHeight="1" ht="21"/>
    <row r="50" spans="1:28" customHeight="1" ht="21"/>
    <row r="51" spans="1:28" customHeight="1" ht="21"/>
    <row r="52" spans="1:28" customHeight="1" ht="21"/>
    <row r="53" spans="1:28" customHeight="1" ht="21"/>
    <row r="54" spans="1:28" customHeight="1" ht="21"/>
    <row r="55" spans="1:28" customHeight="1" ht="21"/>
    <row r="56" spans="1:28" customHeight="1" ht="21"/>
    <row r="57" spans="1:28" customHeight="1" ht="21"/>
    <row r="58" spans="1:28" customHeight="1" ht="21"/>
    <row r="59" spans="1:28" customHeight="1" ht="21"/>
    <row r="60" spans="1:28" customHeight="1" ht="21"/>
    <row r="61" spans="1:28" customHeight="1" ht="21"/>
    <row r="62" spans="1:28" customHeight="1" ht="21"/>
    <row r="63" spans="1:28" customHeight="1" ht="21"/>
    <row r="64" spans="1:28" customHeight="1" ht="21"/>
    <row r="65" spans="1:28" customHeight="1" ht="21"/>
    <row r="66" spans="1:28" customHeight="1" ht="21"/>
    <row r="67" spans="1:28" customHeight="1" ht="21"/>
    <row r="68" spans="1:28" customHeight="1" ht="21"/>
    <row r="69" spans="1:28" customHeight="1" ht="21"/>
    <row r="70" spans="1:28" customHeight="1" ht="21"/>
    <row r="71" spans="1:28" customHeight="1" ht="21"/>
    <row r="72" spans="1:28" customHeight="1" ht="21"/>
    <row r="73" spans="1:28" customHeight="1" ht="21"/>
    <row r="74" spans="1:28" customHeight="1" ht="21"/>
    <row r="75" spans="1:28" customHeight="1" ht="21"/>
    <row r="76" spans="1:28" customHeight="1" ht="21"/>
    <row r="77" spans="1:28" customHeight="1" ht="21"/>
    <row r="78" spans="1:28" customHeight="1" ht="21"/>
    <row r="79" spans="1:28" customHeight="1" ht="21"/>
    <row r="80" spans="1:28" customHeight="1" ht="21"/>
    <row r="81" spans="1:28" customHeight="1" ht="21"/>
    <row r="82" spans="1:28" customHeight="1" ht="21"/>
    <row r="83" spans="1:28" customHeight="1" ht="21"/>
    <row r="84" spans="1:28" customHeight="1" ht="21"/>
    <row r="85" spans="1:28" customHeight="1" ht="21"/>
    <row r="86" spans="1:28" customHeight="1" ht="21"/>
    <row r="87" spans="1:28" customHeight="1" ht="21"/>
    <row r="88" spans="1:28" customHeight="1" ht="21"/>
    <row r="89" spans="1:28" customHeight="1" ht="21"/>
    <row r="90" spans="1:28" customHeight="1" ht="21"/>
    <row r="91" spans="1:28" customHeight="1" ht="21"/>
    <row r="92" spans="1:28" customHeight="1" ht="21"/>
    <row r="93" spans="1:28" customHeight="1" ht="21"/>
    <row r="94" spans="1:28" customHeight="1" ht="21"/>
    <row r="95" spans="1:28" customHeight="1" ht="21"/>
    <row r="96" spans="1:28" customHeight="1" ht="21"/>
    <row r="97" spans="1:28" customHeight="1" ht="21"/>
    <row r="98" spans="1:28" customHeight="1" ht="21"/>
    <row r="99" spans="1:28" customHeight="1" ht="21"/>
    <row r="100" spans="1:28" customHeight="1" ht="21"/>
    <row r="101" spans="1:28" customHeight="1" ht="21"/>
    <row r="102" spans="1:28" customHeight="1" ht="21"/>
    <row r="103" spans="1:28" customHeight="1" ht="21"/>
    <row r="104" spans="1:28" customHeight="1" ht="21"/>
    <row r="105" spans="1:28" customHeight="1" ht="21"/>
    <row r="106" spans="1:28" customHeight="1" ht="21"/>
    <row r="107" spans="1:28" customHeight="1" ht="21"/>
    <row r="108" spans="1:28" customHeight="1" ht="21"/>
    <row r="109" spans="1:28" customHeight="1" ht="21"/>
    <row r="110" spans="1:28" customHeight="1" ht="21"/>
    <row r="111" spans="1:28" customHeight="1" ht="21"/>
    <row r="112" spans="1:28" customHeight="1" ht="21"/>
    <row r="113" spans="1:28" customHeight="1" ht="21"/>
    <row r="114" spans="1:28" customHeight="1" ht="21"/>
    <row r="115" spans="1:28" customHeight="1" ht="21"/>
    <row r="116" spans="1:28" customHeight="1" ht="21"/>
    <row r="117" spans="1:28" customHeight="1" ht="21"/>
    <row r="118" spans="1:28" customHeight="1" ht="21"/>
    <row r="119" spans="1:28" customHeight="1" ht="21"/>
    <row r="120" spans="1:28" customHeight="1" ht="21"/>
    <row r="121" spans="1:28" customHeight="1" ht="21"/>
    <row r="122" spans="1:28" customHeight="1" ht="21"/>
    <row r="123" spans="1:28" customHeight="1" ht="21"/>
    <row r="124" spans="1:28" customHeight="1" ht="21"/>
    <row r="125" spans="1:28" customHeight="1" ht="21"/>
    <row r="126" spans="1:28" customHeight="1" ht="21"/>
    <row r="127" spans="1:28" customHeight="1" ht="21"/>
    <row r="128" spans="1:28" customHeight="1" ht="21"/>
    <row r="129" spans="1:28" customHeight="1" ht="21"/>
    <row r="130" spans="1:28" customHeight="1" ht="21"/>
    <row r="131" spans="1:28" customHeight="1" ht="21"/>
    <row r="132" spans="1:28" customHeight="1" ht="21"/>
    <row r="133" spans="1:28" customHeight="1" ht="21"/>
    <row r="134" spans="1:28" customHeight="1" ht="21"/>
    <row r="135" spans="1:28" customHeight="1" ht="21"/>
    <row r="136" spans="1:28" customHeight="1" ht="21"/>
    <row r="137" spans="1:28" customHeight="1" ht="21"/>
    <row r="138" spans="1:28" customHeight="1" ht="21"/>
    <row r="139" spans="1:28" customHeight="1" ht="21"/>
    <row r="140" spans="1:28" customHeight="1" ht="21"/>
    <row r="141" spans="1:28" customHeight="1" ht="21"/>
    <row r="142" spans="1:28" customHeight="1" ht="21"/>
    <row r="143" spans="1:28" customHeight="1" ht="21"/>
    <row r="144" spans="1:28" customHeight="1" ht="21"/>
    <row r="145" spans="1:28" customHeight="1" ht="21"/>
    <row r="146" spans="1:28" customHeight="1" ht="21"/>
    <row r="147" spans="1:28" customHeight="1" ht="21"/>
    <row r="148" spans="1:28" customHeight="1" ht="21"/>
    <row r="149" spans="1:28" customHeight="1" ht="21"/>
    <row r="150" spans="1:28" customHeight="1" ht="21"/>
    <row r="151" spans="1:28" customHeight="1" ht="21"/>
    <row r="152" spans="1:28" customHeight="1" ht="21"/>
    <row r="153" spans="1:28" customHeight="1" ht="21"/>
    <row r="154" spans="1:28" customHeight="1" ht="21"/>
    <row r="155" spans="1:28" customHeight="1" ht="21"/>
    <row r="156" spans="1:28" customHeight="1" ht="21"/>
    <row r="157" spans="1:28" customHeight="1" ht="21"/>
    <row r="158" spans="1:28" customHeight="1" ht="21"/>
    <row r="159" spans="1:28" customHeight="1" ht="21"/>
    <row r="160" spans="1:28" customHeight="1" ht="21"/>
    <row r="161" spans="1:28" customHeight="1" ht="21"/>
    <row r="162" spans="1:28" customHeight="1" ht="21"/>
    <row r="163" spans="1:28" customHeight="1" ht="21"/>
    <row r="164" spans="1:28" customHeight="1" ht="21"/>
    <row r="165" spans="1:28" customHeight="1" ht="21"/>
    <row r="166" spans="1:28" customHeight="1" ht="21"/>
    <row r="167" spans="1:28" customHeight="1" ht="21"/>
    <row r="168" spans="1:28" customHeight="1" ht="21"/>
    <row r="169" spans="1:28" customHeight="1" ht="21"/>
    <row r="170" spans="1:28" customHeight="1" ht="21"/>
    <row r="171" spans="1:28" customHeight="1" ht="21"/>
    <row r="172" spans="1:28" customHeight="1" ht="21"/>
    <row r="173" spans="1:28" customHeight="1" ht="21"/>
    <row r="174" spans="1:28" customHeight="1" ht="21"/>
    <row r="175" spans="1:28" customHeight="1" ht="21"/>
    <row r="176" spans="1:28" customHeight="1" ht="21"/>
    <row r="177" spans="1:28" customHeight="1" ht="21"/>
    <row r="178" spans="1:28" customHeight="1" ht="21"/>
    <row r="179" spans="1:28" customHeight="1" ht="21"/>
    <row r="180" spans="1:28" customHeight="1" ht="21"/>
    <row r="181" spans="1:28" customHeight="1" ht="21"/>
    <row r="182" spans="1:28" customHeight="1" ht="21"/>
    <row r="183" spans="1:28" customHeight="1" ht="21"/>
    <row r="184" spans="1:28" customHeight="1" ht="21"/>
    <row r="185" spans="1:28" customHeight="1" ht="21"/>
    <row r="186" spans="1:28" customHeight="1" ht="21"/>
    <row r="187" spans="1:28" customHeight="1" ht="21"/>
    <row r="188" spans="1:28" customHeight="1" ht="21"/>
    <row r="189" spans="1:28" customHeight="1" ht="21"/>
    <row r="190" spans="1:28" customHeight="1" ht="21"/>
    <row r="191" spans="1:28" customHeight="1" ht="21"/>
    <row r="192" spans="1:28" customHeight="1" ht="21"/>
    <row r="193" spans="1:28" customHeight="1" ht="21"/>
    <row r="194" spans="1:28" customHeight="1" ht="21"/>
    <row r="195" spans="1:28" customHeight="1" ht="21"/>
    <row r="196" spans="1:28" customHeight="1" ht="21"/>
    <row r="197" spans="1:28" customHeight="1" ht="21"/>
    <row r="198" spans="1:28" customHeight="1" ht="21"/>
    <row r="199" spans="1:28" customHeight="1" ht="21"/>
    <row r="200" spans="1:28" customHeight="1" ht="21"/>
    <row r="201" spans="1:28" customHeight="1" ht="21"/>
    <row r="202" spans="1:28" customHeight="1" ht="21"/>
    <row r="203" spans="1:28" customHeight="1" ht="21"/>
    <row r="204" spans="1:28" customHeight="1" ht="21"/>
    <row r="205" spans="1:28" customHeight="1" ht="21"/>
    <row r="206" spans="1:28" customHeight="1" ht="21"/>
    <row r="207" spans="1:28" customHeight="1" ht="21"/>
    <row r="208" spans="1:28" customHeight="1" ht="21"/>
    <row r="209" spans="1:28" customHeight="1" ht="21"/>
    <row r="210" spans="1:28" customHeight="1" ht="21"/>
    <row r="211" spans="1:28" customHeight="1" ht="21"/>
    <row r="212" spans="1:28" customHeight="1" ht="21"/>
    <row r="213" spans="1:28" customHeight="1" ht="21"/>
    <row r="214" spans="1:28" customHeight="1" ht="21"/>
    <row r="215" spans="1:28" customHeight="1" ht="21"/>
    <row r="216" spans="1:28" customHeight="1" ht="21"/>
    <row r="217" spans="1:28" customHeight="1" ht="21"/>
    <row r="218" spans="1:28" customHeight="1" ht="21"/>
    <row r="219" spans="1:28" customHeight="1" ht="21"/>
    <row r="220" spans="1:28" customHeight="1" ht="21"/>
    <row r="221" spans="1:28" customHeight="1" ht="21"/>
    <row r="222" spans="1:28" customHeight="1" ht="21"/>
    <row r="223" spans="1:28" customHeight="1" ht="21"/>
    <row r="224" spans="1:28" customHeight="1" ht="21"/>
    <row r="225" spans="1:28" customHeight="1" ht="21"/>
    <row r="226" spans="1:28" customHeight="1" ht="21"/>
    <row r="227" spans="1:28" customHeight="1" ht="21"/>
    <row r="228" spans="1:28" customHeight="1" ht="21"/>
    <row r="229" spans="1:28" customHeight="1" ht="21"/>
    <row r="230" spans="1:28" customHeight="1" ht="21"/>
    <row r="231" spans="1:28" customHeight="1" ht="21"/>
    <row r="232" spans="1:28" customHeight="1" ht="21"/>
    <row r="233" spans="1:28" customHeight="1" ht="21"/>
    <row r="234" spans="1:28" customHeight="1" ht="21"/>
    <row r="235" spans="1:28" customHeight="1" ht="21"/>
    <row r="236" spans="1:28" customHeight="1" ht="21"/>
    <row r="237" spans="1:28" customHeight="1" ht="21"/>
    <row r="238" spans="1:28" customHeight="1" ht="21"/>
    <row r="239" spans="1:28" customHeight="1" ht="21"/>
    <row r="240" spans="1:28" customHeight="1" ht="21"/>
    <row r="241" spans="1:28" customHeight="1" ht="21"/>
    <row r="242" spans="1:28" customHeight="1" ht="21"/>
    <row r="243" spans="1:28" customHeight="1" ht="21"/>
    <row r="244" spans="1:28" customHeight="1" ht="21"/>
    <row r="245" spans="1:28" customHeight="1" ht="21"/>
    <row r="246" spans="1:28" customHeight="1" ht="21"/>
    <row r="247" spans="1:28" customHeight="1" ht="21"/>
    <row r="248" spans="1:28" customHeight="1" ht="21"/>
    <row r="249" spans="1:28" customHeight="1" ht="21"/>
    <row r="250" spans="1:28" customHeight="1" ht="21"/>
    <row r="251" spans="1:28" customHeight="1" ht="21"/>
    <row r="252" spans="1:28" customHeight="1" ht="21"/>
    <row r="253" spans="1:28" customHeight="1" ht="21"/>
    <row r="254" spans="1:28" customHeight="1" ht="21"/>
    <row r="255" spans="1:28" customHeight="1" ht="21"/>
    <row r="256" spans="1:28" customHeight="1" ht="21"/>
    <row r="257" spans="1:28" customHeight="1" ht="21"/>
    <row r="258" spans="1:28" customHeight="1" ht="21"/>
    <row r="259" spans="1:28" customHeight="1" ht="21"/>
    <row r="260" spans="1:28" customHeight="1" ht="21"/>
    <row r="261" spans="1:28" customHeight="1" ht="21"/>
    <row r="262" spans="1:28" customHeight="1" ht="21"/>
    <row r="263" spans="1:28" customHeight="1" ht="21"/>
    <row r="264" spans="1:28" customHeight="1" ht="21"/>
    <row r="265" spans="1:28" customHeight="1" ht="21"/>
    <row r="266" spans="1:28" customHeight="1" ht="21"/>
    <row r="267" spans="1:28" customHeight="1" ht="21"/>
    <row r="268" spans="1:28" customHeight="1" ht="21"/>
    <row r="269" spans="1:28" customHeight="1" ht="21"/>
    <row r="270" spans="1:28" customHeight="1" ht="21"/>
    <row r="271" spans="1:28" customHeight="1" ht="21"/>
    <row r="272" spans="1:28" customHeight="1" ht="21"/>
    <row r="273" spans="1:28" customHeight="1" ht="21"/>
    <row r="274" spans="1:28" customHeight="1" ht="21"/>
    <row r="275" spans="1:28" customHeight="1" ht="21"/>
    <row r="276" spans="1:28" customHeight="1" ht="21"/>
    <row r="277" spans="1:28" customHeight="1" ht="21"/>
    <row r="278" spans="1:28" customHeight="1" ht="21"/>
    <row r="279" spans="1:28" customHeight="1" ht="21"/>
    <row r="280" spans="1:28" customHeight="1" ht="21"/>
    <row r="281" spans="1:28" customHeight="1" ht="21"/>
    <row r="282" spans="1:28" customHeight="1" ht="21"/>
    <row r="283" spans="1:28" customHeight="1" ht="21"/>
    <row r="284" spans="1:28" customHeight="1" ht="21"/>
    <row r="285" spans="1:28" customHeight="1" ht="21"/>
    <row r="286" spans="1:28" customHeight="1" ht="21"/>
    <row r="287" spans="1:28" customHeight="1" ht="21"/>
    <row r="288" spans="1:28" customHeight="1" ht="21"/>
    <row r="289" spans="1:28" customHeight="1" ht="21"/>
    <row r="290" spans="1:28" customHeight="1" ht="21"/>
    <row r="291" spans="1:28" customHeight="1" ht="21"/>
    <row r="292" spans="1:28" customHeight="1" ht="21"/>
    <row r="293" spans="1:28" customHeight="1" ht="21"/>
    <row r="294" spans="1:28" customHeight="1" ht="21"/>
    <row r="295" spans="1:28" customHeight="1" ht="21"/>
    <row r="296" spans="1:28" customHeight="1" ht="21"/>
    <row r="297" spans="1:28" customHeight="1" ht="21"/>
    <row r="298" spans="1:28" customHeight="1" ht="21"/>
    <row r="299" spans="1:28" customHeight="1" ht="21"/>
    <row r="300" spans="1:28" customHeight="1" ht="21"/>
    <row r="301" spans="1:28" customHeight="1" ht="21"/>
    <row r="302" spans="1:28" customHeight="1" ht="21"/>
    <row r="303" spans="1:28" customHeight="1" ht="21"/>
    <row r="304" spans="1:28" customHeight="1" ht="21"/>
    <row r="305" spans="1:28" customHeight="1" ht="21"/>
    <row r="306" spans="1:28" customHeight="1" ht="21"/>
    <row r="307" spans="1:28" customHeight="1" ht="21"/>
    <row r="308" spans="1:28" customHeight="1" ht="21"/>
    <row r="309" spans="1:28" customHeight="1" ht="21"/>
    <row r="310" spans="1:28" customHeight="1" ht="21"/>
    <row r="311" spans="1:28" customHeight="1" ht="21"/>
    <row r="312" spans="1:28" customHeight="1" ht="21"/>
    <row r="313" spans="1:28" customHeight="1" ht="21"/>
    <row r="314" spans="1:28" customHeight="1" ht="21"/>
    <row r="315" spans="1:28" customHeight="1" ht="21"/>
    <row r="316" spans="1:28" customHeight="1" ht="21"/>
    <row r="317" spans="1:28" customHeight="1" ht="21"/>
    <row r="318" spans="1:28" customHeight="1" ht="21"/>
    <row r="319" spans="1:28" customHeight="1" ht="21"/>
    <row r="320" spans="1:28" customHeight="1" ht="21"/>
    <row r="321" spans="1:28" customHeight="1" ht="21"/>
    <row r="322" spans="1:28" customHeight="1" ht="21"/>
    <row r="323" spans="1:28" customHeight="1" ht="21"/>
    <row r="324" spans="1:28" customHeight="1" ht="21"/>
    <row r="325" spans="1:28" customHeight="1" ht="21"/>
    <row r="326" spans="1:28" customHeight="1" ht="21"/>
    <row r="327" spans="1:28" customHeight="1" ht="21"/>
    <row r="328" spans="1:28" customHeight="1" ht="21"/>
    <row r="329" spans="1:28" customHeight="1" ht="21"/>
    <row r="330" spans="1:28" customHeight="1" ht="21"/>
    <row r="331" spans="1:28" customHeight="1" ht="21"/>
    <row r="332" spans="1:28" customHeight="1" ht="21"/>
    <row r="333" spans="1:28" customHeight="1" ht="21"/>
    <row r="334" spans="1:28" customHeight="1" ht="21"/>
    <row r="335" spans="1:28" customHeight="1" ht="21"/>
    <row r="336" spans="1:28" customHeight="1" ht="21"/>
    <row r="337" spans="1:28" customHeight="1" ht="21"/>
    <row r="338" spans="1:28" customHeight="1" ht="21"/>
    <row r="339" spans="1:28" customHeight="1" ht="21"/>
    <row r="340" spans="1:28" customHeight="1" ht="21"/>
    <row r="341" spans="1:28" customHeight="1" ht="21"/>
    <row r="342" spans="1:28" customHeight="1" ht="21"/>
    <row r="343" spans="1:28" customHeight="1" ht="21"/>
    <row r="344" spans="1:28" customHeight="1" ht="21"/>
    <row r="345" spans="1:28" customHeight="1" ht="21"/>
    <row r="346" spans="1:28" customHeight="1" ht="21"/>
    <row r="347" spans="1:28" customHeight="1" ht="21"/>
    <row r="348" spans="1:28" customHeight="1" ht="21"/>
    <row r="349" spans="1:28" customHeight="1" ht="21"/>
    <row r="350" spans="1:28" customHeight="1" ht="21"/>
    <row r="351" spans="1:28" customHeight="1" ht="21"/>
    <row r="352" spans="1:28" customHeight="1" ht="21"/>
    <row r="353" spans="1:28" customHeight="1" ht="21"/>
    <row r="354" spans="1:28" customHeight="1" ht="21"/>
    <row r="355" spans="1:28" customHeight="1" ht="21"/>
    <row r="356" spans="1:28" customHeight="1" ht="21"/>
    <row r="357" spans="1:28" customHeight="1" ht="21"/>
    <row r="358" spans="1:28" customHeight="1" ht="21"/>
    <row r="359" spans="1:28" customHeight="1" ht="21"/>
    <row r="360" spans="1:28" customHeight="1" ht="21"/>
    <row r="361" spans="1:28" customHeight="1" ht="21"/>
    <row r="362" spans="1:28" customHeight="1" ht="21"/>
    <row r="363" spans="1:28" customHeight="1" ht="21"/>
    <row r="364" spans="1:28" customHeight="1" ht="21"/>
    <row r="365" spans="1:28" customHeight="1" ht="21"/>
    <row r="366" spans="1:28" customHeight="1" ht="21"/>
    <row r="367" spans="1:28" customHeight="1" ht="21"/>
    <row r="368" spans="1:28" customHeight="1" ht="21"/>
    <row r="369" spans="1:28" customHeight="1" ht="21"/>
    <row r="370" spans="1:28" customHeight="1" ht="21"/>
    <row r="371" spans="1:28" customHeight="1" ht="21"/>
    <row r="372" spans="1:28" customHeight="1" ht="21"/>
    <row r="373" spans="1:28" customHeight="1" ht="21"/>
    <row r="374" spans="1:28" customHeight="1" ht="21"/>
    <row r="375" spans="1:28" customHeight="1" ht="21"/>
    <row r="376" spans="1:28" customHeight="1" ht="21"/>
    <row r="377" spans="1:28" customHeight="1" ht="21"/>
    <row r="378" spans="1:28" customHeight="1" ht="21"/>
    <row r="379" spans="1:28" customHeight="1" ht="21"/>
    <row r="380" spans="1:28" customHeight="1" ht="21"/>
    <row r="381" spans="1:28" customHeight="1" ht="21"/>
    <row r="382" spans="1:28" customHeight="1" ht="21"/>
    <row r="383" spans="1:28" customHeight="1" ht="21"/>
    <row r="384" spans="1:28" customHeight="1" ht="21"/>
    <row r="385" spans="1:28" customHeight="1" ht="21"/>
    <row r="386" spans="1:28" customHeight="1" ht="21"/>
    <row r="387" spans="1:28" customHeight="1" ht="21"/>
    <row r="388" spans="1:28" customHeight="1" ht="21"/>
    <row r="389" spans="1:28" customHeight="1" ht="21"/>
    <row r="390" spans="1:28" customHeight="1" ht="21"/>
    <row r="391" spans="1:28" customHeight="1" ht="21"/>
    <row r="392" spans="1:28" customHeight="1" ht="21"/>
    <row r="393" spans="1:28" customHeight="1" ht="21"/>
    <row r="394" spans="1:28" customHeight="1" ht="21"/>
    <row r="395" spans="1:28" customHeight="1" ht="21"/>
    <row r="396" spans="1:28" customHeight="1" ht="21"/>
    <row r="397" spans="1:28" customHeight="1" ht="21"/>
    <row r="398" spans="1:28" customHeight="1" ht="21"/>
    <row r="399" spans="1:28" customHeight="1" ht="21"/>
    <row r="400" spans="1:28" customHeight="1" ht="21"/>
    <row r="401" spans="1:28" customHeight="1" ht="21"/>
    <row r="402" spans="1:28" customHeight="1" ht="21"/>
    <row r="403" spans="1:28" customHeight="1" ht="21"/>
    <row r="404" spans="1:28" customHeight="1" ht="21"/>
    <row r="405" spans="1:28" customHeight="1" ht="21"/>
    <row r="406" spans="1:28" customHeight="1" ht="21"/>
    <row r="407" spans="1:28" customHeight="1" ht="21"/>
    <row r="408" spans="1:28" customHeight="1" ht="21"/>
    <row r="409" spans="1:28" customHeight="1" ht="21"/>
    <row r="410" spans="1:28" customHeight="1" ht="21"/>
    <row r="411" spans="1:28" customHeight="1" ht="21"/>
    <row r="412" spans="1:28" customHeight="1" ht="21"/>
    <row r="413" spans="1:28" customHeight="1" ht="21"/>
    <row r="414" spans="1:28" customHeight="1" ht="21"/>
    <row r="415" spans="1:28" customHeight="1" ht="21"/>
    <row r="416" spans="1:28" customHeight="1" ht="21"/>
    <row r="417" spans="1:28" customHeight="1" ht="21"/>
    <row r="418" spans="1:28" customHeight="1" ht="21"/>
    <row r="419" spans="1:28" customHeight="1" ht="21"/>
    <row r="420" spans="1:28" customHeight="1" ht="21"/>
    <row r="421" spans="1:28" customHeight="1" ht="21"/>
    <row r="422" spans="1:28" customHeight="1" ht="21"/>
    <row r="423" spans="1:28" customHeight="1" ht="21"/>
    <row r="424" spans="1:28" customHeight="1" ht="21"/>
    <row r="425" spans="1:28" customHeight="1" ht="21"/>
    <row r="426" spans="1:28" customHeight="1" ht="21"/>
    <row r="427" spans="1:28" customHeight="1" ht="21"/>
    <row r="428" spans="1:28" customHeight="1" ht="21"/>
    <row r="429" spans="1:28" customHeight="1" ht="21"/>
    <row r="430" spans="1:28" customHeight="1" ht="21"/>
    <row r="431" spans="1:28" customHeight="1" ht="21"/>
    <row r="432" spans="1:28" customHeight="1" ht="21"/>
    <row r="433" spans="1:28" customHeight="1" ht="21"/>
    <row r="434" spans="1:28" customHeight="1" ht="21"/>
    <row r="435" spans="1:28" customHeight="1" ht="21"/>
    <row r="436" spans="1:28" customHeight="1" ht="21"/>
    <row r="437" spans="1:28" customHeight="1" ht="21"/>
    <row r="438" spans="1:28" customHeight="1" ht="21"/>
    <row r="439" spans="1:28" customHeight="1" ht="21"/>
    <row r="440" spans="1:28" customHeight="1" ht="21"/>
    <row r="441" spans="1:28" customHeight="1" ht="21"/>
    <row r="442" spans="1:28" customHeight="1" ht="21"/>
    <row r="443" spans="1:28" customHeight="1" ht="21"/>
    <row r="444" spans="1:28" customHeight="1" ht="21"/>
    <row r="445" spans="1:28" customHeight="1" ht="21"/>
    <row r="446" spans="1:28" customHeight="1" ht="21"/>
    <row r="447" spans="1:28" customHeight="1" ht="21"/>
    <row r="448" spans="1:28" customHeight="1" ht="21"/>
    <row r="449" spans="1:28" customHeight="1" ht="21"/>
    <row r="450" spans="1:28" customHeight="1" ht="21"/>
    <row r="451" spans="1:28" customHeight="1" ht="21"/>
    <row r="452" spans="1:28" customHeight="1" ht="21"/>
    <row r="453" spans="1:28" customHeight="1" ht="21"/>
    <row r="454" spans="1:28" customHeight="1" ht="21"/>
    <row r="455" spans="1:28" customHeight="1" ht="21"/>
    <row r="456" spans="1:28" customHeight="1" ht="21"/>
    <row r="457" spans="1:28" customHeight="1" ht="21"/>
    <row r="458" spans="1:28" customHeight="1" ht="21"/>
    <row r="459" spans="1:28" customHeight="1" ht="21"/>
    <row r="460" spans="1:28" customHeight="1" ht="21"/>
    <row r="461" spans="1:28" customHeight="1" ht="21"/>
    <row r="462" spans="1:28" customHeight="1" ht="21"/>
    <row r="463" spans="1:28" customHeight="1" ht="21"/>
    <row r="464" spans="1:28" customHeight="1" ht="21"/>
    <row r="465" spans="1:28" customHeight="1" ht="21"/>
    <row r="466" spans="1:28" customHeight="1" ht="21"/>
    <row r="467" spans="1:28" customHeight="1" ht="21"/>
    <row r="468" spans="1:28" customHeight="1" ht="21"/>
    <row r="469" spans="1:28" customHeight="1" ht="21"/>
    <row r="470" spans="1:28" customHeight="1" ht="21"/>
    <row r="471" spans="1:28" customHeight="1" ht="21"/>
    <row r="472" spans="1:28" customHeight="1" ht="21"/>
    <row r="473" spans="1:28" customHeight="1" ht="21"/>
    <row r="474" spans="1:28" customHeight="1" ht="21"/>
    <row r="475" spans="1:28" customHeight="1" ht="21"/>
    <row r="476" spans="1:28" customHeight="1" ht="21"/>
    <row r="477" spans="1:28" customHeight="1" ht="21"/>
    <row r="478" spans="1:28" customHeight="1" ht="21"/>
    <row r="479" spans="1:28" customHeight="1" ht="21"/>
    <row r="480" spans="1:28" customHeight="1" ht="21"/>
    <row r="481" spans="1:28" customHeight="1" ht="21"/>
    <row r="482" spans="1:28" customHeight="1" ht="21"/>
    <row r="483" spans="1:28" customHeight="1" ht="21"/>
    <row r="484" spans="1:28" customHeight="1" ht="21"/>
    <row r="485" spans="1:28" customHeight="1" ht="21"/>
    <row r="486" spans="1:28" customHeight="1" ht="21"/>
    <row r="487" spans="1:28" customHeight="1" ht="21"/>
    <row r="488" spans="1:28" customHeight="1" ht="21"/>
    <row r="489" spans="1:28" customHeight="1" ht="21"/>
    <row r="490" spans="1:28" customHeight="1" ht="21"/>
    <row r="491" spans="1:28" customHeight="1" ht="21"/>
    <row r="492" spans="1:28" customHeight="1" ht="21"/>
    <row r="493" spans="1:28" customHeight="1" ht="21"/>
    <row r="494" spans="1:28" customHeight="1" ht="21"/>
    <row r="495" spans="1:28" customHeight="1" ht="21"/>
    <row r="496" spans="1:28" customHeight="1" ht="21"/>
    <row r="497" spans="1:28" customHeight="1" ht="21"/>
    <row r="498" spans="1:28" customHeight="1" ht="21"/>
    <row r="499" spans="1:28" customHeight="1" ht="21"/>
    <row r="500" spans="1:28" customHeight="1" ht="21"/>
    <row r="501" spans="1:28" customHeight="1" ht="21"/>
    <row r="502" spans="1:28" customHeight="1" ht="21"/>
    <row r="503" spans="1:28" customHeight="1" ht="21"/>
    <row r="504" spans="1:28" customHeight="1" ht="21"/>
    <row r="505" spans="1:28" customHeight="1" ht="21"/>
    <row r="506" spans="1:28" customHeight="1" ht="21"/>
    <row r="507" spans="1:28" customHeight="1" ht="21"/>
    <row r="508" spans="1:28" customHeight="1" ht="21"/>
    <row r="509" spans="1:28" customHeight="1" ht="21"/>
    <row r="510" spans="1:28" customHeight="1" ht="21"/>
    <row r="511" spans="1:28" customHeight="1" ht="21"/>
    <row r="512" spans="1:28" customHeight="1" ht="21"/>
    <row r="513" spans="1:28" customHeight="1" ht="21"/>
    <row r="514" spans="1:28" customHeight="1" ht="21"/>
    <row r="515" spans="1:28" customHeight="1" ht="21"/>
    <row r="516" spans="1:28" customHeight="1" ht="21"/>
    <row r="517" spans="1:28" customHeight="1" ht="21"/>
    <row r="518" spans="1:28" customHeight="1" ht="21"/>
    <row r="519" spans="1:28" customHeight="1" ht="21"/>
    <row r="520" spans="1:28" customHeight="1" ht="21"/>
    <row r="521" spans="1:28" customHeight="1" ht="21"/>
    <row r="522" spans="1:28" customHeight="1" ht="21"/>
    <row r="523" spans="1:28" customHeight="1" ht="21"/>
    <row r="524" spans="1:28" customHeight="1" ht="21"/>
    <row r="525" spans="1:28" customHeight="1" ht="21"/>
    <row r="526" spans="1:28" customHeight="1" ht="21"/>
    <row r="527" spans="1:28" customHeight="1" ht="21"/>
    <row r="528" spans="1:28" customHeight="1" ht="21"/>
    <row r="529" spans="1:28" customHeight="1" ht="21"/>
    <row r="530" spans="1:28" customHeight="1" ht="21"/>
    <row r="531" spans="1:28" customHeight="1" ht="21"/>
    <row r="532" spans="1:28" customHeight="1" ht="21"/>
    <row r="533" spans="1:28" customHeight="1" ht="21"/>
    <row r="534" spans="1:28" customHeight="1" ht="21"/>
    <row r="535" spans="1:28" customHeight="1" ht="21"/>
    <row r="536" spans="1:28" customHeight="1" ht="21"/>
    <row r="537" spans="1:28" customHeight="1" ht="21"/>
    <row r="538" spans="1:28" customHeight="1" ht="21"/>
    <row r="539" spans="1:28" customHeight="1" ht="21"/>
    <row r="540" spans="1:28" customHeight="1" ht="21"/>
    <row r="541" spans="1:28" customHeight="1" ht="21"/>
    <row r="542" spans="1:28" customHeight="1" ht="21"/>
    <row r="543" spans="1:28" customHeight="1" ht="21"/>
    <row r="544" spans="1:28" customHeight="1" ht="21"/>
    <row r="545" spans="1:28" customHeight="1" ht="21"/>
    <row r="546" spans="1:28" customHeight="1" ht="21"/>
    <row r="547" spans="1:28" customHeight="1" ht="21"/>
    <row r="548" spans="1:28" customHeight="1" ht="21"/>
    <row r="549" spans="1:28" customHeight="1" ht="21"/>
    <row r="550" spans="1:28" customHeight="1" ht="21"/>
    <row r="551" spans="1:28" customHeight="1" ht="21"/>
    <row r="552" spans="1:28" customHeight="1" ht="21"/>
    <row r="553" spans="1:28" customHeight="1" ht="21"/>
    <row r="554" spans="1:28" customHeight="1" ht="21"/>
    <row r="555" spans="1:28" customHeight="1" ht="21"/>
    <row r="556" spans="1:28" customHeight="1" ht="21"/>
    <row r="557" spans="1:28" customHeight="1" ht="21"/>
    <row r="558" spans="1:28" customHeight="1" ht="21"/>
    <row r="559" spans="1:28" customHeight="1" ht="21"/>
    <row r="560" spans="1:28" customHeight="1" ht="21"/>
    <row r="561" spans="1:28" customHeight="1" ht="21"/>
    <row r="562" spans="1:28" customHeight="1" ht="21"/>
    <row r="563" spans="1:28" customHeight="1" ht="21"/>
    <row r="564" spans="1:28" customHeight="1" ht="21"/>
    <row r="565" spans="1:28" customHeight="1" ht="21"/>
    <row r="566" spans="1:28" customHeight="1" ht="21"/>
    <row r="567" spans="1:28" customHeight="1" ht="21"/>
    <row r="568" spans="1:28" customHeight="1" ht="21"/>
    <row r="569" spans="1:28" customHeight="1" ht="21"/>
    <row r="570" spans="1:28" customHeight="1" ht="21"/>
    <row r="571" spans="1:28" customHeight="1" ht="21"/>
    <row r="572" spans="1:28" customHeight="1" ht="21"/>
    <row r="573" spans="1:28" customHeight="1" ht="21"/>
    <row r="574" spans="1:28" customHeight="1" ht="21"/>
    <row r="575" spans="1:28" customHeight="1" ht="21"/>
    <row r="576" spans="1:28" customHeight="1" ht="21"/>
    <row r="577" spans="1:28" customHeight="1" ht="21"/>
    <row r="578" spans="1:28" customHeight="1" ht="21"/>
    <row r="579" spans="1:28" customHeight="1" ht="21"/>
    <row r="580" spans="1:28" customHeight="1" ht="21"/>
    <row r="581" spans="1:28" customHeight="1" ht="21"/>
    <row r="582" spans="1:28" customHeight="1" ht="21"/>
    <row r="583" spans="1:28" customHeight="1" ht="21"/>
    <row r="584" spans="1:28" customHeight="1" ht="21"/>
    <row r="585" spans="1:28" customHeight="1" ht="21"/>
    <row r="586" spans="1:28" customHeight="1" ht="21"/>
    <row r="587" spans="1:28" customHeight="1" ht="21"/>
    <row r="588" spans="1:28" customHeight="1" ht="21"/>
    <row r="589" spans="1:28" customHeight="1" ht="21"/>
    <row r="590" spans="1:28" customHeight="1" ht="21"/>
    <row r="591" spans="1:28" customHeight="1" ht="21"/>
    <row r="592" spans="1:28" customHeight="1" ht="21"/>
    <row r="593" spans="1:28" customHeight="1" ht="21"/>
    <row r="594" spans="1:28" customHeight="1" ht="21"/>
    <row r="595" spans="1:28" customHeight="1" ht="21"/>
    <row r="596" spans="1:28" customHeight="1" ht="21"/>
    <row r="597" spans="1:28" customHeight="1" ht="21"/>
    <row r="598" spans="1:28" customHeight="1" ht="21"/>
    <row r="599" spans="1:28" customHeight="1" ht="21"/>
    <row r="600" spans="1:28" customHeight="1" ht="21"/>
    <row r="601" spans="1:28" customHeight="1" ht="21"/>
    <row r="602" spans="1:28" customHeight="1" ht="21"/>
    <row r="603" spans="1:28" customHeight="1" ht="21"/>
    <row r="604" spans="1:28" customHeight="1" ht="21"/>
    <row r="605" spans="1:28" customHeight="1" ht="21"/>
    <row r="606" spans="1:28" customHeight="1" ht="21"/>
    <row r="607" spans="1:28" customHeight="1" ht="21"/>
    <row r="608" spans="1:28" customHeight="1" ht="21"/>
    <row r="609" spans="1:28" customHeight="1" ht="21"/>
    <row r="610" spans="1:28" customHeight="1" ht="21"/>
    <row r="611" spans="1:28" customHeight="1" ht="21"/>
    <row r="612" spans="1:28" customHeight="1" ht="21"/>
    <row r="613" spans="1:28" customHeight="1" ht="21"/>
    <row r="614" spans="1:28" customHeight="1" ht="21"/>
    <row r="615" spans="1:28" customHeight="1" ht="21"/>
    <row r="616" spans="1:28" customHeight="1" ht="21"/>
    <row r="617" spans="1:28" customHeight="1" ht="21"/>
    <row r="618" spans="1:28" customHeight="1" ht="21"/>
    <row r="619" spans="1:28" customHeight="1" ht="21"/>
    <row r="620" spans="1:28" customHeight="1" ht="21"/>
    <row r="621" spans="1:28" customHeight="1" ht="21"/>
    <row r="622" spans="1:28" customHeight="1" ht="21"/>
    <row r="623" spans="1:28" customHeight="1" ht="21"/>
    <row r="624" spans="1:28" customHeight="1" ht="21"/>
    <row r="625" spans="1:28" customHeight="1" ht="21"/>
    <row r="626" spans="1:28" customHeight="1" ht="21"/>
    <row r="627" spans="1:28" customHeight="1" ht="21"/>
    <row r="628" spans="1:28" customHeight="1" ht="21"/>
    <row r="629" spans="1:28" customHeight="1" ht="21"/>
    <row r="630" spans="1:28" customHeight="1" ht="21"/>
    <row r="631" spans="1:28" customHeight="1" ht="21"/>
    <row r="632" spans="1:28" customHeight="1" ht="21"/>
    <row r="633" spans="1:28" customHeight="1" ht="21"/>
    <row r="634" spans="1:28" customHeight="1" ht="21"/>
    <row r="635" spans="1:28" customHeight="1" ht="21"/>
    <row r="636" spans="1:28" customHeight="1" ht="21"/>
    <row r="637" spans="1:28" customHeight="1" ht="21"/>
    <row r="638" spans="1:28" customHeight="1" ht="21"/>
    <row r="639" spans="1:28" customHeight="1" ht="21"/>
    <row r="640" spans="1:28" customHeight="1" ht="21"/>
    <row r="641" spans="1:28" customHeight="1" ht="21"/>
    <row r="642" spans="1:28" customHeight="1" ht="21"/>
    <row r="643" spans="1:28" customHeight="1" ht="21"/>
    <row r="644" spans="1:28" customHeight="1" ht="21"/>
    <row r="645" spans="1:28" customHeight="1" ht="21"/>
    <row r="646" spans="1:28" customHeight="1" ht="21"/>
    <row r="647" spans="1:28" customHeight="1" ht="21"/>
    <row r="648" spans="1:28" customHeight="1" ht="21"/>
    <row r="649" spans="1:28" customHeight="1" ht="21"/>
    <row r="650" spans="1:28" customHeight="1" ht="21"/>
    <row r="651" spans="1:28" customHeight="1" ht="21"/>
    <row r="652" spans="1:28" customHeight="1" ht="21"/>
    <row r="653" spans="1:28" customHeight="1" ht="21"/>
    <row r="654" spans="1:28" customHeight="1" ht="21"/>
    <row r="655" spans="1:28" customHeight="1" ht="21"/>
    <row r="656" spans="1:28" customHeight="1" ht="21"/>
    <row r="657" spans="1:28" customHeight="1" ht="21"/>
    <row r="658" spans="1:28" customHeight="1" ht="21"/>
    <row r="659" spans="1:28" customHeight="1" ht="21"/>
    <row r="660" spans="1:28" customHeight="1" ht="21"/>
    <row r="661" spans="1:28" customHeight="1" ht="21"/>
    <row r="662" spans="1:28" customHeight="1" ht="21"/>
    <row r="663" spans="1:28" customHeight="1" ht="21"/>
    <row r="664" spans="1:28" customHeight="1" ht="21"/>
    <row r="665" spans="1:28" customHeight="1" ht="21"/>
    <row r="666" spans="1:28" customHeight="1" ht="21"/>
    <row r="667" spans="1:28" customHeight="1" ht="21"/>
    <row r="668" spans="1:28" customHeight="1" ht="21"/>
    <row r="669" spans="1:28" customHeight="1" ht="21"/>
    <row r="670" spans="1:28" customHeight="1" ht="21"/>
    <row r="671" spans="1:28" customHeight="1" ht="21"/>
    <row r="672" spans="1:28" customHeight="1" ht="21"/>
    <row r="673" spans="1:28" customHeight="1" ht="21"/>
    <row r="674" spans="1:28" customHeight="1" ht="21"/>
    <row r="675" spans="1:28" customHeight="1" ht="21"/>
    <row r="676" spans="1:28" customHeight="1" ht="21"/>
    <row r="677" spans="1:28" customHeight="1" ht="21"/>
    <row r="678" spans="1:28" customHeight="1" ht="21"/>
    <row r="679" spans="1:28" customHeight="1" ht="21"/>
    <row r="680" spans="1:28" customHeight="1" ht="21"/>
    <row r="681" spans="1:28" customHeight="1" ht="21"/>
    <row r="682" spans="1:28" customHeight="1" ht="21"/>
    <row r="683" spans="1:28" customHeight="1" ht="21"/>
    <row r="684" spans="1:28" customHeight="1" ht="21"/>
    <row r="685" spans="1:28" customHeight="1" ht="21"/>
    <row r="686" spans="1:28" customHeight="1" ht="21"/>
    <row r="687" spans="1:28" customHeight="1" ht="21"/>
    <row r="688" spans="1:28" customHeight="1" ht="21"/>
    <row r="689" spans="1:28" customHeight="1" ht="21"/>
    <row r="690" spans="1:28" customHeight="1" ht="21"/>
    <row r="691" spans="1:28" customHeight="1" ht="21"/>
    <row r="692" spans="1:28" customHeight="1" ht="21"/>
    <row r="693" spans="1:28" customHeight="1" ht="21"/>
    <row r="694" spans="1:28" customHeight="1" ht="21"/>
    <row r="695" spans="1:28" customHeight="1" ht="21"/>
    <row r="696" spans="1:28" customHeight="1" ht="21"/>
    <row r="697" spans="1:28" customHeight="1" ht="21"/>
    <row r="698" spans="1:28" customHeight="1" ht="21"/>
    <row r="699" spans="1:28" customHeight="1" ht="21"/>
    <row r="700" spans="1:28" customHeight="1" ht="21"/>
    <row r="701" spans="1:28" customHeight="1" ht="21"/>
    <row r="702" spans="1:28" customHeight="1" ht="21"/>
    <row r="703" spans="1:28" customHeight="1" ht="21"/>
    <row r="704" spans="1:28" customHeight="1" ht="21"/>
    <row r="705" spans="1:28" customHeight="1" ht="21"/>
    <row r="706" spans="1:28" customHeight="1" ht="21"/>
    <row r="707" spans="1:28" customHeight="1" ht="21"/>
    <row r="708" spans="1:28" customHeight="1" ht="21"/>
    <row r="709" spans="1:28" customHeight="1" ht="21"/>
    <row r="710" spans="1:28" customHeight="1" ht="21"/>
    <row r="711" spans="1:28" customHeight="1" ht="21"/>
    <row r="712" spans="1:28" customHeight="1" ht="21"/>
    <row r="713" spans="1:28" customHeight="1" ht="21"/>
    <row r="714" spans="1:28" customHeight="1" ht="21"/>
    <row r="715" spans="1:28" customHeight="1" ht="21"/>
    <row r="716" spans="1:28" customHeight="1" ht="21"/>
    <row r="717" spans="1:28" customHeight="1" ht="21"/>
    <row r="718" spans="1:28" customHeight="1" ht="21"/>
    <row r="719" spans="1:28" customHeight="1" ht="21"/>
    <row r="720" spans="1:28" customHeight="1" ht="21"/>
    <row r="721" spans="1:28" customHeight="1" ht="21"/>
    <row r="722" spans="1:28" customHeight="1" ht="21"/>
    <row r="723" spans="1:28" customHeight="1" ht="21"/>
    <row r="724" spans="1:28" customHeight="1" ht="21"/>
    <row r="725" spans="1:28" customHeight="1" ht="21"/>
    <row r="726" spans="1:28" customHeight="1" ht="21"/>
    <row r="727" spans="1:28" customHeight="1" ht="21"/>
    <row r="728" spans="1:28" customHeight="1" ht="21"/>
    <row r="729" spans="1:28" customHeight="1" ht="21"/>
    <row r="730" spans="1:28" customHeight="1" ht="21"/>
    <row r="731" spans="1:28" customHeight="1" ht="21"/>
    <row r="732" spans="1:28" customHeight="1" ht="21"/>
    <row r="733" spans="1:28" customHeight="1" ht="21"/>
    <row r="734" spans="1:28" customHeight="1" ht="21"/>
    <row r="735" spans="1:28" customHeight="1" ht="21"/>
    <row r="736" spans="1:28" customHeight="1" ht="21"/>
    <row r="737" spans="1:28" customHeight="1" ht="21"/>
    <row r="738" spans="1:28" customHeight="1" ht="21"/>
    <row r="739" spans="1:28" customHeight="1" ht="21"/>
    <row r="740" spans="1:28" customHeight="1" ht="21"/>
    <row r="741" spans="1:28" customHeight="1" ht="21"/>
    <row r="742" spans="1:28" customHeight="1" ht="21"/>
    <row r="743" spans="1:28" customHeight="1" ht="21"/>
    <row r="744" spans="1:28" customHeight="1" ht="21"/>
    <row r="745" spans="1:28" customHeight="1" ht="21"/>
    <row r="746" spans="1:28" customHeight="1" ht="21"/>
    <row r="747" spans="1:28" customHeight="1" ht="21"/>
    <row r="748" spans="1:28" customHeight="1" ht="21"/>
    <row r="749" spans="1:28" customHeight="1" ht="21"/>
    <row r="750" spans="1:28" customHeight="1" ht="21"/>
    <row r="751" spans="1:28" customHeight="1" ht="21"/>
    <row r="752" spans="1:28" customHeight="1" ht="21"/>
    <row r="753" spans="1:28" customHeight="1" ht="21"/>
    <row r="754" spans="1:28" customHeight="1" ht="21"/>
    <row r="755" spans="1:28" customHeight="1" ht="21"/>
    <row r="756" spans="1:28" customHeight="1" ht="21"/>
    <row r="757" spans="1:28" customHeight="1" ht="21"/>
    <row r="758" spans="1:28" customHeight="1" ht="21"/>
    <row r="759" spans="1:28" customHeight="1" ht="21"/>
    <row r="760" spans="1:28" customHeight="1" ht="21"/>
    <row r="761" spans="1:28" customHeight="1" ht="21"/>
    <row r="762" spans="1:28" customHeight="1" ht="21"/>
    <row r="763" spans="1:28" customHeight="1" ht="21"/>
    <row r="764" spans="1:28" customHeight="1" ht="21"/>
    <row r="765" spans="1:28" customHeight="1" ht="21"/>
    <row r="766" spans="1:28" customHeight="1" ht="21"/>
    <row r="767" spans="1:28" customHeight="1" ht="21"/>
    <row r="768" spans="1:28" customHeight="1" ht="21"/>
    <row r="769" spans="1:28" customHeight="1" ht="21"/>
    <row r="770" spans="1:28" customHeight="1" ht="21"/>
    <row r="771" spans="1:28" customHeight="1" ht="21"/>
    <row r="772" spans="1:28" customHeight="1" ht="21"/>
    <row r="773" spans="1:28" customHeight="1" ht="21"/>
    <row r="774" spans="1:28" customHeight="1" ht="21"/>
    <row r="775" spans="1:28" customHeight="1" ht="21"/>
    <row r="776" spans="1:28" customHeight="1" ht="21"/>
    <row r="777" spans="1:28" customHeight="1" ht="21"/>
    <row r="778" spans="1:28" customHeight="1" ht="21"/>
    <row r="779" spans="1:28" customHeight="1" ht="21"/>
    <row r="780" spans="1:28" customHeight="1" ht="21"/>
    <row r="781" spans="1:28" customHeight="1" ht="21"/>
    <row r="782" spans="1:28" customHeight="1" ht="21"/>
    <row r="783" spans="1:28" customHeight="1" ht="21"/>
    <row r="784" spans="1:28" customHeight="1" ht="21"/>
    <row r="785" spans="1:28" customHeight="1" ht="21"/>
    <row r="786" spans="1:28" customHeight="1" ht="21"/>
    <row r="787" spans="1:28" customHeight="1" ht="21"/>
    <row r="788" spans="1:28" customHeight="1" ht="21"/>
    <row r="789" spans="1:28" customHeight="1" ht="21"/>
    <row r="790" spans="1:28" customHeight="1" ht="21"/>
    <row r="791" spans="1:28" customHeight="1" ht="21"/>
    <row r="792" spans="1:28" customHeight="1" ht="21"/>
    <row r="793" spans="1:28" customHeight="1" ht="21"/>
    <row r="794" spans="1:28" customHeight="1" ht="21"/>
    <row r="795" spans="1:28" customHeight="1" ht="21"/>
    <row r="796" spans="1:28" customHeight="1" ht="21"/>
    <row r="797" spans="1:28" customHeight="1" ht="21"/>
    <row r="798" spans="1:28" customHeight="1" ht="21"/>
    <row r="799" spans="1:28" customHeight="1" ht="21"/>
    <row r="800" spans="1:28" customHeight="1" ht="21"/>
    <row r="801" spans="1:28" customHeight="1" ht="21"/>
    <row r="802" spans="1:28" customHeight="1" ht="21"/>
    <row r="803" spans="1:28" customHeight="1" ht="21"/>
    <row r="804" spans="1:28" customHeight="1" ht="21"/>
    <row r="805" spans="1:28" customHeight="1" ht="21"/>
    <row r="806" spans="1:28" customHeight="1" ht="21"/>
    <row r="807" spans="1:28" customHeight="1" ht="21"/>
    <row r="808" spans="1:28" customHeight="1" ht="21"/>
    <row r="809" spans="1:28" customHeight="1" ht="21"/>
    <row r="810" spans="1:28" customHeight="1" ht="21"/>
    <row r="811" spans="1:28" customHeight="1" ht="21"/>
    <row r="812" spans="1:28" customHeight="1" ht="21"/>
    <row r="813" spans="1:28" customHeight="1" ht="21"/>
    <row r="814" spans="1:28" customHeight="1" ht="21"/>
    <row r="815" spans="1:28" customHeight="1" ht="21"/>
    <row r="816" spans="1:28" customHeight="1" ht="21"/>
    <row r="817" spans="1:28" customHeight="1" ht="21"/>
    <row r="818" spans="1:28" customHeight="1" ht="21"/>
    <row r="819" spans="1:28" customHeight="1" ht="21"/>
    <row r="820" spans="1:28" customHeight="1" ht="21"/>
    <row r="821" spans="1:28" customHeight="1" ht="21"/>
    <row r="822" spans="1:28" customHeight="1" ht="21"/>
    <row r="823" spans="1:28" customHeight="1" ht="21"/>
    <row r="824" spans="1:28" customHeight="1" ht="21"/>
    <row r="825" spans="1:28" customHeight="1" ht="21"/>
    <row r="826" spans="1:28" customHeight="1" ht="21"/>
    <row r="827" spans="1:28" customHeight="1" ht="21"/>
    <row r="828" spans="1:28" customHeight="1" ht="21"/>
    <row r="829" spans="1:28" customHeight="1" ht="21"/>
    <row r="830" spans="1:28" customHeight="1" ht="21"/>
    <row r="831" spans="1:28" customHeight="1" ht="21"/>
    <row r="832" spans="1:28" customHeight="1" ht="21"/>
    <row r="833" spans="1:28" customHeight="1" ht="21"/>
    <row r="834" spans="1:28" customHeight="1" ht="21"/>
    <row r="835" spans="1:28" customHeight="1" ht="21"/>
    <row r="836" spans="1:28" customHeight="1" ht="21"/>
    <row r="837" spans="1:28" customHeight="1" ht="21"/>
    <row r="838" spans="1:28" customHeight="1" ht="21"/>
    <row r="839" spans="1:28" customHeight="1" ht="21"/>
    <row r="840" spans="1:28" customHeight="1" ht="21"/>
    <row r="841" spans="1:28" customHeight="1" ht="21"/>
    <row r="842" spans="1:28" customHeight="1" ht="21"/>
    <row r="843" spans="1:28" customHeight="1" ht="21"/>
    <row r="844" spans="1:28" customHeight="1" ht="21"/>
    <row r="845" spans="1:28" customHeight="1" ht="21"/>
    <row r="846" spans="1:28" customHeight="1" ht="21"/>
    <row r="847" spans="1:28" customHeight="1" ht="21"/>
    <row r="848" spans="1:28" customHeight="1" ht="21"/>
    <row r="849" spans="1:28" customHeight="1" ht="21"/>
    <row r="850" spans="1:28" customHeight="1" ht="21"/>
    <row r="851" spans="1:28" customHeight="1" ht="21"/>
    <row r="852" spans="1:28" customHeight="1" ht="21"/>
    <row r="853" spans="1:28" customHeight="1" ht="21"/>
    <row r="854" spans="1:28" customHeight="1" ht="21"/>
    <row r="855" spans="1:28" customHeight="1" ht="21"/>
    <row r="856" spans="1:28" customHeight="1" ht="21"/>
    <row r="857" spans="1:28" customHeight="1" ht="21"/>
    <row r="858" spans="1:28" customHeight="1" ht="21"/>
    <row r="859" spans="1:28" customHeight="1" ht="21"/>
    <row r="860" spans="1:28" customHeight="1" ht="21"/>
    <row r="861" spans="1:28" customHeight="1" ht="21"/>
    <row r="862" spans="1:28" customHeight="1" ht="21"/>
    <row r="863" spans="1:28" customHeight="1" ht="21"/>
    <row r="864" spans="1:28" customHeight="1" ht="21"/>
    <row r="865" spans="1:28" customHeight="1" ht="21"/>
    <row r="866" spans="1:28" customHeight="1" ht="21"/>
    <row r="867" spans="1:28" customHeight="1" ht="21"/>
    <row r="868" spans="1:28" customHeight="1" ht="21"/>
    <row r="869" spans="1:28" customHeight="1" ht="21"/>
    <row r="870" spans="1:28" customHeight="1" ht="21"/>
    <row r="871" spans="1:28" customHeight="1" ht="21"/>
    <row r="872" spans="1:28" customHeight="1" ht="21"/>
    <row r="873" spans="1:28" customHeight="1" ht="21"/>
    <row r="874" spans="1:28" customHeight="1" ht="21"/>
    <row r="875" spans="1:28" customHeight="1" ht="21"/>
    <row r="876" spans="1:28" customHeight="1" ht="21"/>
    <row r="877" spans="1:28" customHeight="1" ht="21"/>
    <row r="878" spans="1:28" customHeight="1" ht="21"/>
    <row r="879" spans="1:28" customHeight="1" ht="21"/>
    <row r="880" spans="1:28" customHeight="1" ht="21"/>
    <row r="881" spans="1:28" customHeight="1" ht="21"/>
    <row r="882" spans="1:28" customHeight="1" ht="21"/>
    <row r="883" spans="1:28" customHeight="1" ht="21"/>
    <row r="884" spans="1:28" customHeight="1" ht="21"/>
    <row r="885" spans="1:28" customHeight="1" ht="21"/>
    <row r="886" spans="1:28" customHeight="1" ht="21"/>
    <row r="887" spans="1:28" customHeight="1" ht="21"/>
    <row r="888" spans="1:28" customHeight="1" ht="21"/>
    <row r="889" spans="1:28" customHeight="1" ht="21"/>
    <row r="890" spans="1:28" customHeight="1" ht="21"/>
    <row r="891" spans="1:28" customHeight="1" ht="21"/>
    <row r="892" spans="1:28" customHeight="1" ht="21"/>
    <row r="893" spans="1:28" customHeight="1" ht="21"/>
    <row r="894" spans="1:28" customHeight="1" ht="21"/>
    <row r="895" spans="1:28" customHeight="1" ht="21"/>
    <row r="896" spans="1:28" customHeight="1" ht="21"/>
    <row r="897" spans="1:28" customHeight="1" ht="21"/>
    <row r="898" spans="1:28" customHeight="1" ht="21"/>
    <row r="899" spans="1:28" customHeight="1" ht="21"/>
    <row r="900" spans="1:28" customHeight="1" ht="21"/>
    <row r="901" spans="1:28" customHeight="1" ht="21"/>
    <row r="902" spans="1:28" customHeight="1" ht="21"/>
    <row r="903" spans="1:28" customHeight="1" ht="21"/>
    <row r="904" spans="1:28" customHeight="1" ht="21"/>
    <row r="905" spans="1:28" customHeight="1" ht="21"/>
    <row r="906" spans="1:28" customHeight="1" ht="21"/>
    <row r="907" spans="1:28" customHeight="1" ht="21"/>
    <row r="908" spans="1:28" customHeight="1" ht="21"/>
    <row r="909" spans="1:28" customHeight="1" ht="21"/>
    <row r="910" spans="1:28" customHeight="1" ht="21"/>
    <row r="911" spans="1:28" customHeight="1" ht="21"/>
    <row r="912" spans="1:28" customHeight="1" ht="21"/>
    <row r="913" spans="1:28" customHeight="1" ht="21"/>
    <row r="914" spans="1:28" customHeight="1" ht="21"/>
    <row r="915" spans="1:28" customHeight="1" ht="21"/>
    <row r="916" spans="1:28" customHeight="1" ht="21"/>
    <row r="917" spans="1:28" customHeight="1" ht="21"/>
    <row r="918" spans="1:28" customHeight="1" ht="21"/>
    <row r="919" spans="1:28" customHeight="1" ht="21"/>
    <row r="920" spans="1:28" customHeight="1" ht="21"/>
    <row r="921" spans="1:28" customHeight="1" ht="21"/>
    <row r="922" spans="1:28" customHeight="1" ht="21"/>
    <row r="923" spans="1:28" customHeight="1" ht="21"/>
    <row r="924" spans="1:28" customHeight="1" ht="21"/>
    <row r="925" spans="1:28" customHeight="1" ht="21"/>
    <row r="926" spans="1:28" customHeight="1" ht="21"/>
    <row r="927" spans="1:28" customHeight="1" ht="21"/>
    <row r="928" spans="1:28" customHeight="1" ht="21"/>
    <row r="929" spans="1:28" customHeight="1" ht="21"/>
    <row r="930" spans="1:28" customHeight="1" ht="21"/>
    <row r="931" spans="1:28" customHeight="1" ht="21"/>
    <row r="932" spans="1:28" customHeight="1" ht="21"/>
    <row r="933" spans="1:28" customHeight="1" ht="21"/>
    <row r="934" spans="1:28" customHeight="1" ht="21"/>
    <row r="935" spans="1:28" customHeight="1" ht="21"/>
    <row r="936" spans="1:28" customHeight="1" ht="21"/>
    <row r="937" spans="1:28" customHeight="1" ht="21"/>
    <row r="938" spans="1:28" customHeight="1" ht="21"/>
    <row r="939" spans="1:28" customHeight="1" ht="21"/>
    <row r="940" spans="1:28" customHeight="1" ht="21"/>
    <row r="941" spans="1:28" customHeight="1" ht="21"/>
    <row r="942" spans="1:28" customHeight="1" ht="21"/>
    <row r="943" spans="1:28" customHeight="1" ht="21"/>
    <row r="944" spans="1:28" customHeight="1" ht="21"/>
    <row r="945" spans="1:28" customHeight="1" ht="21"/>
    <row r="946" spans="1:28" customHeight="1" ht="21"/>
    <row r="947" spans="1:28" customHeight="1" ht="21"/>
    <row r="948" spans="1:28" customHeight="1" ht="21"/>
    <row r="949" spans="1:28" customHeight="1" ht="21"/>
    <row r="950" spans="1:28" customHeight="1" ht="21"/>
    <row r="951" spans="1:28" customHeight="1" ht="21"/>
    <row r="952" spans="1:28" customHeight="1" ht="21"/>
    <row r="953" spans="1:28" customHeight="1" ht="21"/>
    <row r="954" spans="1:28" customHeight="1" ht="21"/>
    <row r="955" spans="1:28" customHeight="1" ht="21"/>
    <row r="956" spans="1:28" customHeight="1" ht="21"/>
    <row r="957" spans="1:28" customHeight="1" ht="21"/>
    <row r="958" spans="1:28" customHeight="1" ht="21"/>
    <row r="959" spans="1:28" customHeight="1" ht="21"/>
    <row r="960" spans="1:28" customHeight="1" ht="21"/>
    <row r="961" spans="1:28" customHeight="1" ht="21"/>
    <row r="962" spans="1:28" customHeight="1" ht="21"/>
    <row r="963" spans="1:28" customHeight="1" ht="21"/>
    <row r="964" spans="1:28" customHeight="1" ht="21"/>
    <row r="965" spans="1:28" customHeight="1" ht="21"/>
    <row r="966" spans="1:28" customHeight="1" ht="21"/>
    <row r="967" spans="1:28" customHeight="1" ht="21"/>
    <row r="968" spans="1:28" customHeight="1" ht="21"/>
    <row r="969" spans="1:28" customHeight="1" ht="21"/>
    <row r="970" spans="1:28" customHeight="1" ht="21"/>
    <row r="971" spans="1:28" customHeight="1" ht="21"/>
    <row r="972" spans="1:28" customHeight="1" ht="21"/>
    <row r="973" spans="1:28" customHeight="1" ht="21"/>
    <row r="974" spans="1:28" customHeight="1" ht="21"/>
    <row r="975" spans="1:28" customHeight="1" ht="21"/>
    <row r="976" spans="1:28" customHeight="1" ht="21"/>
    <row r="977" spans="1:28" customHeight="1" ht="21"/>
    <row r="978" spans="1:28" customHeight="1" ht="21"/>
    <row r="979" spans="1:28" customHeight="1" ht="21"/>
    <row r="980" spans="1:28" customHeight="1" ht="21"/>
    <row r="981" spans="1:28" customHeight="1" ht="21"/>
    <row r="982" spans="1:28" customHeight="1" ht="21"/>
    <row r="983" spans="1:28" customHeight="1" ht="21"/>
    <row r="984" spans="1:28" customHeight="1" ht="21"/>
    <row r="985" spans="1:28" customHeight="1" ht="21"/>
    <row r="986" spans="1:28" customHeight="1" ht="21"/>
    <row r="987" spans="1:28" customHeight="1" ht="21"/>
    <row r="988" spans="1:28" customHeight="1" ht="21"/>
    <row r="989" spans="1:28" customHeight="1" ht="21"/>
    <row r="990" spans="1:28" customHeight="1" ht="21"/>
    <row r="991" spans="1:28" customHeight="1" ht="21"/>
    <row r="992" spans="1:28" customHeight="1" ht="21"/>
    <row r="993" spans="1:28" customHeight="1" ht="21"/>
    <row r="994" spans="1:28" customHeight="1" ht="21"/>
    <row r="995" spans="1:28" customHeight="1" ht="21"/>
    <row r="996" spans="1:28" customHeight="1" ht="21"/>
    <row r="997" spans="1:28" customHeight="1" ht="21"/>
    <row r="998" spans="1:28" customHeight="1" ht="21"/>
    <row r="999" spans="1:28" customHeight="1" ht="21"/>
    <row r="1000" spans="1:28" customHeight="1" ht="21"/>
    <row r="1001" spans="1:28" customHeight="1" ht="21"/>
    <row r="1002" spans="1:28" customHeight="1" ht="21"/>
  </sheetData>
  <mergeCells>
    <mergeCell ref="H2:I2"/>
    <mergeCell ref="K2:L2"/>
    <mergeCell ref="A4:B4"/>
    <mergeCell ref="A5:B5"/>
    <mergeCell ref="A2:B3"/>
    <mergeCell ref="C2:C3"/>
    <mergeCell ref="D2:D3"/>
    <mergeCell ref="E2:E3"/>
    <mergeCell ref="F2:F3"/>
    <mergeCell ref="A7:A8"/>
    <mergeCell ref="B7:B8"/>
    <mergeCell ref="C7:C8"/>
    <mergeCell ref="D7:D8"/>
    <mergeCell ref="E7:P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</sheetPr>
  <dimension ref="A1:IE988"/>
  <sheetViews>
    <sheetView tabSelected="0" workbookViewId="0" zoomScale="85" zoomScaleNormal="85" showGridLines="true" showRowColHeaders="1">
      <selection activeCell="F46" sqref="F46"/>
    </sheetView>
  </sheetViews>
  <sheetFormatPr defaultRowHeight="14.4" defaultColWidth="14.3984375" outlineLevelRow="0" outlineLevelCol="0"/>
  <cols>
    <col min="1" max="1" width="21.59765625" customWidth="true" style="692"/>
    <col min="2" max="2" width="21.09765625" customWidth="true" style="692"/>
    <col min="3" max="3" width="8" customWidth="true" style="692"/>
    <col min="4" max="4" width="25.796875" customWidth="true" style="692"/>
    <col min="5" max="5" width="8.796875" customWidth="true" style="692"/>
    <col min="6" max="6" width="13.3984375" customWidth="true" style="692"/>
    <col min="7" max="7" width="10.3984375" customWidth="true" style="692"/>
    <col min="8" max="8" width="10.3984375" customWidth="true" style="692"/>
    <col min="9" max="9" width="10.19921875" customWidth="true" style="692"/>
    <col min="10" max="10" width="10.296875" customWidth="true" style="692"/>
    <col min="11" max="11" width="10" customWidth="true" style="692"/>
    <col min="12" max="12" width="9.59765625" customWidth="true" style="692"/>
    <col min="13" max="13" width="9.8984375" customWidth="true" style="692"/>
    <col min="14" max="14" width="9.8984375" customWidth="true" style="692"/>
    <col min="15" max="15" width="9.8984375" customWidth="true" style="692"/>
    <col min="16" max="16" width="9.8984375" customWidth="true" style="692"/>
    <col min="17" max="17" width="9.8984375" customWidth="true" style="692"/>
    <col min="18" max="18" width="8.796875" customWidth="true" style="692"/>
    <col min="19" max="19" width="9.8984375" customWidth="true" style="692"/>
    <col min="20" max="20" width="9.8984375" customWidth="true" style="692"/>
    <col min="21" max="21" width="9.8984375" customWidth="true" style="692"/>
    <col min="22" max="22" width="9.8984375" customWidth="true" style="692"/>
    <col min="23" max="23" width="8.796875" customWidth="true" style="692"/>
    <col min="24" max="24" width="8.796875" customWidth="true" style="692"/>
    <col min="25" max="25" width="8.796875" customWidth="true" style="692"/>
    <col min="26" max="26" width="8.796875" customWidth="true" style="692"/>
    <col min="27" max="27" width="8.796875" customWidth="true" style="692"/>
    <col min="28" max="28" width="8.796875" customWidth="true" style="692"/>
    <col min="29" max="29" width="8.796875" customWidth="true" style="692"/>
    <col min="30" max="30" width="14.3984375" style="692"/>
  </cols>
  <sheetData>
    <row r="1" spans="1:239" customHeight="1" ht="21">
      <c r="A1" s="691" t="s">
        <v>296</v>
      </c>
      <c r="B1" s="691"/>
      <c r="C1" s="691"/>
    </row>
    <row r="2" spans="1:239" customHeight="1" ht="21">
      <c r="A2" s="691" t="s">
        <v>297</v>
      </c>
      <c r="B2" s="691"/>
      <c r="C2" s="691"/>
    </row>
    <row r="3" spans="1:239" customHeight="1" ht="21">
      <c r="A3" s="750" t="s">
        <v>82</v>
      </c>
      <c r="B3" s="751"/>
      <c r="C3" s="744" t="s">
        <v>276</v>
      </c>
      <c r="D3" s="744" t="s">
        <v>277</v>
      </c>
      <c r="E3" s="744" t="s">
        <v>112</v>
      </c>
      <c r="F3" s="744" t="s">
        <v>278</v>
      </c>
      <c r="G3" s="733" t="s">
        <v>191</v>
      </c>
      <c r="H3" s="746" t="s">
        <v>298</v>
      </c>
      <c r="I3" s="747"/>
      <c r="J3" s="733" t="s">
        <v>299</v>
      </c>
      <c r="K3" s="746" t="s">
        <v>300</v>
      </c>
      <c r="L3" s="747"/>
    </row>
    <row r="4" spans="1:239" customHeight="1" ht="21">
      <c r="A4" s="752"/>
      <c r="B4" s="753"/>
      <c r="C4" s="745"/>
      <c r="D4" s="745"/>
      <c r="E4" s="745"/>
      <c r="F4" s="745"/>
      <c r="G4" s="733" t="s">
        <v>283</v>
      </c>
      <c r="H4" s="733" t="s">
        <v>283</v>
      </c>
      <c r="I4" s="733" t="s">
        <v>167</v>
      </c>
      <c r="J4" s="733" t="s">
        <v>283</v>
      </c>
      <c r="K4" s="733" t="s">
        <v>283</v>
      </c>
      <c r="L4" s="733" t="s">
        <v>167</v>
      </c>
    </row>
    <row r="5" spans="1:239" customHeight="1" ht="21">
      <c r="A5" s="748" t="str">
        <f>A13</f>
        <v>น้ำมัน Diesel B7  ที่ใช้ในรถยนต์ขององค์กร</v>
      </c>
      <c r="B5" s="749"/>
      <c r="C5" s="704" t="s">
        <v>284</v>
      </c>
      <c r="D5" s="701" t="str">
        <f>D13</f>
        <v>ใบกำกับภาษี /Fleet Card Report</v>
      </c>
      <c r="E5" s="704" t="str">
        <f>E13</f>
        <v>L</v>
      </c>
      <c r="F5" s="706">
        <f>F13</f>
        <v>17464.88199999999779</v>
      </c>
      <c r="G5" s="736">
        <f>F5*0.93</f>
        <v>16242.34025999999903</v>
      </c>
      <c r="H5" s="735">
        <f>F5-G5</f>
        <v>1222.54173999999875</v>
      </c>
      <c r="I5" s="736">
        <f>H5*0.87</f>
        <v>1063.61131379999892</v>
      </c>
      <c r="J5" s="701"/>
      <c r="K5" s="701"/>
      <c r="L5" s="701"/>
    </row>
    <row r="6" spans="1:239" customHeight="1" ht="21">
      <c r="A6" s="748" t="str">
        <f>A14</f>
        <v>น้ำมัน Diesel B10  ที่ใช้ในรถยนต์ขององค์กร</v>
      </c>
      <c r="B6" s="749"/>
      <c r="C6" s="704" t="s">
        <v>301</v>
      </c>
      <c r="D6" s="701" t="str">
        <f>D14</f>
        <v>ใบกำกับภาษี /Fleet Card Report</v>
      </c>
      <c r="E6" s="704" t="str">
        <f>E14</f>
        <v>L</v>
      </c>
      <c r="F6" s="706">
        <f>F14</f>
        <v>53.51</v>
      </c>
      <c r="G6" s="736">
        <f>F6*0.9</f>
        <v>48.159</v>
      </c>
      <c r="H6" s="735">
        <f>F6-G6</f>
        <v>5.351</v>
      </c>
      <c r="I6" s="736">
        <f>H6*0.87</f>
        <v>4.65537</v>
      </c>
      <c r="J6" s="701"/>
      <c r="K6" s="701"/>
      <c r="L6" s="701"/>
    </row>
    <row r="7" spans="1:239" customHeight="1" ht="21">
      <c r="A7" s="748" t="str">
        <f>A43</f>
        <v>น้ำมัน Gasohol 91/95 ที่ใช้ในรถยนต์ขององค์กร </v>
      </c>
      <c r="B7" s="749"/>
      <c r="C7" s="704" t="s">
        <v>285</v>
      </c>
      <c r="D7" s="701" t="str">
        <f>D43</f>
        <v>ใบกำกับภาษี /Fleet Card Report</v>
      </c>
      <c r="E7" s="704" t="str">
        <f>E43</f>
        <v>L</v>
      </c>
      <c r="F7" s="706">
        <f>F43</f>
        <v>4190.029999999999745</v>
      </c>
      <c r="G7" s="701"/>
      <c r="H7" s="701"/>
      <c r="I7" s="701"/>
      <c r="J7" s="737">
        <f>F7*0.9</f>
        <v>3771.027000000000044</v>
      </c>
      <c r="K7" s="735">
        <f>F7-J7</f>
        <v>419.0029999999997017</v>
      </c>
      <c r="L7" s="737">
        <f>K7*0.79</f>
        <v>331.012369999999805</v>
      </c>
    </row>
    <row r="8" spans="1:239" customHeight="1" ht="21">
      <c r="A8" s="748" t="str">
        <f>A44</f>
        <v>น้ำมัน Gasohol E20 ที่ใช้ในรถยนต์ขององค์กร </v>
      </c>
      <c r="B8" s="749"/>
      <c r="C8" s="704" t="s">
        <v>302</v>
      </c>
      <c r="D8" s="701" t="str">
        <f>D44</f>
        <v>ใบกำกับภาษี /Fleet Card Report</v>
      </c>
      <c r="E8" s="704" t="str">
        <f>E44</f>
        <v>L</v>
      </c>
      <c r="F8" s="706">
        <f>F44</f>
        <v>151.090000000000003</v>
      </c>
      <c r="G8" s="701"/>
      <c r="H8" s="701"/>
      <c r="I8" s="701"/>
      <c r="J8" s="737">
        <f>F8*0.8</f>
        <v>120.87200000000001</v>
      </c>
      <c r="K8" s="735">
        <f>F8-J8</f>
        <v>30.21799999999999</v>
      </c>
      <c r="L8" s="737">
        <f>K8*0.79</f>
        <v>23.87221999999999</v>
      </c>
    </row>
    <row r="9" spans="1:239" customHeight="1" ht="21">
      <c r="A9" s="748" t="str">
        <f>A57</f>
        <v>น้ำมัน Diesel B7 ที่ใช้ใน Forklift</v>
      </c>
      <c r="B9" s="749"/>
      <c r="C9" s="704" t="s">
        <v>284</v>
      </c>
      <c r="D9" s="701" t="str">
        <f>D57</f>
        <v>Fleet card</v>
      </c>
      <c r="E9" s="704" t="str">
        <f>E57</f>
        <v>L</v>
      </c>
      <c r="F9" s="706">
        <f>F57</f>
        <v>4650</v>
      </c>
      <c r="G9" s="738">
        <f>F9*0.93</f>
        <v>4324.5</v>
      </c>
      <c r="H9" s="735">
        <f>F9-G9</f>
        <v>325.5</v>
      </c>
      <c r="I9" s="738">
        <f>H9*0.87</f>
        <v>283.185</v>
      </c>
      <c r="J9" s="701"/>
      <c r="K9" s="701"/>
      <c r="L9" s="701"/>
    </row>
    <row r="10" spans="1:239" customHeight="1" ht="21">
      <c r="A10" s="691"/>
      <c r="B10" s="691"/>
      <c r="C10" s="691"/>
    </row>
    <row r="11" spans="1:239" customHeight="1" ht="21">
      <c r="A11" s="742" t="s">
        <v>82</v>
      </c>
      <c r="B11" s="742" t="s">
        <v>303</v>
      </c>
      <c r="C11" s="742" t="s">
        <v>276</v>
      </c>
      <c r="D11" s="742" t="s">
        <v>277</v>
      </c>
      <c r="E11" s="742" t="s">
        <v>286</v>
      </c>
      <c r="F11" s="742" t="s">
        <v>287</v>
      </c>
      <c r="G11" s="739" t="s">
        <v>288</v>
      </c>
      <c r="H11" s="740"/>
      <c r="I11" s="740"/>
      <c r="J11" s="740"/>
      <c r="K11" s="740"/>
      <c r="L11" s="740"/>
      <c r="M11" s="740"/>
      <c r="N11" s="740"/>
      <c r="O11" s="740"/>
      <c r="P11" s="740"/>
      <c r="Q11" s="740"/>
      <c r="R11" s="741"/>
    </row>
    <row r="12" spans="1:239" customHeight="1" ht="21">
      <c r="A12" s="743"/>
      <c r="B12" s="743"/>
      <c r="C12" s="743"/>
      <c r="D12" s="743"/>
      <c r="E12" s="743"/>
      <c r="F12" s="743"/>
      <c r="G12" s="693">
        <v>1</v>
      </c>
      <c r="H12" s="693">
        <v>2</v>
      </c>
      <c r="I12" s="693">
        <v>3</v>
      </c>
      <c r="J12" s="693">
        <v>4</v>
      </c>
      <c r="K12" s="693">
        <v>5</v>
      </c>
      <c r="L12" s="693">
        <v>6</v>
      </c>
      <c r="M12" s="693">
        <v>7</v>
      </c>
      <c r="N12" s="693">
        <v>8</v>
      </c>
      <c r="O12" s="693">
        <v>9</v>
      </c>
      <c r="P12" s="693">
        <v>10</v>
      </c>
      <c r="Q12" s="694">
        <v>11</v>
      </c>
      <c r="R12" s="695">
        <v>12</v>
      </c>
    </row>
    <row r="13" spans="1:239" customHeight="1" ht="23.4" s="701" customFormat="1">
      <c r="A13" s="717" t="s">
        <v>304</v>
      </c>
      <c r="B13" s="718"/>
      <c r="C13" s="734" t="s">
        <v>284</v>
      </c>
      <c r="D13" s="719" t="s">
        <v>305</v>
      </c>
      <c r="E13" s="720" t="s">
        <v>283</v>
      </c>
      <c r="F13" s="721">
        <f>F15+F17+F19+F21+F23+F25+F27+F29+F31+F33+F35+F37+F39+F41</f>
        <v>17464.88199999999779</v>
      </c>
      <c r="G13" s="699"/>
      <c r="H13" s="699"/>
      <c r="I13" s="699"/>
      <c r="J13" s="699"/>
      <c r="K13" s="699"/>
      <c r="L13" s="699"/>
      <c r="M13" s="699"/>
      <c r="N13" s="699"/>
      <c r="O13" s="699"/>
      <c r="P13" s="699"/>
      <c r="Q13" s="700"/>
      <c r="R13" s="699"/>
      <c r="S13" s="692"/>
      <c r="T13" s="692"/>
      <c r="U13" s="692"/>
      <c r="V13" s="692"/>
      <c r="W13" s="692"/>
      <c r="X13" s="692"/>
      <c r="Y13" s="692"/>
      <c r="Z13" s="692"/>
      <c r="AA13" s="692"/>
      <c r="AB13" s="692"/>
      <c r="AC13" s="692"/>
      <c r="AD13" s="692"/>
      <c r="AE13" s="692"/>
      <c r="AF13" s="692"/>
      <c r="AG13" s="692"/>
      <c r="AH13" s="692"/>
      <c r="AI13" s="692"/>
      <c r="AJ13" s="692"/>
      <c r="AK13" s="692"/>
      <c r="AL13" s="692"/>
      <c r="AM13" s="692"/>
      <c r="AN13" s="692"/>
      <c r="AO13" s="692"/>
      <c r="AP13" s="692"/>
      <c r="AQ13" s="692"/>
      <c r="AR13" s="692"/>
      <c r="AS13" s="692"/>
      <c r="AT13" s="692"/>
      <c r="AU13" s="692"/>
      <c r="AV13" s="692"/>
      <c r="AW13" s="692"/>
      <c r="AX13" s="692"/>
      <c r="AY13" s="692"/>
      <c r="AZ13" s="692"/>
      <c r="BA13" s="692"/>
      <c r="BB13" s="692"/>
      <c r="BC13" s="692"/>
      <c r="BD13" s="692"/>
      <c r="BE13" s="692"/>
      <c r="BF13" s="692"/>
      <c r="BG13" s="692"/>
      <c r="BH13" s="692"/>
      <c r="BI13" s="692"/>
      <c r="BJ13" s="692"/>
      <c r="BK13" s="692"/>
      <c r="BL13" s="692"/>
      <c r="BM13" s="692"/>
      <c r="BN13" s="692"/>
      <c r="BO13" s="692"/>
      <c r="BP13" s="692"/>
      <c r="BQ13" s="692"/>
      <c r="BR13" s="692"/>
      <c r="BS13" s="692"/>
      <c r="BT13" s="692"/>
      <c r="BU13" s="692"/>
      <c r="BV13" s="692"/>
      <c r="BW13" s="692"/>
      <c r="BX13" s="692"/>
      <c r="BY13" s="692"/>
      <c r="BZ13" s="692"/>
      <c r="CA13" s="692"/>
      <c r="CB13" s="692"/>
      <c r="CC13" s="692"/>
      <c r="CD13" s="692"/>
      <c r="CE13" s="692"/>
      <c r="CF13" s="692"/>
      <c r="CG13" s="692"/>
      <c r="CH13" s="692"/>
      <c r="CI13" s="692"/>
      <c r="CJ13" s="692"/>
      <c r="CK13" s="692"/>
      <c r="CL13" s="692"/>
      <c r="CM13" s="692"/>
      <c r="CN13" s="692"/>
      <c r="CO13" s="692"/>
      <c r="CP13" s="692"/>
      <c r="CQ13" s="692"/>
      <c r="CR13" s="692"/>
      <c r="CS13" s="692"/>
      <c r="CT13" s="692"/>
      <c r="CU13" s="692"/>
      <c r="CV13" s="692"/>
      <c r="CW13" s="692"/>
      <c r="CX13" s="692"/>
      <c r="CY13" s="692"/>
      <c r="CZ13" s="692"/>
      <c r="DA13" s="692"/>
      <c r="DB13" s="692"/>
      <c r="DC13" s="692"/>
      <c r="DD13" s="692"/>
      <c r="DE13" s="692"/>
      <c r="DF13" s="692"/>
      <c r="DG13" s="692"/>
      <c r="DH13" s="692"/>
      <c r="DI13" s="692"/>
      <c r="DJ13" s="692"/>
      <c r="DK13" s="692"/>
      <c r="DL13" s="692"/>
      <c r="DM13" s="692"/>
      <c r="DN13" s="692"/>
      <c r="DO13" s="692"/>
      <c r="DP13" s="692"/>
      <c r="DQ13" s="692"/>
      <c r="DR13" s="692"/>
      <c r="DS13" s="692"/>
      <c r="DT13" s="692"/>
      <c r="DU13" s="692"/>
      <c r="DV13" s="692"/>
      <c r="DW13" s="692"/>
      <c r="DX13" s="692"/>
      <c r="DY13" s="692"/>
      <c r="DZ13" s="692"/>
      <c r="EA13" s="692"/>
      <c r="EB13" s="692"/>
      <c r="EC13" s="692"/>
      <c r="ED13" s="692"/>
      <c r="EE13" s="692"/>
      <c r="EF13" s="692"/>
      <c r="EG13" s="692"/>
      <c r="EH13" s="692"/>
      <c r="EI13" s="692"/>
      <c r="EJ13" s="692"/>
      <c r="EK13" s="692"/>
      <c r="EL13" s="692"/>
      <c r="EM13" s="692"/>
      <c r="EN13" s="692"/>
      <c r="EO13" s="692"/>
      <c r="EP13" s="692"/>
      <c r="EQ13" s="692"/>
      <c r="ER13" s="692"/>
      <c r="ES13" s="692"/>
      <c r="ET13" s="692"/>
      <c r="EU13" s="692"/>
      <c r="EV13" s="692"/>
      <c r="EW13" s="692"/>
      <c r="EX13" s="692"/>
      <c r="EY13" s="692"/>
      <c r="EZ13" s="692"/>
      <c r="FA13" s="692"/>
      <c r="FB13" s="692"/>
      <c r="FC13" s="692"/>
      <c r="FD13" s="692"/>
      <c r="FE13" s="692"/>
      <c r="FF13" s="692"/>
      <c r="FG13" s="692"/>
      <c r="FH13" s="692"/>
      <c r="FI13" s="692"/>
      <c r="FJ13" s="692"/>
      <c r="FK13" s="692"/>
      <c r="FL13" s="692"/>
      <c r="FM13" s="692"/>
      <c r="FN13" s="692"/>
      <c r="FO13" s="692"/>
      <c r="FP13" s="692"/>
      <c r="FQ13" s="692"/>
      <c r="FR13" s="692"/>
      <c r="FS13" s="692"/>
      <c r="FT13" s="692"/>
      <c r="FU13" s="692"/>
      <c r="FV13" s="692"/>
      <c r="FW13" s="692"/>
      <c r="FX13" s="692"/>
      <c r="FY13" s="692"/>
      <c r="FZ13" s="692"/>
      <c r="GA13" s="692"/>
      <c r="GB13" s="692"/>
      <c r="GC13" s="692"/>
      <c r="GD13" s="692"/>
      <c r="GE13" s="692"/>
      <c r="GF13" s="692"/>
      <c r="GG13" s="692"/>
      <c r="GH13" s="692"/>
      <c r="GI13" s="692"/>
      <c r="GJ13" s="692"/>
      <c r="GK13" s="692"/>
      <c r="GL13" s="692"/>
      <c r="GM13" s="692"/>
      <c r="GN13" s="692"/>
      <c r="GO13" s="692"/>
      <c r="GP13" s="692"/>
      <c r="GQ13" s="692"/>
      <c r="GR13" s="692"/>
      <c r="GS13" s="692"/>
      <c r="GT13" s="692"/>
      <c r="GU13" s="692"/>
      <c r="GV13" s="692"/>
      <c r="GW13" s="692"/>
      <c r="GX13" s="692"/>
      <c r="GY13" s="692"/>
      <c r="GZ13" s="692"/>
      <c r="HA13" s="692"/>
      <c r="HB13" s="692"/>
      <c r="HC13" s="692"/>
      <c r="HD13" s="692"/>
      <c r="HE13" s="692"/>
      <c r="HF13" s="692"/>
      <c r="HG13" s="692"/>
      <c r="HH13" s="692"/>
      <c r="HI13" s="692"/>
      <c r="HJ13" s="692"/>
      <c r="HK13" s="692"/>
      <c r="HL13" s="692"/>
      <c r="HM13" s="692"/>
      <c r="HN13" s="692"/>
      <c r="HO13" s="692"/>
      <c r="HP13" s="692"/>
      <c r="HQ13" s="692"/>
      <c r="HR13" s="692"/>
      <c r="HS13" s="692"/>
      <c r="HT13" s="692"/>
      <c r="HU13" s="692"/>
      <c r="HV13" s="692"/>
      <c r="HW13" s="692"/>
      <c r="HX13" s="692"/>
      <c r="HY13" s="692"/>
      <c r="HZ13" s="692"/>
      <c r="IA13" s="692"/>
      <c r="IB13" s="692"/>
      <c r="IC13" s="692"/>
      <c r="ID13" s="692"/>
      <c r="IE13" s="692"/>
    </row>
    <row r="14" spans="1:239" customHeight="1" ht="23.4" s="701" customFormat="1">
      <c r="A14" s="717" t="s">
        <v>306</v>
      </c>
      <c r="B14" s="718"/>
      <c r="C14" s="734" t="s">
        <v>301</v>
      </c>
      <c r="D14" s="719" t="s">
        <v>305</v>
      </c>
      <c r="E14" s="720" t="s">
        <v>283</v>
      </c>
      <c r="F14" s="721">
        <f>F16+F18+F20+F22+F24+F26+F28+F30+F32+F34+F36+F38+F40+F42</f>
        <v>53.51</v>
      </c>
      <c r="G14" s="699"/>
      <c r="H14" s="699"/>
      <c r="I14" s="699"/>
      <c r="J14" s="699"/>
      <c r="K14" s="699"/>
      <c r="L14" s="699"/>
      <c r="M14" s="699"/>
      <c r="N14" s="699"/>
      <c r="O14" s="699"/>
      <c r="P14" s="699"/>
      <c r="Q14" s="700"/>
      <c r="R14" s="699"/>
      <c r="S14" s="692"/>
      <c r="T14" s="692"/>
      <c r="U14" s="692"/>
      <c r="V14" s="692"/>
      <c r="W14" s="692"/>
      <c r="X14" s="692"/>
      <c r="Y14" s="692"/>
      <c r="Z14" s="692"/>
      <c r="AA14" s="692"/>
      <c r="AB14" s="692"/>
      <c r="AC14" s="692"/>
      <c r="AD14" s="692"/>
      <c r="AE14" s="692"/>
      <c r="AF14" s="692"/>
      <c r="AG14" s="692"/>
      <c r="AH14" s="692"/>
      <c r="AI14" s="692"/>
      <c r="AJ14" s="692"/>
      <c r="AK14" s="692"/>
      <c r="AL14" s="692"/>
      <c r="AM14" s="692"/>
      <c r="AN14" s="692"/>
      <c r="AO14" s="692"/>
      <c r="AP14" s="692"/>
      <c r="AQ14" s="692"/>
      <c r="AR14" s="692"/>
      <c r="AS14" s="692"/>
      <c r="AT14" s="692"/>
      <c r="AU14" s="692"/>
      <c r="AV14" s="692"/>
      <c r="AW14" s="692"/>
      <c r="AX14" s="692"/>
      <c r="AY14" s="692"/>
      <c r="AZ14" s="692"/>
      <c r="BA14" s="692"/>
      <c r="BB14" s="692"/>
      <c r="BC14" s="692"/>
      <c r="BD14" s="692"/>
      <c r="BE14" s="692"/>
      <c r="BF14" s="692"/>
      <c r="BG14" s="692"/>
      <c r="BH14" s="692"/>
      <c r="BI14" s="692"/>
      <c r="BJ14" s="692"/>
      <c r="BK14" s="692"/>
      <c r="BL14" s="692"/>
      <c r="BM14" s="692"/>
      <c r="BN14" s="692"/>
      <c r="BO14" s="692"/>
      <c r="BP14" s="692"/>
      <c r="BQ14" s="692"/>
      <c r="BR14" s="692"/>
      <c r="BS14" s="692"/>
      <c r="BT14" s="692"/>
      <c r="BU14" s="692"/>
      <c r="BV14" s="692"/>
      <c r="BW14" s="692"/>
      <c r="BX14" s="692"/>
      <c r="BY14" s="692"/>
      <c r="BZ14" s="692"/>
      <c r="CA14" s="692"/>
      <c r="CB14" s="692"/>
      <c r="CC14" s="692"/>
      <c r="CD14" s="692"/>
      <c r="CE14" s="692"/>
      <c r="CF14" s="692"/>
      <c r="CG14" s="692"/>
      <c r="CH14" s="692"/>
      <c r="CI14" s="692"/>
      <c r="CJ14" s="692"/>
      <c r="CK14" s="692"/>
      <c r="CL14" s="692"/>
      <c r="CM14" s="692"/>
      <c r="CN14" s="692"/>
      <c r="CO14" s="692"/>
      <c r="CP14" s="692"/>
      <c r="CQ14" s="692"/>
      <c r="CR14" s="692"/>
      <c r="CS14" s="692"/>
      <c r="CT14" s="692"/>
      <c r="CU14" s="692"/>
      <c r="CV14" s="692"/>
      <c r="CW14" s="692"/>
      <c r="CX14" s="692"/>
      <c r="CY14" s="692"/>
      <c r="CZ14" s="692"/>
      <c r="DA14" s="692"/>
      <c r="DB14" s="692"/>
      <c r="DC14" s="692"/>
      <c r="DD14" s="692"/>
      <c r="DE14" s="692"/>
      <c r="DF14" s="692"/>
      <c r="DG14" s="692"/>
      <c r="DH14" s="692"/>
      <c r="DI14" s="692"/>
      <c r="DJ14" s="692"/>
      <c r="DK14" s="692"/>
      <c r="DL14" s="692"/>
      <c r="DM14" s="692"/>
      <c r="DN14" s="692"/>
      <c r="DO14" s="692"/>
      <c r="DP14" s="692"/>
      <c r="DQ14" s="692"/>
      <c r="DR14" s="692"/>
      <c r="DS14" s="692"/>
      <c r="DT14" s="692"/>
      <c r="DU14" s="692"/>
      <c r="DV14" s="692"/>
      <c r="DW14" s="692"/>
      <c r="DX14" s="692"/>
      <c r="DY14" s="692"/>
      <c r="DZ14" s="692"/>
      <c r="EA14" s="692"/>
      <c r="EB14" s="692"/>
      <c r="EC14" s="692"/>
      <c r="ED14" s="692"/>
      <c r="EE14" s="692"/>
      <c r="EF14" s="692"/>
      <c r="EG14" s="692"/>
      <c r="EH14" s="692"/>
      <c r="EI14" s="692"/>
      <c r="EJ14" s="692"/>
      <c r="EK14" s="692"/>
      <c r="EL14" s="692"/>
      <c r="EM14" s="692"/>
      <c r="EN14" s="692"/>
      <c r="EO14" s="692"/>
      <c r="EP14" s="692"/>
      <c r="EQ14" s="692"/>
      <c r="ER14" s="692"/>
      <c r="ES14" s="692"/>
      <c r="ET14" s="692"/>
      <c r="EU14" s="692"/>
      <c r="EV14" s="692"/>
      <c r="EW14" s="692"/>
      <c r="EX14" s="692"/>
      <c r="EY14" s="692"/>
      <c r="EZ14" s="692"/>
      <c r="FA14" s="692"/>
      <c r="FB14" s="692"/>
      <c r="FC14" s="692"/>
      <c r="FD14" s="692"/>
      <c r="FE14" s="692"/>
      <c r="FF14" s="692"/>
      <c r="FG14" s="692"/>
      <c r="FH14" s="692"/>
      <c r="FI14" s="692"/>
      <c r="FJ14" s="692"/>
      <c r="FK14" s="692"/>
      <c r="FL14" s="692"/>
      <c r="FM14" s="692"/>
      <c r="FN14" s="692"/>
      <c r="FO14" s="692"/>
      <c r="FP14" s="692"/>
      <c r="FQ14" s="692"/>
      <c r="FR14" s="692"/>
      <c r="FS14" s="692"/>
      <c r="FT14" s="692"/>
      <c r="FU14" s="692"/>
      <c r="FV14" s="692"/>
      <c r="FW14" s="692"/>
      <c r="FX14" s="692"/>
      <c r="FY14" s="692"/>
      <c r="FZ14" s="692"/>
      <c r="GA14" s="692"/>
      <c r="GB14" s="692"/>
      <c r="GC14" s="692"/>
      <c r="GD14" s="692"/>
      <c r="GE14" s="692"/>
      <c r="GF14" s="692"/>
      <c r="GG14" s="692"/>
      <c r="GH14" s="692"/>
      <c r="GI14" s="692"/>
      <c r="GJ14" s="692"/>
      <c r="GK14" s="692"/>
      <c r="GL14" s="692"/>
      <c r="GM14" s="692"/>
      <c r="GN14" s="692"/>
      <c r="GO14" s="692"/>
      <c r="GP14" s="692"/>
      <c r="GQ14" s="692"/>
      <c r="GR14" s="692"/>
      <c r="GS14" s="692"/>
      <c r="GT14" s="692"/>
      <c r="GU14" s="692"/>
      <c r="GV14" s="692"/>
      <c r="GW14" s="692"/>
      <c r="GX14" s="692"/>
      <c r="GY14" s="692"/>
      <c r="GZ14" s="692"/>
      <c r="HA14" s="692"/>
      <c r="HB14" s="692"/>
      <c r="HC14" s="692"/>
      <c r="HD14" s="692"/>
      <c r="HE14" s="692"/>
      <c r="HF14" s="692"/>
      <c r="HG14" s="692"/>
      <c r="HH14" s="692"/>
      <c r="HI14" s="692"/>
      <c r="HJ14" s="692"/>
      <c r="HK14" s="692"/>
      <c r="HL14" s="692"/>
      <c r="HM14" s="692"/>
      <c r="HN14" s="692"/>
      <c r="HO14" s="692"/>
      <c r="HP14" s="692"/>
      <c r="HQ14" s="692"/>
      <c r="HR14" s="692"/>
      <c r="HS14" s="692"/>
      <c r="HT14" s="692"/>
      <c r="HU14" s="692"/>
      <c r="HV14" s="692"/>
      <c r="HW14" s="692"/>
      <c r="HX14" s="692"/>
      <c r="HY14" s="692"/>
      <c r="HZ14" s="692"/>
      <c r="IA14" s="692"/>
      <c r="IB14" s="692"/>
      <c r="IC14" s="692"/>
      <c r="ID14" s="692"/>
      <c r="IE14" s="692"/>
    </row>
    <row r="15" spans="1:239" customHeight="1" ht="17.4" s="701" customFormat="1">
      <c r="A15" s="702" t="s">
        <v>307</v>
      </c>
      <c r="B15" s="703" t="s">
        <v>308</v>
      </c>
      <c r="C15" s="703" t="s">
        <v>284</v>
      </c>
      <c r="D15" s="704" t="s">
        <v>309</v>
      </c>
      <c r="E15" s="704" t="s">
        <v>310</v>
      </c>
      <c r="F15" s="726">
        <f>SUM(G15:R15)</f>
        <v>2171.75999999999976</v>
      </c>
      <c r="G15" s="706">
        <v>111.73999999999999</v>
      </c>
      <c r="H15" s="706">
        <v>176.84</v>
      </c>
      <c r="I15" s="706">
        <v>221.050000000000011</v>
      </c>
      <c r="J15" s="706">
        <v>157.78</v>
      </c>
      <c r="K15" s="706">
        <v>172.72999999999999</v>
      </c>
      <c r="L15" s="706">
        <v>144.18000000000001</v>
      </c>
      <c r="M15" s="706">
        <v>203.039999999999992</v>
      </c>
      <c r="N15" s="706">
        <v>246.02000000000001</v>
      </c>
      <c r="O15" s="706">
        <v>168.46000000000001</v>
      </c>
      <c r="P15" s="706">
        <v>224.84</v>
      </c>
      <c r="Q15" s="707">
        <v>164.94</v>
      </c>
      <c r="R15" s="706">
        <v>180.13999999999999</v>
      </c>
      <c r="S15" s="692"/>
      <c r="T15" s="692"/>
      <c r="U15" s="692"/>
      <c r="V15" s="692"/>
      <c r="W15" s="692"/>
      <c r="X15" s="692"/>
      <c r="Y15" s="692"/>
      <c r="Z15" s="692"/>
      <c r="AA15" s="692"/>
      <c r="AB15" s="692"/>
      <c r="AC15" s="692"/>
      <c r="AD15" s="692"/>
      <c r="AE15" s="692"/>
      <c r="AF15" s="692"/>
      <c r="AG15" s="692"/>
      <c r="AH15" s="692"/>
      <c r="AI15" s="692"/>
      <c r="AJ15" s="692"/>
      <c r="AK15" s="692"/>
      <c r="AL15" s="692"/>
      <c r="AM15" s="692"/>
      <c r="AN15" s="692"/>
      <c r="AO15" s="692"/>
      <c r="AP15" s="692"/>
      <c r="AQ15" s="692"/>
      <c r="AR15" s="692"/>
      <c r="AS15" s="692"/>
      <c r="AT15" s="692"/>
      <c r="AU15" s="692"/>
      <c r="AV15" s="692"/>
      <c r="AW15" s="692"/>
      <c r="AX15" s="692"/>
      <c r="AY15" s="692"/>
      <c r="AZ15" s="692"/>
      <c r="BA15" s="692"/>
      <c r="BB15" s="692"/>
      <c r="BC15" s="692"/>
      <c r="BD15" s="692"/>
      <c r="BE15" s="692"/>
      <c r="BF15" s="692"/>
      <c r="BG15" s="692"/>
      <c r="BH15" s="692"/>
      <c r="BI15" s="692"/>
      <c r="BJ15" s="692"/>
      <c r="BK15" s="692"/>
      <c r="BL15" s="692"/>
      <c r="BM15" s="692"/>
      <c r="BN15" s="692"/>
      <c r="BO15" s="692"/>
      <c r="BP15" s="692"/>
      <c r="BQ15" s="692"/>
      <c r="BR15" s="692"/>
      <c r="BS15" s="692"/>
      <c r="BT15" s="692"/>
      <c r="BU15" s="692"/>
      <c r="BV15" s="692"/>
      <c r="BW15" s="692"/>
      <c r="BX15" s="692"/>
      <c r="BY15" s="692"/>
      <c r="BZ15" s="692"/>
      <c r="CA15" s="692"/>
      <c r="CB15" s="692"/>
      <c r="CC15" s="692"/>
      <c r="CD15" s="692"/>
      <c r="CE15" s="692"/>
      <c r="CF15" s="692"/>
      <c r="CG15" s="692"/>
      <c r="CH15" s="692"/>
      <c r="CI15" s="692"/>
      <c r="CJ15" s="692"/>
      <c r="CK15" s="692"/>
      <c r="CL15" s="692"/>
      <c r="CM15" s="692"/>
      <c r="CN15" s="692"/>
      <c r="CO15" s="692"/>
      <c r="CP15" s="692"/>
      <c r="CQ15" s="692"/>
      <c r="CR15" s="692"/>
      <c r="CS15" s="692"/>
      <c r="CT15" s="692"/>
      <c r="CU15" s="692"/>
      <c r="CV15" s="692"/>
      <c r="CW15" s="692"/>
      <c r="CX15" s="692"/>
      <c r="CY15" s="692"/>
      <c r="CZ15" s="692"/>
      <c r="DA15" s="692"/>
      <c r="DB15" s="692"/>
      <c r="DC15" s="692"/>
      <c r="DD15" s="692"/>
      <c r="DE15" s="692"/>
      <c r="DF15" s="692"/>
      <c r="DG15" s="692"/>
      <c r="DH15" s="692"/>
      <c r="DI15" s="692"/>
      <c r="DJ15" s="692"/>
      <c r="DK15" s="692"/>
      <c r="DL15" s="692"/>
      <c r="DM15" s="692"/>
      <c r="DN15" s="692"/>
      <c r="DO15" s="692"/>
      <c r="DP15" s="692"/>
      <c r="DQ15" s="692"/>
      <c r="DR15" s="692"/>
      <c r="DS15" s="692"/>
      <c r="DT15" s="692"/>
      <c r="DU15" s="692"/>
      <c r="DV15" s="692"/>
      <c r="DW15" s="692"/>
      <c r="DX15" s="692"/>
      <c r="DY15" s="692"/>
      <c r="DZ15" s="692"/>
      <c r="EA15" s="692"/>
      <c r="EB15" s="692"/>
      <c r="EC15" s="692"/>
      <c r="ED15" s="692"/>
      <c r="EE15" s="692"/>
      <c r="EF15" s="692"/>
      <c r="EG15" s="692"/>
      <c r="EH15" s="692"/>
      <c r="EI15" s="692"/>
      <c r="EJ15" s="692"/>
      <c r="EK15" s="692"/>
      <c r="EL15" s="692"/>
      <c r="EM15" s="692"/>
      <c r="EN15" s="692"/>
      <c r="EO15" s="692"/>
      <c r="EP15" s="692"/>
      <c r="EQ15" s="692"/>
      <c r="ER15" s="692"/>
      <c r="ES15" s="692"/>
      <c r="ET15" s="692"/>
      <c r="EU15" s="692"/>
      <c r="EV15" s="692"/>
      <c r="EW15" s="692"/>
      <c r="EX15" s="692"/>
      <c r="EY15" s="692"/>
      <c r="EZ15" s="692"/>
      <c r="FA15" s="692"/>
      <c r="FB15" s="692"/>
      <c r="FC15" s="692"/>
      <c r="FD15" s="692"/>
      <c r="FE15" s="692"/>
      <c r="FF15" s="692"/>
      <c r="FG15" s="692"/>
      <c r="FH15" s="692"/>
      <c r="FI15" s="692"/>
      <c r="FJ15" s="692"/>
      <c r="FK15" s="692"/>
      <c r="FL15" s="692"/>
      <c r="FM15" s="692"/>
      <c r="FN15" s="692"/>
      <c r="FO15" s="692"/>
      <c r="FP15" s="692"/>
      <c r="FQ15" s="692"/>
      <c r="FR15" s="692"/>
      <c r="FS15" s="692"/>
      <c r="FT15" s="692"/>
      <c r="FU15" s="692"/>
      <c r="FV15" s="692"/>
      <c r="FW15" s="692"/>
      <c r="FX15" s="692"/>
      <c r="FY15" s="692"/>
      <c r="FZ15" s="692"/>
      <c r="GA15" s="692"/>
      <c r="GB15" s="692"/>
      <c r="GC15" s="692"/>
      <c r="GD15" s="692"/>
      <c r="GE15" s="692"/>
      <c r="GF15" s="692"/>
      <c r="GG15" s="692"/>
      <c r="GH15" s="692"/>
      <c r="GI15" s="692"/>
      <c r="GJ15" s="692"/>
      <c r="GK15" s="692"/>
      <c r="GL15" s="692"/>
      <c r="GM15" s="692"/>
      <c r="GN15" s="692"/>
      <c r="GO15" s="692"/>
      <c r="GP15" s="692"/>
      <c r="GQ15" s="692"/>
      <c r="GR15" s="692"/>
      <c r="GS15" s="692"/>
      <c r="GT15" s="692"/>
      <c r="GU15" s="692"/>
      <c r="GV15" s="692"/>
      <c r="GW15" s="692"/>
      <c r="GX15" s="692"/>
      <c r="GY15" s="692"/>
      <c r="GZ15" s="692"/>
      <c r="HA15" s="692"/>
      <c r="HB15" s="692"/>
      <c r="HC15" s="692"/>
      <c r="HD15" s="692"/>
      <c r="HE15" s="692"/>
      <c r="HF15" s="692"/>
      <c r="HG15" s="692"/>
      <c r="HH15" s="692"/>
      <c r="HI15" s="692"/>
      <c r="HJ15" s="692"/>
      <c r="HK15" s="692"/>
      <c r="HL15" s="692"/>
      <c r="HM15" s="692"/>
      <c r="HN15" s="692"/>
      <c r="HO15" s="692"/>
      <c r="HP15" s="692"/>
      <c r="HQ15" s="692"/>
      <c r="HR15" s="692"/>
      <c r="HS15" s="692"/>
      <c r="HT15" s="692"/>
      <c r="HU15" s="692"/>
      <c r="HV15" s="692"/>
      <c r="HW15" s="692"/>
      <c r="HX15" s="692"/>
      <c r="HY15" s="692"/>
      <c r="HZ15" s="692"/>
      <c r="IA15" s="692"/>
      <c r="IB15" s="692"/>
      <c r="IC15" s="692"/>
      <c r="ID15" s="692"/>
      <c r="IE15" s="692"/>
    </row>
    <row r="16" spans="1:239" customHeight="1" ht="17.4" s="701" customFormat="1">
      <c r="A16" s="702"/>
      <c r="B16" s="703"/>
      <c r="C16" s="703" t="s">
        <v>301</v>
      </c>
      <c r="D16" s="704"/>
      <c r="E16" s="704"/>
      <c r="F16" s="726">
        <f>SUM(G16:R16)</f>
        <v>0</v>
      </c>
      <c r="G16" s="706">
        <v>0</v>
      </c>
      <c r="H16" s="706">
        <v>0</v>
      </c>
      <c r="I16" s="706">
        <v>0</v>
      </c>
      <c r="J16" s="706">
        <v>0</v>
      </c>
      <c r="K16" s="706">
        <v>0</v>
      </c>
      <c r="L16" s="706">
        <v>0</v>
      </c>
      <c r="M16" s="706">
        <v>0</v>
      </c>
      <c r="N16" s="706">
        <v>0</v>
      </c>
      <c r="O16" s="706">
        <v>0</v>
      </c>
      <c r="P16" s="706">
        <v>0</v>
      </c>
      <c r="Q16" s="707">
        <v>0</v>
      </c>
      <c r="R16" s="706">
        <v>0</v>
      </c>
      <c r="S16" s="692"/>
      <c r="T16" s="692"/>
      <c r="U16" s="692"/>
      <c r="V16" s="692"/>
      <c r="W16" s="692"/>
      <c r="X16" s="692"/>
      <c r="Y16" s="692"/>
      <c r="Z16" s="692"/>
      <c r="AA16" s="692"/>
      <c r="AB16" s="692"/>
      <c r="AC16" s="692"/>
      <c r="AD16" s="692"/>
      <c r="AE16" s="692"/>
      <c r="AF16" s="692"/>
      <c r="AG16" s="692"/>
      <c r="AH16" s="692"/>
      <c r="AI16" s="692"/>
      <c r="AJ16" s="692"/>
      <c r="AK16" s="692"/>
      <c r="AL16" s="692"/>
      <c r="AM16" s="692"/>
      <c r="AN16" s="692"/>
      <c r="AO16" s="692"/>
      <c r="AP16" s="692"/>
      <c r="AQ16" s="692"/>
      <c r="AR16" s="692"/>
      <c r="AS16" s="692"/>
      <c r="AT16" s="692"/>
      <c r="AU16" s="692"/>
      <c r="AV16" s="692"/>
      <c r="AW16" s="692"/>
      <c r="AX16" s="692"/>
      <c r="AY16" s="692"/>
      <c r="AZ16" s="692"/>
      <c r="BA16" s="692"/>
      <c r="BB16" s="692"/>
      <c r="BC16" s="692"/>
      <c r="BD16" s="692"/>
      <c r="BE16" s="692"/>
      <c r="BF16" s="692"/>
      <c r="BG16" s="692"/>
      <c r="BH16" s="692"/>
      <c r="BI16" s="692"/>
      <c r="BJ16" s="692"/>
      <c r="BK16" s="692"/>
      <c r="BL16" s="692"/>
      <c r="BM16" s="692"/>
      <c r="BN16" s="692"/>
      <c r="BO16" s="692"/>
      <c r="BP16" s="692"/>
      <c r="BQ16" s="692"/>
      <c r="BR16" s="692"/>
      <c r="BS16" s="692"/>
      <c r="BT16" s="692"/>
      <c r="BU16" s="692"/>
      <c r="BV16" s="692"/>
      <c r="BW16" s="692"/>
      <c r="BX16" s="692"/>
      <c r="BY16" s="692"/>
      <c r="BZ16" s="692"/>
      <c r="CA16" s="692"/>
      <c r="CB16" s="692"/>
      <c r="CC16" s="692"/>
      <c r="CD16" s="692"/>
      <c r="CE16" s="692"/>
      <c r="CF16" s="692"/>
      <c r="CG16" s="692"/>
      <c r="CH16" s="692"/>
      <c r="CI16" s="692"/>
      <c r="CJ16" s="692"/>
      <c r="CK16" s="692"/>
      <c r="CL16" s="692"/>
      <c r="CM16" s="692"/>
      <c r="CN16" s="692"/>
      <c r="CO16" s="692"/>
      <c r="CP16" s="692"/>
      <c r="CQ16" s="692"/>
      <c r="CR16" s="692"/>
      <c r="CS16" s="692"/>
      <c r="CT16" s="692"/>
      <c r="CU16" s="692"/>
      <c r="CV16" s="692"/>
      <c r="CW16" s="692"/>
      <c r="CX16" s="692"/>
      <c r="CY16" s="692"/>
      <c r="CZ16" s="692"/>
      <c r="DA16" s="692"/>
      <c r="DB16" s="692"/>
      <c r="DC16" s="692"/>
      <c r="DD16" s="692"/>
      <c r="DE16" s="692"/>
      <c r="DF16" s="692"/>
      <c r="DG16" s="692"/>
      <c r="DH16" s="692"/>
      <c r="DI16" s="692"/>
      <c r="DJ16" s="692"/>
      <c r="DK16" s="692"/>
      <c r="DL16" s="692"/>
      <c r="DM16" s="692"/>
      <c r="DN16" s="692"/>
      <c r="DO16" s="692"/>
      <c r="DP16" s="692"/>
      <c r="DQ16" s="692"/>
      <c r="DR16" s="692"/>
      <c r="DS16" s="692"/>
      <c r="DT16" s="692"/>
      <c r="DU16" s="692"/>
      <c r="DV16" s="692"/>
      <c r="DW16" s="692"/>
      <c r="DX16" s="692"/>
      <c r="DY16" s="692"/>
      <c r="DZ16" s="692"/>
      <c r="EA16" s="692"/>
      <c r="EB16" s="692"/>
      <c r="EC16" s="692"/>
      <c r="ED16" s="692"/>
      <c r="EE16" s="692"/>
      <c r="EF16" s="692"/>
      <c r="EG16" s="692"/>
      <c r="EH16" s="692"/>
      <c r="EI16" s="692"/>
      <c r="EJ16" s="692"/>
      <c r="EK16" s="692"/>
      <c r="EL16" s="692"/>
      <c r="EM16" s="692"/>
      <c r="EN16" s="692"/>
      <c r="EO16" s="692"/>
      <c r="EP16" s="692"/>
      <c r="EQ16" s="692"/>
      <c r="ER16" s="692"/>
      <c r="ES16" s="692"/>
      <c r="ET16" s="692"/>
      <c r="EU16" s="692"/>
      <c r="EV16" s="692"/>
      <c r="EW16" s="692"/>
      <c r="EX16" s="692"/>
      <c r="EY16" s="692"/>
      <c r="EZ16" s="692"/>
      <c r="FA16" s="692"/>
      <c r="FB16" s="692"/>
      <c r="FC16" s="692"/>
      <c r="FD16" s="692"/>
      <c r="FE16" s="692"/>
      <c r="FF16" s="692"/>
      <c r="FG16" s="692"/>
      <c r="FH16" s="692"/>
      <c r="FI16" s="692"/>
      <c r="FJ16" s="692"/>
      <c r="FK16" s="692"/>
      <c r="FL16" s="692"/>
      <c r="FM16" s="692"/>
      <c r="FN16" s="692"/>
      <c r="FO16" s="692"/>
      <c r="FP16" s="692"/>
      <c r="FQ16" s="692"/>
      <c r="FR16" s="692"/>
      <c r="FS16" s="692"/>
      <c r="FT16" s="692"/>
      <c r="FU16" s="692"/>
      <c r="FV16" s="692"/>
      <c r="FW16" s="692"/>
      <c r="FX16" s="692"/>
      <c r="FY16" s="692"/>
      <c r="FZ16" s="692"/>
      <c r="GA16" s="692"/>
      <c r="GB16" s="692"/>
      <c r="GC16" s="692"/>
      <c r="GD16" s="692"/>
      <c r="GE16" s="692"/>
      <c r="GF16" s="692"/>
      <c r="GG16" s="692"/>
      <c r="GH16" s="692"/>
      <c r="GI16" s="692"/>
      <c r="GJ16" s="692"/>
      <c r="GK16" s="692"/>
      <c r="GL16" s="692"/>
      <c r="GM16" s="692"/>
      <c r="GN16" s="692"/>
      <c r="GO16" s="692"/>
      <c r="GP16" s="692"/>
      <c r="GQ16" s="692"/>
      <c r="GR16" s="692"/>
      <c r="GS16" s="692"/>
      <c r="GT16" s="692"/>
      <c r="GU16" s="692"/>
      <c r="GV16" s="692"/>
      <c r="GW16" s="692"/>
      <c r="GX16" s="692"/>
      <c r="GY16" s="692"/>
      <c r="GZ16" s="692"/>
      <c r="HA16" s="692"/>
      <c r="HB16" s="692"/>
      <c r="HC16" s="692"/>
      <c r="HD16" s="692"/>
      <c r="HE16" s="692"/>
      <c r="HF16" s="692"/>
      <c r="HG16" s="692"/>
      <c r="HH16" s="692"/>
      <c r="HI16" s="692"/>
      <c r="HJ16" s="692"/>
      <c r="HK16" s="692"/>
      <c r="HL16" s="692"/>
      <c r="HM16" s="692"/>
      <c r="HN16" s="692"/>
      <c r="HO16" s="692"/>
      <c r="HP16" s="692"/>
      <c r="HQ16" s="692"/>
      <c r="HR16" s="692"/>
      <c r="HS16" s="692"/>
      <c r="HT16" s="692"/>
      <c r="HU16" s="692"/>
      <c r="HV16" s="692"/>
      <c r="HW16" s="692"/>
      <c r="HX16" s="692"/>
      <c r="HY16" s="692"/>
      <c r="HZ16" s="692"/>
      <c r="IA16" s="692"/>
      <c r="IB16" s="692"/>
      <c r="IC16" s="692"/>
      <c r="ID16" s="692"/>
      <c r="IE16" s="692"/>
    </row>
    <row r="17" spans="1:239" customHeight="1" ht="17.4" s="701" customFormat="1">
      <c r="A17" s="702" t="s">
        <v>311</v>
      </c>
      <c r="B17" s="703" t="s">
        <v>308</v>
      </c>
      <c r="C17" s="703" t="s">
        <v>284</v>
      </c>
      <c r="D17" s="704" t="s">
        <v>309</v>
      </c>
      <c r="E17" s="704" t="s">
        <v>310</v>
      </c>
      <c r="F17" s="726">
        <f>SUM(G17:R17)</f>
        <v>1716.30000000000018</v>
      </c>
      <c r="G17" s="706">
        <v>109.83</v>
      </c>
      <c r="H17" s="706">
        <v>177.24000000000001</v>
      </c>
      <c r="I17" s="706">
        <v>88.93000000000001</v>
      </c>
      <c r="J17" s="706">
        <v>149.59999999999999</v>
      </c>
      <c r="K17" s="706">
        <v>212.11000000000001</v>
      </c>
      <c r="L17" s="706">
        <v>0</v>
      </c>
      <c r="M17" s="706">
        <v>172.84</v>
      </c>
      <c r="N17" s="706">
        <v>175.94999999999999</v>
      </c>
      <c r="O17" s="706">
        <v>118.34</v>
      </c>
      <c r="P17" s="706">
        <v>170.37</v>
      </c>
      <c r="Q17" s="707">
        <v>161.41</v>
      </c>
      <c r="R17" s="706">
        <v>179.68000000000001</v>
      </c>
      <c r="S17" s="692"/>
      <c r="T17" s="692"/>
      <c r="U17" s="692"/>
      <c r="V17" s="692"/>
      <c r="W17" s="692"/>
      <c r="X17" s="692"/>
      <c r="Y17" s="692"/>
      <c r="Z17" s="692"/>
      <c r="AA17" s="692"/>
      <c r="AB17" s="692"/>
      <c r="AC17" s="692"/>
      <c r="AD17" s="692"/>
      <c r="AE17" s="692"/>
      <c r="AF17" s="692"/>
      <c r="AG17" s="692"/>
      <c r="AH17" s="692"/>
      <c r="AI17" s="692"/>
      <c r="AJ17" s="692"/>
      <c r="AK17" s="692"/>
      <c r="AL17" s="692"/>
      <c r="AM17" s="692"/>
      <c r="AN17" s="692"/>
      <c r="AO17" s="692"/>
      <c r="AP17" s="692"/>
      <c r="AQ17" s="692"/>
      <c r="AR17" s="692"/>
      <c r="AS17" s="692"/>
      <c r="AT17" s="692"/>
      <c r="AU17" s="692"/>
      <c r="AV17" s="692"/>
      <c r="AW17" s="692"/>
      <c r="AX17" s="692"/>
      <c r="AY17" s="692"/>
      <c r="AZ17" s="692"/>
      <c r="BA17" s="692"/>
      <c r="BB17" s="692"/>
      <c r="BC17" s="692"/>
      <c r="BD17" s="692"/>
      <c r="BE17" s="692"/>
      <c r="BF17" s="692"/>
      <c r="BG17" s="692"/>
      <c r="BH17" s="692"/>
      <c r="BI17" s="692"/>
      <c r="BJ17" s="692"/>
      <c r="BK17" s="692"/>
      <c r="BL17" s="692"/>
      <c r="BM17" s="692"/>
      <c r="BN17" s="692"/>
      <c r="BO17" s="692"/>
      <c r="BP17" s="692"/>
      <c r="BQ17" s="692"/>
      <c r="BR17" s="692"/>
      <c r="BS17" s="692"/>
      <c r="BT17" s="692"/>
      <c r="BU17" s="692"/>
      <c r="BV17" s="692"/>
      <c r="BW17" s="692"/>
      <c r="BX17" s="692"/>
      <c r="BY17" s="692"/>
      <c r="BZ17" s="692"/>
      <c r="CA17" s="692"/>
      <c r="CB17" s="692"/>
      <c r="CC17" s="692"/>
      <c r="CD17" s="692"/>
      <c r="CE17" s="692"/>
      <c r="CF17" s="692"/>
      <c r="CG17" s="692"/>
      <c r="CH17" s="692"/>
      <c r="CI17" s="692"/>
      <c r="CJ17" s="692"/>
      <c r="CK17" s="692"/>
      <c r="CL17" s="692"/>
      <c r="CM17" s="692"/>
      <c r="CN17" s="692"/>
      <c r="CO17" s="692"/>
      <c r="CP17" s="692"/>
      <c r="CQ17" s="692"/>
      <c r="CR17" s="692"/>
      <c r="CS17" s="692"/>
      <c r="CT17" s="692"/>
      <c r="CU17" s="692"/>
      <c r="CV17" s="692"/>
      <c r="CW17" s="692"/>
      <c r="CX17" s="692"/>
      <c r="CY17" s="692"/>
      <c r="CZ17" s="692"/>
      <c r="DA17" s="692"/>
      <c r="DB17" s="692"/>
      <c r="DC17" s="692"/>
      <c r="DD17" s="692"/>
      <c r="DE17" s="692"/>
      <c r="DF17" s="692"/>
      <c r="DG17" s="692"/>
      <c r="DH17" s="692"/>
      <c r="DI17" s="692"/>
      <c r="DJ17" s="692"/>
      <c r="DK17" s="692"/>
      <c r="DL17" s="692"/>
      <c r="DM17" s="692"/>
      <c r="DN17" s="692"/>
      <c r="DO17" s="692"/>
      <c r="DP17" s="692"/>
      <c r="DQ17" s="692"/>
      <c r="DR17" s="692"/>
      <c r="DS17" s="692"/>
      <c r="DT17" s="692"/>
      <c r="DU17" s="692"/>
      <c r="DV17" s="692"/>
      <c r="DW17" s="692"/>
      <c r="DX17" s="692"/>
      <c r="DY17" s="692"/>
      <c r="DZ17" s="692"/>
      <c r="EA17" s="692"/>
      <c r="EB17" s="692"/>
      <c r="EC17" s="692"/>
      <c r="ED17" s="692"/>
      <c r="EE17" s="692"/>
      <c r="EF17" s="692"/>
      <c r="EG17" s="692"/>
      <c r="EH17" s="692"/>
      <c r="EI17" s="692"/>
      <c r="EJ17" s="692"/>
      <c r="EK17" s="692"/>
      <c r="EL17" s="692"/>
      <c r="EM17" s="692"/>
      <c r="EN17" s="692"/>
      <c r="EO17" s="692"/>
      <c r="EP17" s="692"/>
      <c r="EQ17" s="692"/>
      <c r="ER17" s="692"/>
      <c r="ES17" s="692"/>
      <c r="ET17" s="692"/>
      <c r="EU17" s="692"/>
      <c r="EV17" s="692"/>
      <c r="EW17" s="692"/>
      <c r="EX17" s="692"/>
      <c r="EY17" s="692"/>
      <c r="EZ17" s="692"/>
      <c r="FA17" s="692"/>
      <c r="FB17" s="692"/>
      <c r="FC17" s="692"/>
      <c r="FD17" s="692"/>
      <c r="FE17" s="692"/>
      <c r="FF17" s="692"/>
      <c r="FG17" s="692"/>
      <c r="FH17" s="692"/>
      <c r="FI17" s="692"/>
      <c r="FJ17" s="692"/>
      <c r="FK17" s="692"/>
      <c r="FL17" s="692"/>
      <c r="FM17" s="692"/>
      <c r="FN17" s="692"/>
      <c r="FO17" s="692"/>
      <c r="FP17" s="692"/>
      <c r="FQ17" s="692"/>
      <c r="FR17" s="692"/>
      <c r="FS17" s="692"/>
      <c r="FT17" s="692"/>
      <c r="FU17" s="692"/>
      <c r="FV17" s="692"/>
      <c r="FW17" s="692"/>
      <c r="FX17" s="692"/>
      <c r="FY17" s="692"/>
      <c r="FZ17" s="692"/>
      <c r="GA17" s="692"/>
      <c r="GB17" s="692"/>
      <c r="GC17" s="692"/>
      <c r="GD17" s="692"/>
      <c r="GE17" s="692"/>
      <c r="GF17" s="692"/>
      <c r="GG17" s="692"/>
      <c r="GH17" s="692"/>
      <c r="GI17" s="692"/>
      <c r="GJ17" s="692"/>
      <c r="GK17" s="692"/>
      <c r="GL17" s="692"/>
      <c r="GM17" s="692"/>
      <c r="GN17" s="692"/>
      <c r="GO17" s="692"/>
      <c r="GP17" s="692"/>
      <c r="GQ17" s="692"/>
      <c r="GR17" s="692"/>
      <c r="GS17" s="692"/>
      <c r="GT17" s="692"/>
      <c r="GU17" s="692"/>
      <c r="GV17" s="692"/>
      <c r="GW17" s="692"/>
      <c r="GX17" s="692"/>
      <c r="GY17" s="692"/>
      <c r="GZ17" s="692"/>
      <c r="HA17" s="692"/>
      <c r="HB17" s="692"/>
      <c r="HC17" s="692"/>
      <c r="HD17" s="692"/>
      <c r="HE17" s="692"/>
      <c r="HF17" s="692"/>
      <c r="HG17" s="692"/>
      <c r="HH17" s="692"/>
      <c r="HI17" s="692"/>
      <c r="HJ17" s="692"/>
      <c r="HK17" s="692"/>
      <c r="HL17" s="692"/>
      <c r="HM17" s="692"/>
      <c r="HN17" s="692"/>
      <c r="HO17" s="692"/>
      <c r="HP17" s="692"/>
      <c r="HQ17" s="692"/>
      <c r="HR17" s="692"/>
      <c r="HS17" s="692"/>
      <c r="HT17" s="692"/>
      <c r="HU17" s="692"/>
      <c r="HV17" s="692"/>
      <c r="HW17" s="692"/>
      <c r="HX17" s="692"/>
      <c r="HY17" s="692"/>
      <c r="HZ17" s="692"/>
      <c r="IA17" s="692"/>
      <c r="IB17" s="692"/>
      <c r="IC17" s="692"/>
      <c r="ID17" s="692"/>
      <c r="IE17" s="692"/>
    </row>
    <row r="18" spans="1:239" customHeight="1" ht="17.4" s="701" customFormat="1">
      <c r="A18" s="702"/>
      <c r="B18" s="703"/>
      <c r="C18" s="703" t="s">
        <v>301</v>
      </c>
      <c r="D18" s="704"/>
      <c r="E18" s="704"/>
      <c r="F18" s="726">
        <f>SUM(G18:R18)</f>
        <v>0</v>
      </c>
      <c r="G18" s="706">
        <v>0</v>
      </c>
      <c r="H18" s="706">
        <v>0</v>
      </c>
      <c r="I18" s="706">
        <v>0</v>
      </c>
      <c r="J18" s="706">
        <v>0</v>
      </c>
      <c r="K18" s="706">
        <v>0</v>
      </c>
      <c r="L18" s="706">
        <v>0</v>
      </c>
      <c r="M18" s="706">
        <v>0</v>
      </c>
      <c r="N18" s="706">
        <v>0</v>
      </c>
      <c r="O18" s="706">
        <v>0</v>
      </c>
      <c r="P18" s="706">
        <v>0</v>
      </c>
      <c r="Q18" s="707">
        <v>0</v>
      </c>
      <c r="R18" s="706">
        <v>0</v>
      </c>
      <c r="S18" s="692"/>
      <c r="T18" s="692"/>
      <c r="U18" s="692"/>
      <c r="V18" s="692"/>
      <c r="W18" s="692"/>
      <c r="X18" s="692"/>
      <c r="Y18" s="692"/>
      <c r="Z18" s="692"/>
      <c r="AA18" s="692"/>
      <c r="AB18" s="692"/>
      <c r="AC18" s="692"/>
      <c r="AD18" s="692"/>
      <c r="AE18" s="692"/>
      <c r="AF18" s="692"/>
      <c r="AG18" s="692"/>
      <c r="AH18" s="692"/>
      <c r="AI18" s="692"/>
      <c r="AJ18" s="692"/>
      <c r="AK18" s="692"/>
      <c r="AL18" s="692"/>
      <c r="AM18" s="692"/>
      <c r="AN18" s="692"/>
      <c r="AO18" s="692"/>
      <c r="AP18" s="692"/>
      <c r="AQ18" s="692"/>
      <c r="AR18" s="692"/>
      <c r="AS18" s="692"/>
      <c r="AT18" s="692"/>
      <c r="AU18" s="692"/>
      <c r="AV18" s="692"/>
      <c r="AW18" s="692"/>
      <c r="AX18" s="692"/>
      <c r="AY18" s="692"/>
      <c r="AZ18" s="692"/>
      <c r="BA18" s="692"/>
      <c r="BB18" s="692"/>
      <c r="BC18" s="692"/>
      <c r="BD18" s="692"/>
      <c r="BE18" s="692"/>
      <c r="BF18" s="692"/>
      <c r="BG18" s="692"/>
      <c r="BH18" s="692"/>
      <c r="BI18" s="692"/>
      <c r="BJ18" s="692"/>
      <c r="BK18" s="692"/>
      <c r="BL18" s="692"/>
      <c r="BM18" s="692"/>
      <c r="BN18" s="692"/>
      <c r="BO18" s="692"/>
      <c r="BP18" s="692"/>
      <c r="BQ18" s="692"/>
      <c r="BR18" s="692"/>
      <c r="BS18" s="692"/>
      <c r="BT18" s="692"/>
      <c r="BU18" s="692"/>
      <c r="BV18" s="692"/>
      <c r="BW18" s="692"/>
      <c r="BX18" s="692"/>
      <c r="BY18" s="692"/>
      <c r="BZ18" s="692"/>
      <c r="CA18" s="692"/>
      <c r="CB18" s="692"/>
      <c r="CC18" s="692"/>
      <c r="CD18" s="692"/>
      <c r="CE18" s="692"/>
      <c r="CF18" s="692"/>
      <c r="CG18" s="692"/>
      <c r="CH18" s="692"/>
      <c r="CI18" s="692"/>
      <c r="CJ18" s="692"/>
      <c r="CK18" s="692"/>
      <c r="CL18" s="692"/>
      <c r="CM18" s="692"/>
      <c r="CN18" s="692"/>
      <c r="CO18" s="692"/>
      <c r="CP18" s="692"/>
      <c r="CQ18" s="692"/>
      <c r="CR18" s="692"/>
      <c r="CS18" s="692"/>
      <c r="CT18" s="692"/>
      <c r="CU18" s="692"/>
      <c r="CV18" s="692"/>
      <c r="CW18" s="692"/>
      <c r="CX18" s="692"/>
      <c r="CY18" s="692"/>
      <c r="CZ18" s="692"/>
      <c r="DA18" s="692"/>
      <c r="DB18" s="692"/>
      <c r="DC18" s="692"/>
      <c r="DD18" s="692"/>
      <c r="DE18" s="692"/>
      <c r="DF18" s="692"/>
      <c r="DG18" s="692"/>
      <c r="DH18" s="692"/>
      <c r="DI18" s="692"/>
      <c r="DJ18" s="692"/>
      <c r="DK18" s="692"/>
      <c r="DL18" s="692"/>
      <c r="DM18" s="692"/>
      <c r="DN18" s="692"/>
      <c r="DO18" s="692"/>
      <c r="DP18" s="692"/>
      <c r="DQ18" s="692"/>
      <c r="DR18" s="692"/>
      <c r="DS18" s="692"/>
      <c r="DT18" s="692"/>
      <c r="DU18" s="692"/>
      <c r="DV18" s="692"/>
      <c r="DW18" s="692"/>
      <c r="DX18" s="692"/>
      <c r="DY18" s="692"/>
      <c r="DZ18" s="692"/>
      <c r="EA18" s="692"/>
      <c r="EB18" s="692"/>
      <c r="EC18" s="692"/>
      <c r="ED18" s="692"/>
      <c r="EE18" s="692"/>
      <c r="EF18" s="692"/>
      <c r="EG18" s="692"/>
      <c r="EH18" s="692"/>
      <c r="EI18" s="692"/>
      <c r="EJ18" s="692"/>
      <c r="EK18" s="692"/>
      <c r="EL18" s="692"/>
      <c r="EM18" s="692"/>
      <c r="EN18" s="692"/>
      <c r="EO18" s="692"/>
      <c r="EP18" s="692"/>
      <c r="EQ18" s="692"/>
      <c r="ER18" s="692"/>
      <c r="ES18" s="692"/>
      <c r="ET18" s="692"/>
      <c r="EU18" s="692"/>
      <c r="EV18" s="692"/>
      <c r="EW18" s="692"/>
      <c r="EX18" s="692"/>
      <c r="EY18" s="692"/>
      <c r="EZ18" s="692"/>
      <c r="FA18" s="692"/>
      <c r="FB18" s="692"/>
      <c r="FC18" s="692"/>
      <c r="FD18" s="692"/>
      <c r="FE18" s="692"/>
      <c r="FF18" s="692"/>
      <c r="FG18" s="692"/>
      <c r="FH18" s="692"/>
      <c r="FI18" s="692"/>
      <c r="FJ18" s="692"/>
      <c r="FK18" s="692"/>
      <c r="FL18" s="692"/>
      <c r="FM18" s="692"/>
      <c r="FN18" s="692"/>
      <c r="FO18" s="692"/>
      <c r="FP18" s="692"/>
      <c r="FQ18" s="692"/>
      <c r="FR18" s="692"/>
      <c r="FS18" s="692"/>
      <c r="FT18" s="692"/>
      <c r="FU18" s="692"/>
      <c r="FV18" s="692"/>
      <c r="FW18" s="692"/>
      <c r="FX18" s="692"/>
      <c r="FY18" s="692"/>
      <c r="FZ18" s="692"/>
      <c r="GA18" s="692"/>
      <c r="GB18" s="692"/>
      <c r="GC18" s="692"/>
      <c r="GD18" s="692"/>
      <c r="GE18" s="692"/>
      <c r="GF18" s="692"/>
      <c r="GG18" s="692"/>
      <c r="GH18" s="692"/>
      <c r="GI18" s="692"/>
      <c r="GJ18" s="692"/>
      <c r="GK18" s="692"/>
      <c r="GL18" s="692"/>
      <c r="GM18" s="692"/>
      <c r="GN18" s="692"/>
      <c r="GO18" s="692"/>
      <c r="GP18" s="692"/>
      <c r="GQ18" s="692"/>
      <c r="GR18" s="692"/>
      <c r="GS18" s="692"/>
      <c r="GT18" s="692"/>
      <c r="GU18" s="692"/>
      <c r="GV18" s="692"/>
      <c r="GW18" s="692"/>
      <c r="GX18" s="692"/>
      <c r="GY18" s="692"/>
      <c r="GZ18" s="692"/>
      <c r="HA18" s="692"/>
      <c r="HB18" s="692"/>
      <c r="HC18" s="692"/>
      <c r="HD18" s="692"/>
      <c r="HE18" s="692"/>
      <c r="HF18" s="692"/>
      <c r="HG18" s="692"/>
      <c r="HH18" s="692"/>
      <c r="HI18" s="692"/>
      <c r="HJ18" s="692"/>
      <c r="HK18" s="692"/>
      <c r="HL18" s="692"/>
      <c r="HM18" s="692"/>
      <c r="HN18" s="692"/>
      <c r="HO18" s="692"/>
      <c r="HP18" s="692"/>
      <c r="HQ18" s="692"/>
      <c r="HR18" s="692"/>
      <c r="HS18" s="692"/>
      <c r="HT18" s="692"/>
      <c r="HU18" s="692"/>
      <c r="HV18" s="692"/>
      <c r="HW18" s="692"/>
      <c r="HX18" s="692"/>
      <c r="HY18" s="692"/>
      <c r="HZ18" s="692"/>
      <c r="IA18" s="692"/>
      <c r="IB18" s="692"/>
      <c r="IC18" s="692"/>
      <c r="ID18" s="692"/>
      <c r="IE18" s="692"/>
    </row>
    <row r="19" spans="1:239" customHeight="1" ht="17.4" s="701" customFormat="1">
      <c r="A19" s="702" t="s">
        <v>312</v>
      </c>
      <c r="B19" s="703" t="s">
        <v>308</v>
      </c>
      <c r="C19" s="703" t="s">
        <v>284</v>
      </c>
      <c r="D19" s="704" t="s">
        <v>309</v>
      </c>
      <c r="E19" s="704" t="s">
        <v>310</v>
      </c>
      <c r="F19" s="726">
        <f>SUM(G19:R19)</f>
        <v>1419.88999999999987</v>
      </c>
      <c r="G19" s="706">
        <v>164.74000000000001</v>
      </c>
      <c r="H19" s="706">
        <v>162.56</v>
      </c>
      <c r="I19" s="706">
        <v>102.89</v>
      </c>
      <c r="J19" s="706">
        <v>98.3</v>
      </c>
      <c r="K19" s="706">
        <v>152.31</v>
      </c>
      <c r="L19" s="706">
        <v>130.16</v>
      </c>
      <c r="M19" s="706">
        <v>189.030000000000001</v>
      </c>
      <c r="N19" s="706">
        <v>54.5</v>
      </c>
      <c r="O19" s="706">
        <v>109</v>
      </c>
      <c r="P19" s="706">
        <v>102.84999999999999</v>
      </c>
      <c r="Q19" s="707">
        <v>100.41</v>
      </c>
      <c r="R19" s="706">
        <v>53.14</v>
      </c>
      <c r="S19" s="692"/>
      <c r="T19" s="692"/>
      <c r="U19" s="692"/>
      <c r="V19" s="692"/>
      <c r="W19" s="692"/>
      <c r="X19" s="692"/>
      <c r="Y19" s="692"/>
      <c r="Z19" s="692"/>
      <c r="AA19" s="692"/>
      <c r="AB19" s="692"/>
      <c r="AC19" s="692"/>
      <c r="AD19" s="692"/>
      <c r="AE19" s="692"/>
      <c r="AF19" s="692"/>
      <c r="AG19" s="692"/>
      <c r="AH19" s="692"/>
      <c r="AI19" s="692"/>
      <c r="AJ19" s="692"/>
      <c r="AK19" s="692"/>
      <c r="AL19" s="692"/>
      <c r="AM19" s="692"/>
      <c r="AN19" s="692"/>
      <c r="AO19" s="692"/>
      <c r="AP19" s="692"/>
      <c r="AQ19" s="692"/>
      <c r="AR19" s="692"/>
      <c r="AS19" s="692"/>
      <c r="AT19" s="692"/>
      <c r="AU19" s="692"/>
      <c r="AV19" s="692"/>
      <c r="AW19" s="692"/>
      <c r="AX19" s="692"/>
      <c r="AY19" s="692"/>
      <c r="AZ19" s="692"/>
      <c r="BA19" s="692"/>
      <c r="BB19" s="692"/>
      <c r="BC19" s="692"/>
      <c r="BD19" s="692"/>
      <c r="BE19" s="692"/>
      <c r="BF19" s="692"/>
      <c r="BG19" s="692"/>
      <c r="BH19" s="692"/>
      <c r="BI19" s="692"/>
      <c r="BJ19" s="692"/>
      <c r="BK19" s="692"/>
      <c r="BL19" s="692"/>
      <c r="BM19" s="692"/>
      <c r="BN19" s="692"/>
      <c r="BO19" s="692"/>
      <c r="BP19" s="692"/>
      <c r="BQ19" s="692"/>
      <c r="BR19" s="692"/>
      <c r="BS19" s="692"/>
      <c r="BT19" s="692"/>
      <c r="BU19" s="692"/>
      <c r="BV19" s="692"/>
      <c r="BW19" s="692"/>
      <c r="BX19" s="692"/>
      <c r="BY19" s="692"/>
      <c r="BZ19" s="692"/>
      <c r="CA19" s="692"/>
      <c r="CB19" s="692"/>
      <c r="CC19" s="692"/>
      <c r="CD19" s="692"/>
      <c r="CE19" s="692"/>
      <c r="CF19" s="692"/>
      <c r="CG19" s="692"/>
      <c r="CH19" s="692"/>
      <c r="CI19" s="692"/>
      <c r="CJ19" s="692"/>
      <c r="CK19" s="692"/>
      <c r="CL19" s="692"/>
      <c r="CM19" s="692"/>
      <c r="CN19" s="692"/>
      <c r="CO19" s="692"/>
      <c r="CP19" s="692"/>
      <c r="CQ19" s="692"/>
      <c r="CR19" s="692"/>
      <c r="CS19" s="692"/>
      <c r="CT19" s="692"/>
      <c r="CU19" s="692"/>
      <c r="CV19" s="692"/>
      <c r="CW19" s="692"/>
      <c r="CX19" s="692"/>
      <c r="CY19" s="692"/>
      <c r="CZ19" s="692"/>
      <c r="DA19" s="692"/>
      <c r="DB19" s="692"/>
      <c r="DC19" s="692"/>
      <c r="DD19" s="692"/>
      <c r="DE19" s="692"/>
      <c r="DF19" s="692"/>
      <c r="DG19" s="692"/>
      <c r="DH19" s="692"/>
      <c r="DI19" s="692"/>
      <c r="DJ19" s="692"/>
      <c r="DK19" s="692"/>
      <c r="DL19" s="692"/>
      <c r="DM19" s="692"/>
      <c r="DN19" s="692"/>
      <c r="DO19" s="692"/>
      <c r="DP19" s="692"/>
      <c r="DQ19" s="692"/>
      <c r="DR19" s="692"/>
      <c r="DS19" s="692"/>
      <c r="DT19" s="692"/>
      <c r="DU19" s="692"/>
      <c r="DV19" s="692"/>
      <c r="DW19" s="692"/>
      <c r="DX19" s="692"/>
      <c r="DY19" s="692"/>
      <c r="DZ19" s="692"/>
      <c r="EA19" s="692"/>
      <c r="EB19" s="692"/>
      <c r="EC19" s="692"/>
      <c r="ED19" s="692"/>
      <c r="EE19" s="692"/>
      <c r="EF19" s="692"/>
      <c r="EG19" s="692"/>
      <c r="EH19" s="692"/>
      <c r="EI19" s="692"/>
      <c r="EJ19" s="692"/>
      <c r="EK19" s="692"/>
      <c r="EL19" s="692"/>
      <c r="EM19" s="692"/>
      <c r="EN19" s="692"/>
      <c r="EO19" s="692"/>
      <c r="EP19" s="692"/>
      <c r="EQ19" s="692"/>
      <c r="ER19" s="692"/>
      <c r="ES19" s="692"/>
      <c r="ET19" s="692"/>
      <c r="EU19" s="692"/>
      <c r="EV19" s="692"/>
      <c r="EW19" s="692"/>
      <c r="EX19" s="692"/>
      <c r="EY19" s="692"/>
      <c r="EZ19" s="692"/>
      <c r="FA19" s="692"/>
      <c r="FB19" s="692"/>
      <c r="FC19" s="692"/>
      <c r="FD19" s="692"/>
      <c r="FE19" s="692"/>
      <c r="FF19" s="692"/>
      <c r="FG19" s="692"/>
      <c r="FH19" s="692"/>
      <c r="FI19" s="692"/>
      <c r="FJ19" s="692"/>
      <c r="FK19" s="692"/>
      <c r="FL19" s="692"/>
      <c r="FM19" s="692"/>
      <c r="FN19" s="692"/>
      <c r="FO19" s="692"/>
      <c r="FP19" s="692"/>
      <c r="FQ19" s="692"/>
      <c r="FR19" s="692"/>
      <c r="FS19" s="692"/>
      <c r="FT19" s="692"/>
      <c r="FU19" s="692"/>
      <c r="FV19" s="692"/>
      <c r="FW19" s="692"/>
      <c r="FX19" s="692"/>
      <c r="FY19" s="692"/>
      <c r="FZ19" s="692"/>
      <c r="GA19" s="692"/>
      <c r="GB19" s="692"/>
      <c r="GC19" s="692"/>
      <c r="GD19" s="692"/>
      <c r="GE19" s="692"/>
      <c r="GF19" s="692"/>
      <c r="GG19" s="692"/>
      <c r="GH19" s="692"/>
      <c r="GI19" s="692"/>
      <c r="GJ19" s="692"/>
      <c r="GK19" s="692"/>
      <c r="GL19" s="692"/>
      <c r="GM19" s="692"/>
      <c r="GN19" s="692"/>
      <c r="GO19" s="692"/>
      <c r="GP19" s="692"/>
      <c r="GQ19" s="692"/>
      <c r="GR19" s="692"/>
      <c r="GS19" s="692"/>
      <c r="GT19" s="692"/>
      <c r="GU19" s="692"/>
      <c r="GV19" s="692"/>
      <c r="GW19" s="692"/>
      <c r="GX19" s="692"/>
      <c r="GY19" s="692"/>
      <c r="GZ19" s="692"/>
      <c r="HA19" s="692"/>
      <c r="HB19" s="692"/>
      <c r="HC19" s="692"/>
      <c r="HD19" s="692"/>
      <c r="HE19" s="692"/>
      <c r="HF19" s="692"/>
      <c r="HG19" s="692"/>
      <c r="HH19" s="692"/>
      <c r="HI19" s="692"/>
      <c r="HJ19" s="692"/>
      <c r="HK19" s="692"/>
      <c r="HL19" s="692"/>
      <c r="HM19" s="692"/>
      <c r="HN19" s="692"/>
      <c r="HO19" s="692"/>
      <c r="HP19" s="692"/>
      <c r="HQ19" s="692"/>
      <c r="HR19" s="692"/>
      <c r="HS19" s="692"/>
      <c r="HT19" s="692"/>
      <c r="HU19" s="692"/>
      <c r="HV19" s="692"/>
      <c r="HW19" s="692"/>
      <c r="HX19" s="692"/>
      <c r="HY19" s="692"/>
      <c r="HZ19" s="692"/>
      <c r="IA19" s="692"/>
      <c r="IB19" s="692"/>
      <c r="IC19" s="692"/>
      <c r="ID19" s="692"/>
      <c r="IE19" s="692"/>
    </row>
    <row r="20" spans="1:239" customHeight="1" ht="17.4" s="701" customFormat="1">
      <c r="A20" s="702"/>
      <c r="B20" s="703"/>
      <c r="C20" s="703" t="s">
        <v>301</v>
      </c>
      <c r="D20" s="704"/>
      <c r="E20" s="704"/>
      <c r="F20" s="726">
        <f>SUM(G20:R20)</f>
        <v>53.51</v>
      </c>
      <c r="G20" s="706">
        <v>53.51</v>
      </c>
      <c r="H20" s="706">
        <v>0</v>
      </c>
      <c r="I20" s="706">
        <v>0</v>
      </c>
      <c r="J20" s="706">
        <v>0</v>
      </c>
      <c r="K20" s="706">
        <v>0</v>
      </c>
      <c r="L20" s="706">
        <v>0</v>
      </c>
      <c r="M20" s="706">
        <v>0</v>
      </c>
      <c r="N20" s="706">
        <v>0</v>
      </c>
      <c r="O20" s="706">
        <v>0</v>
      </c>
      <c r="P20" s="706">
        <v>0</v>
      </c>
      <c r="Q20" s="707">
        <v>0</v>
      </c>
      <c r="R20" s="706">
        <v>0</v>
      </c>
      <c r="S20" s="692"/>
      <c r="T20" s="692"/>
      <c r="U20" s="692"/>
      <c r="V20" s="692"/>
      <c r="W20" s="692"/>
      <c r="X20" s="692"/>
      <c r="Y20" s="692"/>
      <c r="Z20" s="692"/>
      <c r="AA20" s="692"/>
      <c r="AB20" s="692"/>
      <c r="AC20" s="692"/>
      <c r="AD20" s="692"/>
      <c r="AE20" s="692"/>
      <c r="AF20" s="692"/>
      <c r="AG20" s="692"/>
      <c r="AH20" s="692"/>
      <c r="AI20" s="692"/>
      <c r="AJ20" s="692"/>
      <c r="AK20" s="692"/>
      <c r="AL20" s="692"/>
      <c r="AM20" s="692"/>
      <c r="AN20" s="692"/>
      <c r="AO20" s="692"/>
      <c r="AP20" s="692"/>
      <c r="AQ20" s="692"/>
      <c r="AR20" s="692"/>
      <c r="AS20" s="692"/>
      <c r="AT20" s="692"/>
      <c r="AU20" s="692"/>
      <c r="AV20" s="692"/>
      <c r="AW20" s="692"/>
      <c r="AX20" s="692"/>
      <c r="AY20" s="692"/>
      <c r="AZ20" s="692"/>
      <c r="BA20" s="692"/>
      <c r="BB20" s="692"/>
      <c r="BC20" s="692"/>
      <c r="BD20" s="692"/>
      <c r="BE20" s="692"/>
      <c r="BF20" s="692"/>
      <c r="BG20" s="692"/>
      <c r="BH20" s="692"/>
      <c r="BI20" s="692"/>
      <c r="BJ20" s="692"/>
      <c r="BK20" s="692"/>
      <c r="BL20" s="692"/>
      <c r="BM20" s="692"/>
      <c r="BN20" s="692"/>
      <c r="BO20" s="692"/>
      <c r="BP20" s="692"/>
      <c r="BQ20" s="692"/>
      <c r="BR20" s="692"/>
      <c r="BS20" s="692"/>
      <c r="BT20" s="692"/>
      <c r="BU20" s="692"/>
      <c r="BV20" s="692"/>
      <c r="BW20" s="692"/>
      <c r="BX20" s="692"/>
      <c r="BY20" s="692"/>
      <c r="BZ20" s="692"/>
      <c r="CA20" s="692"/>
      <c r="CB20" s="692"/>
      <c r="CC20" s="692"/>
      <c r="CD20" s="692"/>
      <c r="CE20" s="692"/>
      <c r="CF20" s="692"/>
      <c r="CG20" s="692"/>
      <c r="CH20" s="692"/>
      <c r="CI20" s="692"/>
      <c r="CJ20" s="692"/>
      <c r="CK20" s="692"/>
      <c r="CL20" s="692"/>
      <c r="CM20" s="692"/>
      <c r="CN20" s="692"/>
      <c r="CO20" s="692"/>
      <c r="CP20" s="692"/>
      <c r="CQ20" s="692"/>
      <c r="CR20" s="692"/>
      <c r="CS20" s="692"/>
      <c r="CT20" s="692"/>
      <c r="CU20" s="692"/>
      <c r="CV20" s="692"/>
      <c r="CW20" s="692"/>
      <c r="CX20" s="692"/>
      <c r="CY20" s="692"/>
      <c r="CZ20" s="692"/>
      <c r="DA20" s="692"/>
      <c r="DB20" s="692"/>
      <c r="DC20" s="692"/>
      <c r="DD20" s="692"/>
      <c r="DE20" s="692"/>
      <c r="DF20" s="692"/>
      <c r="DG20" s="692"/>
      <c r="DH20" s="692"/>
      <c r="DI20" s="692"/>
      <c r="DJ20" s="692"/>
      <c r="DK20" s="692"/>
      <c r="DL20" s="692"/>
      <c r="DM20" s="692"/>
      <c r="DN20" s="692"/>
      <c r="DO20" s="692"/>
      <c r="DP20" s="692"/>
      <c r="DQ20" s="692"/>
      <c r="DR20" s="692"/>
      <c r="DS20" s="692"/>
      <c r="DT20" s="692"/>
      <c r="DU20" s="692"/>
      <c r="DV20" s="692"/>
      <c r="DW20" s="692"/>
      <c r="DX20" s="692"/>
      <c r="DY20" s="692"/>
      <c r="DZ20" s="692"/>
      <c r="EA20" s="692"/>
      <c r="EB20" s="692"/>
      <c r="EC20" s="692"/>
      <c r="ED20" s="692"/>
      <c r="EE20" s="692"/>
      <c r="EF20" s="692"/>
      <c r="EG20" s="692"/>
      <c r="EH20" s="692"/>
      <c r="EI20" s="692"/>
      <c r="EJ20" s="692"/>
      <c r="EK20" s="692"/>
      <c r="EL20" s="692"/>
      <c r="EM20" s="692"/>
      <c r="EN20" s="692"/>
      <c r="EO20" s="692"/>
      <c r="EP20" s="692"/>
      <c r="EQ20" s="692"/>
      <c r="ER20" s="692"/>
      <c r="ES20" s="692"/>
      <c r="ET20" s="692"/>
      <c r="EU20" s="692"/>
      <c r="EV20" s="692"/>
      <c r="EW20" s="692"/>
      <c r="EX20" s="692"/>
      <c r="EY20" s="692"/>
      <c r="EZ20" s="692"/>
      <c r="FA20" s="692"/>
      <c r="FB20" s="692"/>
      <c r="FC20" s="692"/>
      <c r="FD20" s="692"/>
      <c r="FE20" s="692"/>
      <c r="FF20" s="692"/>
      <c r="FG20" s="692"/>
      <c r="FH20" s="692"/>
      <c r="FI20" s="692"/>
      <c r="FJ20" s="692"/>
      <c r="FK20" s="692"/>
      <c r="FL20" s="692"/>
      <c r="FM20" s="692"/>
      <c r="FN20" s="692"/>
      <c r="FO20" s="692"/>
      <c r="FP20" s="692"/>
      <c r="FQ20" s="692"/>
      <c r="FR20" s="692"/>
      <c r="FS20" s="692"/>
      <c r="FT20" s="692"/>
      <c r="FU20" s="692"/>
      <c r="FV20" s="692"/>
      <c r="FW20" s="692"/>
      <c r="FX20" s="692"/>
      <c r="FY20" s="692"/>
      <c r="FZ20" s="692"/>
      <c r="GA20" s="692"/>
      <c r="GB20" s="692"/>
      <c r="GC20" s="692"/>
      <c r="GD20" s="692"/>
      <c r="GE20" s="692"/>
      <c r="GF20" s="692"/>
      <c r="GG20" s="692"/>
      <c r="GH20" s="692"/>
      <c r="GI20" s="692"/>
      <c r="GJ20" s="692"/>
      <c r="GK20" s="692"/>
      <c r="GL20" s="692"/>
      <c r="GM20" s="692"/>
      <c r="GN20" s="692"/>
      <c r="GO20" s="692"/>
      <c r="GP20" s="692"/>
      <c r="GQ20" s="692"/>
      <c r="GR20" s="692"/>
      <c r="GS20" s="692"/>
      <c r="GT20" s="692"/>
      <c r="GU20" s="692"/>
      <c r="GV20" s="692"/>
      <c r="GW20" s="692"/>
      <c r="GX20" s="692"/>
      <c r="GY20" s="692"/>
      <c r="GZ20" s="692"/>
      <c r="HA20" s="692"/>
      <c r="HB20" s="692"/>
      <c r="HC20" s="692"/>
      <c r="HD20" s="692"/>
      <c r="HE20" s="692"/>
      <c r="HF20" s="692"/>
      <c r="HG20" s="692"/>
      <c r="HH20" s="692"/>
      <c r="HI20" s="692"/>
      <c r="HJ20" s="692"/>
      <c r="HK20" s="692"/>
      <c r="HL20" s="692"/>
      <c r="HM20" s="692"/>
      <c r="HN20" s="692"/>
      <c r="HO20" s="692"/>
      <c r="HP20" s="692"/>
      <c r="HQ20" s="692"/>
      <c r="HR20" s="692"/>
      <c r="HS20" s="692"/>
      <c r="HT20" s="692"/>
      <c r="HU20" s="692"/>
      <c r="HV20" s="692"/>
      <c r="HW20" s="692"/>
      <c r="HX20" s="692"/>
      <c r="HY20" s="692"/>
      <c r="HZ20" s="692"/>
      <c r="IA20" s="692"/>
      <c r="IB20" s="692"/>
      <c r="IC20" s="692"/>
      <c r="ID20" s="692"/>
      <c r="IE20" s="692"/>
    </row>
    <row r="21" spans="1:239" customHeight="1" ht="17.4" s="701" customFormat="1">
      <c r="A21" s="702" t="s">
        <v>313</v>
      </c>
      <c r="B21" s="703" t="s">
        <v>308</v>
      </c>
      <c r="C21" s="703" t="s">
        <v>284</v>
      </c>
      <c r="D21" s="704" t="s">
        <v>309</v>
      </c>
      <c r="E21" s="704" t="s">
        <v>310</v>
      </c>
      <c r="F21" s="726">
        <f>SUM(G21:R21)</f>
        <v>1635.90000000000009</v>
      </c>
      <c r="G21" s="706">
        <v>209.65000000000001</v>
      </c>
      <c r="H21" s="706">
        <v>147.34999999999999</v>
      </c>
      <c r="I21" s="706">
        <v>113.63</v>
      </c>
      <c r="J21" s="706">
        <v>116.43000000000001</v>
      </c>
      <c r="K21" s="706">
        <v>162.62</v>
      </c>
      <c r="L21" s="706">
        <v>179.28999999999999</v>
      </c>
      <c r="M21" s="706">
        <v>98.030000000000001</v>
      </c>
      <c r="N21" s="706">
        <v>62.28</v>
      </c>
      <c r="O21" s="706">
        <v>152.81999999999999</v>
      </c>
      <c r="P21" s="706">
        <v>119.89</v>
      </c>
      <c r="Q21" s="707">
        <v>154.68000000000001</v>
      </c>
      <c r="R21" s="706">
        <v>119.23</v>
      </c>
      <c r="S21" s="692"/>
      <c r="T21" s="692"/>
      <c r="U21" s="692"/>
      <c r="V21" s="692"/>
      <c r="W21" s="692"/>
      <c r="X21" s="692"/>
      <c r="Y21" s="692"/>
      <c r="Z21" s="692"/>
      <c r="AA21" s="692"/>
      <c r="AB21" s="692"/>
      <c r="AC21" s="692"/>
      <c r="AD21" s="692"/>
      <c r="AE21" s="692"/>
      <c r="AF21" s="692"/>
      <c r="AG21" s="692"/>
      <c r="AH21" s="692"/>
      <c r="AI21" s="692"/>
      <c r="AJ21" s="692"/>
      <c r="AK21" s="692"/>
      <c r="AL21" s="692"/>
      <c r="AM21" s="692"/>
      <c r="AN21" s="692"/>
      <c r="AO21" s="692"/>
      <c r="AP21" s="692"/>
      <c r="AQ21" s="692"/>
      <c r="AR21" s="692"/>
      <c r="AS21" s="692"/>
      <c r="AT21" s="692"/>
      <c r="AU21" s="692"/>
      <c r="AV21" s="692"/>
      <c r="AW21" s="692"/>
      <c r="AX21" s="692"/>
      <c r="AY21" s="692"/>
      <c r="AZ21" s="692"/>
      <c r="BA21" s="692"/>
      <c r="BB21" s="692"/>
      <c r="BC21" s="692"/>
      <c r="BD21" s="692"/>
      <c r="BE21" s="692"/>
      <c r="BF21" s="692"/>
      <c r="BG21" s="692"/>
      <c r="BH21" s="692"/>
      <c r="BI21" s="692"/>
      <c r="BJ21" s="692"/>
      <c r="BK21" s="692"/>
      <c r="BL21" s="692"/>
      <c r="BM21" s="692"/>
      <c r="BN21" s="692"/>
      <c r="BO21" s="692"/>
      <c r="BP21" s="692"/>
      <c r="BQ21" s="692"/>
      <c r="BR21" s="692"/>
      <c r="BS21" s="692"/>
      <c r="BT21" s="692"/>
      <c r="BU21" s="692"/>
      <c r="BV21" s="692"/>
      <c r="BW21" s="692"/>
      <c r="BX21" s="692"/>
      <c r="BY21" s="692"/>
      <c r="BZ21" s="692"/>
      <c r="CA21" s="692"/>
      <c r="CB21" s="692"/>
      <c r="CC21" s="692"/>
      <c r="CD21" s="692"/>
      <c r="CE21" s="692"/>
      <c r="CF21" s="692"/>
      <c r="CG21" s="692"/>
      <c r="CH21" s="692"/>
      <c r="CI21" s="692"/>
      <c r="CJ21" s="692"/>
      <c r="CK21" s="692"/>
      <c r="CL21" s="692"/>
      <c r="CM21" s="692"/>
      <c r="CN21" s="692"/>
      <c r="CO21" s="692"/>
      <c r="CP21" s="692"/>
      <c r="CQ21" s="692"/>
      <c r="CR21" s="692"/>
      <c r="CS21" s="692"/>
      <c r="CT21" s="692"/>
      <c r="CU21" s="692"/>
      <c r="CV21" s="692"/>
      <c r="CW21" s="692"/>
      <c r="CX21" s="692"/>
      <c r="CY21" s="692"/>
      <c r="CZ21" s="692"/>
      <c r="DA21" s="692"/>
      <c r="DB21" s="692"/>
      <c r="DC21" s="692"/>
      <c r="DD21" s="692"/>
      <c r="DE21" s="692"/>
      <c r="DF21" s="692"/>
      <c r="DG21" s="692"/>
      <c r="DH21" s="692"/>
      <c r="DI21" s="692"/>
      <c r="DJ21" s="692"/>
      <c r="DK21" s="692"/>
      <c r="DL21" s="692"/>
      <c r="DM21" s="692"/>
      <c r="DN21" s="692"/>
      <c r="DO21" s="692"/>
      <c r="DP21" s="692"/>
      <c r="DQ21" s="692"/>
      <c r="DR21" s="692"/>
      <c r="DS21" s="692"/>
      <c r="DT21" s="692"/>
      <c r="DU21" s="692"/>
      <c r="DV21" s="692"/>
      <c r="DW21" s="692"/>
      <c r="DX21" s="692"/>
      <c r="DY21" s="692"/>
      <c r="DZ21" s="692"/>
      <c r="EA21" s="692"/>
      <c r="EB21" s="692"/>
      <c r="EC21" s="692"/>
      <c r="ED21" s="692"/>
      <c r="EE21" s="692"/>
      <c r="EF21" s="692"/>
      <c r="EG21" s="692"/>
      <c r="EH21" s="692"/>
      <c r="EI21" s="692"/>
      <c r="EJ21" s="692"/>
      <c r="EK21" s="692"/>
      <c r="EL21" s="692"/>
      <c r="EM21" s="692"/>
      <c r="EN21" s="692"/>
      <c r="EO21" s="692"/>
      <c r="EP21" s="692"/>
      <c r="EQ21" s="692"/>
      <c r="ER21" s="692"/>
      <c r="ES21" s="692"/>
      <c r="ET21" s="692"/>
      <c r="EU21" s="692"/>
      <c r="EV21" s="692"/>
      <c r="EW21" s="692"/>
      <c r="EX21" s="692"/>
      <c r="EY21" s="692"/>
      <c r="EZ21" s="692"/>
      <c r="FA21" s="692"/>
      <c r="FB21" s="692"/>
      <c r="FC21" s="692"/>
      <c r="FD21" s="692"/>
      <c r="FE21" s="692"/>
      <c r="FF21" s="692"/>
      <c r="FG21" s="692"/>
      <c r="FH21" s="692"/>
      <c r="FI21" s="692"/>
      <c r="FJ21" s="692"/>
      <c r="FK21" s="692"/>
      <c r="FL21" s="692"/>
      <c r="FM21" s="692"/>
      <c r="FN21" s="692"/>
      <c r="FO21" s="692"/>
      <c r="FP21" s="692"/>
      <c r="FQ21" s="692"/>
      <c r="FR21" s="692"/>
      <c r="FS21" s="692"/>
      <c r="FT21" s="692"/>
      <c r="FU21" s="692"/>
      <c r="FV21" s="692"/>
      <c r="FW21" s="692"/>
      <c r="FX21" s="692"/>
      <c r="FY21" s="692"/>
      <c r="FZ21" s="692"/>
      <c r="GA21" s="692"/>
      <c r="GB21" s="692"/>
      <c r="GC21" s="692"/>
      <c r="GD21" s="692"/>
      <c r="GE21" s="692"/>
      <c r="GF21" s="692"/>
      <c r="GG21" s="692"/>
      <c r="GH21" s="692"/>
      <c r="GI21" s="692"/>
      <c r="GJ21" s="692"/>
      <c r="GK21" s="692"/>
      <c r="GL21" s="692"/>
      <c r="GM21" s="692"/>
      <c r="GN21" s="692"/>
      <c r="GO21" s="692"/>
      <c r="GP21" s="692"/>
      <c r="GQ21" s="692"/>
      <c r="GR21" s="692"/>
      <c r="GS21" s="692"/>
      <c r="GT21" s="692"/>
      <c r="GU21" s="692"/>
      <c r="GV21" s="692"/>
      <c r="GW21" s="692"/>
      <c r="GX21" s="692"/>
      <c r="GY21" s="692"/>
      <c r="GZ21" s="692"/>
      <c r="HA21" s="692"/>
      <c r="HB21" s="692"/>
      <c r="HC21" s="692"/>
      <c r="HD21" s="692"/>
      <c r="HE21" s="692"/>
      <c r="HF21" s="692"/>
      <c r="HG21" s="692"/>
      <c r="HH21" s="692"/>
      <c r="HI21" s="692"/>
      <c r="HJ21" s="692"/>
      <c r="HK21" s="692"/>
      <c r="HL21" s="692"/>
      <c r="HM21" s="692"/>
      <c r="HN21" s="692"/>
      <c r="HO21" s="692"/>
      <c r="HP21" s="692"/>
      <c r="HQ21" s="692"/>
      <c r="HR21" s="692"/>
      <c r="HS21" s="692"/>
      <c r="HT21" s="692"/>
      <c r="HU21" s="692"/>
      <c r="HV21" s="692"/>
      <c r="HW21" s="692"/>
      <c r="HX21" s="692"/>
      <c r="HY21" s="692"/>
      <c r="HZ21" s="692"/>
      <c r="IA21" s="692"/>
      <c r="IB21" s="692"/>
      <c r="IC21" s="692"/>
      <c r="ID21" s="692"/>
      <c r="IE21" s="692"/>
    </row>
    <row r="22" spans="1:239" customHeight="1" ht="17.4" s="701" customFormat="1">
      <c r="A22" s="702"/>
      <c r="B22" s="703"/>
      <c r="C22" s="703" t="s">
        <v>301</v>
      </c>
      <c r="D22" s="704"/>
      <c r="E22" s="704"/>
      <c r="F22" s="726">
        <f>SUM(G22:R22)</f>
        <v>0</v>
      </c>
      <c r="G22" s="706">
        <v>0</v>
      </c>
      <c r="H22" s="706">
        <v>0</v>
      </c>
      <c r="I22" s="706">
        <v>0</v>
      </c>
      <c r="J22" s="706">
        <v>0</v>
      </c>
      <c r="K22" s="706">
        <v>0</v>
      </c>
      <c r="L22" s="706">
        <v>0</v>
      </c>
      <c r="M22" s="706">
        <v>0</v>
      </c>
      <c r="N22" s="706">
        <v>0</v>
      </c>
      <c r="O22" s="706">
        <v>0</v>
      </c>
      <c r="P22" s="706">
        <v>0</v>
      </c>
      <c r="Q22" s="707">
        <v>0</v>
      </c>
      <c r="R22" s="706">
        <v>0</v>
      </c>
      <c r="S22" s="692"/>
      <c r="T22" s="692"/>
      <c r="U22" s="692"/>
      <c r="V22" s="692"/>
      <c r="W22" s="692"/>
      <c r="X22" s="692"/>
      <c r="Y22" s="692"/>
      <c r="Z22" s="692"/>
      <c r="AA22" s="692"/>
      <c r="AB22" s="692"/>
      <c r="AC22" s="692"/>
      <c r="AD22" s="692"/>
      <c r="AE22" s="692"/>
      <c r="AF22" s="692"/>
      <c r="AG22" s="692"/>
      <c r="AH22" s="692"/>
      <c r="AI22" s="692"/>
      <c r="AJ22" s="692"/>
      <c r="AK22" s="692"/>
      <c r="AL22" s="692"/>
      <c r="AM22" s="692"/>
      <c r="AN22" s="692"/>
      <c r="AO22" s="692"/>
      <c r="AP22" s="692"/>
      <c r="AQ22" s="692"/>
      <c r="AR22" s="692"/>
      <c r="AS22" s="692"/>
      <c r="AT22" s="692"/>
      <c r="AU22" s="692"/>
      <c r="AV22" s="692"/>
      <c r="AW22" s="692"/>
      <c r="AX22" s="692"/>
      <c r="AY22" s="692"/>
      <c r="AZ22" s="692"/>
      <c r="BA22" s="692"/>
      <c r="BB22" s="692"/>
      <c r="BC22" s="692"/>
      <c r="BD22" s="692"/>
      <c r="BE22" s="692"/>
      <c r="BF22" s="692"/>
      <c r="BG22" s="692"/>
      <c r="BH22" s="692"/>
      <c r="BI22" s="692"/>
      <c r="BJ22" s="692"/>
      <c r="BK22" s="692"/>
      <c r="BL22" s="692"/>
      <c r="BM22" s="692"/>
      <c r="BN22" s="692"/>
      <c r="BO22" s="692"/>
      <c r="BP22" s="692"/>
      <c r="BQ22" s="692"/>
      <c r="BR22" s="692"/>
      <c r="BS22" s="692"/>
      <c r="BT22" s="692"/>
      <c r="BU22" s="692"/>
      <c r="BV22" s="692"/>
      <c r="BW22" s="692"/>
      <c r="BX22" s="692"/>
      <c r="BY22" s="692"/>
      <c r="BZ22" s="692"/>
      <c r="CA22" s="692"/>
      <c r="CB22" s="692"/>
      <c r="CC22" s="692"/>
      <c r="CD22" s="692"/>
      <c r="CE22" s="692"/>
      <c r="CF22" s="692"/>
      <c r="CG22" s="692"/>
      <c r="CH22" s="692"/>
      <c r="CI22" s="692"/>
      <c r="CJ22" s="692"/>
      <c r="CK22" s="692"/>
      <c r="CL22" s="692"/>
      <c r="CM22" s="692"/>
      <c r="CN22" s="692"/>
      <c r="CO22" s="692"/>
      <c r="CP22" s="692"/>
      <c r="CQ22" s="692"/>
      <c r="CR22" s="692"/>
      <c r="CS22" s="692"/>
      <c r="CT22" s="692"/>
      <c r="CU22" s="692"/>
      <c r="CV22" s="692"/>
      <c r="CW22" s="692"/>
      <c r="CX22" s="692"/>
      <c r="CY22" s="692"/>
      <c r="CZ22" s="692"/>
      <c r="DA22" s="692"/>
      <c r="DB22" s="692"/>
      <c r="DC22" s="692"/>
      <c r="DD22" s="692"/>
      <c r="DE22" s="692"/>
      <c r="DF22" s="692"/>
      <c r="DG22" s="692"/>
      <c r="DH22" s="692"/>
      <c r="DI22" s="692"/>
      <c r="DJ22" s="692"/>
      <c r="DK22" s="692"/>
      <c r="DL22" s="692"/>
      <c r="DM22" s="692"/>
      <c r="DN22" s="692"/>
      <c r="DO22" s="692"/>
      <c r="DP22" s="692"/>
      <c r="DQ22" s="692"/>
      <c r="DR22" s="692"/>
      <c r="DS22" s="692"/>
      <c r="DT22" s="692"/>
      <c r="DU22" s="692"/>
      <c r="DV22" s="692"/>
      <c r="DW22" s="692"/>
      <c r="DX22" s="692"/>
      <c r="DY22" s="692"/>
      <c r="DZ22" s="692"/>
      <c r="EA22" s="692"/>
      <c r="EB22" s="692"/>
      <c r="EC22" s="692"/>
      <c r="ED22" s="692"/>
      <c r="EE22" s="692"/>
      <c r="EF22" s="692"/>
      <c r="EG22" s="692"/>
      <c r="EH22" s="692"/>
      <c r="EI22" s="692"/>
      <c r="EJ22" s="692"/>
      <c r="EK22" s="692"/>
      <c r="EL22" s="692"/>
      <c r="EM22" s="692"/>
      <c r="EN22" s="692"/>
      <c r="EO22" s="692"/>
      <c r="EP22" s="692"/>
      <c r="EQ22" s="692"/>
      <c r="ER22" s="692"/>
      <c r="ES22" s="692"/>
      <c r="ET22" s="692"/>
      <c r="EU22" s="692"/>
      <c r="EV22" s="692"/>
      <c r="EW22" s="692"/>
      <c r="EX22" s="692"/>
      <c r="EY22" s="692"/>
      <c r="EZ22" s="692"/>
      <c r="FA22" s="692"/>
      <c r="FB22" s="692"/>
      <c r="FC22" s="692"/>
      <c r="FD22" s="692"/>
      <c r="FE22" s="692"/>
      <c r="FF22" s="692"/>
      <c r="FG22" s="692"/>
      <c r="FH22" s="692"/>
      <c r="FI22" s="692"/>
      <c r="FJ22" s="692"/>
      <c r="FK22" s="692"/>
      <c r="FL22" s="692"/>
      <c r="FM22" s="692"/>
      <c r="FN22" s="692"/>
      <c r="FO22" s="692"/>
      <c r="FP22" s="692"/>
      <c r="FQ22" s="692"/>
      <c r="FR22" s="692"/>
      <c r="FS22" s="692"/>
      <c r="FT22" s="692"/>
      <c r="FU22" s="692"/>
      <c r="FV22" s="692"/>
      <c r="FW22" s="692"/>
      <c r="FX22" s="692"/>
      <c r="FY22" s="692"/>
      <c r="FZ22" s="692"/>
      <c r="GA22" s="692"/>
      <c r="GB22" s="692"/>
      <c r="GC22" s="692"/>
      <c r="GD22" s="692"/>
      <c r="GE22" s="692"/>
      <c r="GF22" s="692"/>
      <c r="GG22" s="692"/>
      <c r="GH22" s="692"/>
      <c r="GI22" s="692"/>
      <c r="GJ22" s="692"/>
      <c r="GK22" s="692"/>
      <c r="GL22" s="692"/>
      <c r="GM22" s="692"/>
      <c r="GN22" s="692"/>
      <c r="GO22" s="692"/>
      <c r="GP22" s="692"/>
      <c r="GQ22" s="692"/>
      <c r="GR22" s="692"/>
      <c r="GS22" s="692"/>
      <c r="GT22" s="692"/>
      <c r="GU22" s="692"/>
      <c r="GV22" s="692"/>
      <c r="GW22" s="692"/>
      <c r="GX22" s="692"/>
      <c r="GY22" s="692"/>
      <c r="GZ22" s="692"/>
      <c r="HA22" s="692"/>
      <c r="HB22" s="692"/>
      <c r="HC22" s="692"/>
      <c r="HD22" s="692"/>
      <c r="HE22" s="692"/>
      <c r="HF22" s="692"/>
      <c r="HG22" s="692"/>
      <c r="HH22" s="692"/>
      <c r="HI22" s="692"/>
      <c r="HJ22" s="692"/>
      <c r="HK22" s="692"/>
      <c r="HL22" s="692"/>
      <c r="HM22" s="692"/>
      <c r="HN22" s="692"/>
      <c r="HO22" s="692"/>
      <c r="HP22" s="692"/>
      <c r="HQ22" s="692"/>
      <c r="HR22" s="692"/>
      <c r="HS22" s="692"/>
      <c r="HT22" s="692"/>
      <c r="HU22" s="692"/>
      <c r="HV22" s="692"/>
      <c r="HW22" s="692"/>
      <c r="HX22" s="692"/>
      <c r="HY22" s="692"/>
      <c r="HZ22" s="692"/>
      <c r="IA22" s="692"/>
      <c r="IB22" s="692"/>
      <c r="IC22" s="692"/>
      <c r="ID22" s="692"/>
      <c r="IE22" s="692"/>
    </row>
    <row r="23" spans="1:239" customHeight="1" ht="17.4" s="701" customFormat="1">
      <c r="A23" s="702" t="s">
        <v>314</v>
      </c>
      <c r="B23" s="703" t="s">
        <v>308</v>
      </c>
      <c r="C23" s="703" t="s">
        <v>284</v>
      </c>
      <c r="D23" s="704" t="s">
        <v>309</v>
      </c>
      <c r="E23" s="704" t="s">
        <v>310</v>
      </c>
      <c r="F23" s="726">
        <f>SUM(G23:R23)</f>
        <v>483.56999999999999</v>
      </c>
      <c r="G23" s="706">
        <v>74.87</v>
      </c>
      <c r="H23" s="706">
        <v>105.049999999999997</v>
      </c>
      <c r="I23" s="706">
        <v>0</v>
      </c>
      <c r="J23" s="706">
        <v>0</v>
      </c>
      <c r="K23" s="706">
        <v>56.38</v>
      </c>
      <c r="L23" s="706">
        <v>0</v>
      </c>
      <c r="M23" s="706">
        <v>117.090000000000003</v>
      </c>
      <c r="N23" s="706">
        <v>0</v>
      </c>
      <c r="O23" s="706">
        <v>70.069999999999993</v>
      </c>
      <c r="P23" s="706">
        <v>60.11</v>
      </c>
      <c r="Q23" s="707">
        <v>0</v>
      </c>
      <c r="R23" s="706">
        <v>0</v>
      </c>
      <c r="S23" s="692"/>
      <c r="T23" s="692"/>
      <c r="U23" s="692"/>
      <c r="V23" s="692"/>
      <c r="W23" s="692"/>
      <c r="X23" s="692"/>
      <c r="Y23" s="692"/>
      <c r="Z23" s="692"/>
      <c r="AA23" s="692"/>
      <c r="AB23" s="692"/>
      <c r="AC23" s="692"/>
      <c r="AD23" s="692"/>
      <c r="AE23" s="692"/>
      <c r="AF23" s="692"/>
      <c r="AG23" s="692"/>
      <c r="AH23" s="692"/>
      <c r="AI23" s="692"/>
      <c r="AJ23" s="692"/>
      <c r="AK23" s="692"/>
      <c r="AL23" s="692"/>
      <c r="AM23" s="692"/>
      <c r="AN23" s="692"/>
      <c r="AO23" s="692"/>
      <c r="AP23" s="692"/>
      <c r="AQ23" s="692"/>
      <c r="AR23" s="692"/>
      <c r="AS23" s="692"/>
      <c r="AT23" s="692"/>
      <c r="AU23" s="692"/>
      <c r="AV23" s="692"/>
      <c r="AW23" s="692"/>
      <c r="AX23" s="692"/>
      <c r="AY23" s="692"/>
      <c r="AZ23" s="692"/>
      <c r="BA23" s="692"/>
      <c r="BB23" s="692"/>
      <c r="BC23" s="692"/>
      <c r="BD23" s="692"/>
      <c r="BE23" s="692"/>
      <c r="BF23" s="692"/>
      <c r="BG23" s="692"/>
      <c r="BH23" s="692"/>
      <c r="BI23" s="692"/>
      <c r="BJ23" s="692"/>
      <c r="BK23" s="692"/>
      <c r="BL23" s="692"/>
      <c r="BM23" s="692"/>
      <c r="BN23" s="692"/>
      <c r="BO23" s="692"/>
      <c r="BP23" s="692"/>
      <c r="BQ23" s="692"/>
      <c r="BR23" s="692"/>
      <c r="BS23" s="692"/>
      <c r="BT23" s="692"/>
      <c r="BU23" s="692"/>
      <c r="BV23" s="692"/>
      <c r="BW23" s="692"/>
      <c r="BX23" s="692"/>
      <c r="BY23" s="692"/>
      <c r="BZ23" s="692"/>
      <c r="CA23" s="692"/>
      <c r="CB23" s="692"/>
      <c r="CC23" s="692"/>
      <c r="CD23" s="692"/>
      <c r="CE23" s="692"/>
      <c r="CF23" s="692"/>
      <c r="CG23" s="692"/>
      <c r="CH23" s="692"/>
      <c r="CI23" s="692"/>
      <c r="CJ23" s="692"/>
      <c r="CK23" s="692"/>
      <c r="CL23" s="692"/>
      <c r="CM23" s="692"/>
      <c r="CN23" s="692"/>
      <c r="CO23" s="692"/>
      <c r="CP23" s="692"/>
      <c r="CQ23" s="692"/>
      <c r="CR23" s="692"/>
      <c r="CS23" s="692"/>
      <c r="CT23" s="692"/>
      <c r="CU23" s="692"/>
      <c r="CV23" s="692"/>
      <c r="CW23" s="692"/>
      <c r="CX23" s="692"/>
      <c r="CY23" s="692"/>
      <c r="CZ23" s="692"/>
      <c r="DA23" s="692"/>
      <c r="DB23" s="692"/>
      <c r="DC23" s="692"/>
      <c r="DD23" s="692"/>
      <c r="DE23" s="692"/>
      <c r="DF23" s="692"/>
      <c r="DG23" s="692"/>
      <c r="DH23" s="692"/>
      <c r="DI23" s="692"/>
      <c r="DJ23" s="692"/>
      <c r="DK23" s="692"/>
      <c r="DL23" s="692"/>
      <c r="DM23" s="692"/>
      <c r="DN23" s="692"/>
      <c r="DO23" s="692"/>
      <c r="DP23" s="692"/>
      <c r="DQ23" s="692"/>
      <c r="DR23" s="692"/>
      <c r="DS23" s="692"/>
      <c r="DT23" s="692"/>
      <c r="DU23" s="692"/>
      <c r="DV23" s="692"/>
      <c r="DW23" s="692"/>
      <c r="DX23" s="692"/>
      <c r="DY23" s="692"/>
      <c r="DZ23" s="692"/>
      <c r="EA23" s="692"/>
      <c r="EB23" s="692"/>
      <c r="EC23" s="692"/>
      <c r="ED23" s="692"/>
      <c r="EE23" s="692"/>
      <c r="EF23" s="692"/>
      <c r="EG23" s="692"/>
      <c r="EH23" s="692"/>
      <c r="EI23" s="692"/>
      <c r="EJ23" s="692"/>
      <c r="EK23" s="692"/>
      <c r="EL23" s="692"/>
      <c r="EM23" s="692"/>
      <c r="EN23" s="692"/>
      <c r="EO23" s="692"/>
      <c r="EP23" s="692"/>
      <c r="EQ23" s="692"/>
      <c r="ER23" s="692"/>
      <c r="ES23" s="692"/>
      <c r="ET23" s="692"/>
      <c r="EU23" s="692"/>
      <c r="EV23" s="692"/>
      <c r="EW23" s="692"/>
      <c r="EX23" s="692"/>
      <c r="EY23" s="692"/>
      <c r="EZ23" s="692"/>
      <c r="FA23" s="692"/>
      <c r="FB23" s="692"/>
      <c r="FC23" s="692"/>
      <c r="FD23" s="692"/>
      <c r="FE23" s="692"/>
      <c r="FF23" s="692"/>
      <c r="FG23" s="692"/>
      <c r="FH23" s="692"/>
      <c r="FI23" s="692"/>
      <c r="FJ23" s="692"/>
      <c r="FK23" s="692"/>
      <c r="FL23" s="692"/>
      <c r="FM23" s="692"/>
      <c r="FN23" s="692"/>
      <c r="FO23" s="692"/>
      <c r="FP23" s="692"/>
      <c r="FQ23" s="692"/>
      <c r="FR23" s="692"/>
      <c r="FS23" s="692"/>
      <c r="FT23" s="692"/>
      <c r="FU23" s="692"/>
      <c r="FV23" s="692"/>
      <c r="FW23" s="692"/>
      <c r="FX23" s="692"/>
      <c r="FY23" s="692"/>
      <c r="FZ23" s="692"/>
      <c r="GA23" s="692"/>
      <c r="GB23" s="692"/>
      <c r="GC23" s="692"/>
      <c r="GD23" s="692"/>
      <c r="GE23" s="692"/>
      <c r="GF23" s="692"/>
      <c r="GG23" s="692"/>
      <c r="GH23" s="692"/>
      <c r="GI23" s="692"/>
      <c r="GJ23" s="692"/>
      <c r="GK23" s="692"/>
      <c r="GL23" s="692"/>
      <c r="GM23" s="692"/>
      <c r="GN23" s="692"/>
      <c r="GO23" s="692"/>
      <c r="GP23" s="692"/>
      <c r="GQ23" s="692"/>
      <c r="GR23" s="692"/>
      <c r="GS23" s="692"/>
      <c r="GT23" s="692"/>
      <c r="GU23" s="692"/>
      <c r="GV23" s="692"/>
      <c r="GW23" s="692"/>
      <c r="GX23" s="692"/>
      <c r="GY23" s="692"/>
      <c r="GZ23" s="692"/>
      <c r="HA23" s="692"/>
      <c r="HB23" s="692"/>
      <c r="HC23" s="692"/>
      <c r="HD23" s="692"/>
      <c r="HE23" s="692"/>
      <c r="HF23" s="692"/>
      <c r="HG23" s="692"/>
      <c r="HH23" s="692"/>
      <c r="HI23" s="692"/>
      <c r="HJ23" s="692"/>
      <c r="HK23" s="692"/>
      <c r="HL23" s="692"/>
      <c r="HM23" s="692"/>
      <c r="HN23" s="692"/>
      <c r="HO23" s="692"/>
      <c r="HP23" s="692"/>
      <c r="HQ23" s="692"/>
      <c r="HR23" s="692"/>
      <c r="HS23" s="692"/>
      <c r="HT23" s="692"/>
      <c r="HU23" s="692"/>
      <c r="HV23" s="692"/>
      <c r="HW23" s="692"/>
      <c r="HX23" s="692"/>
      <c r="HY23" s="692"/>
      <c r="HZ23" s="692"/>
      <c r="IA23" s="692"/>
      <c r="IB23" s="692"/>
      <c r="IC23" s="692"/>
      <c r="ID23" s="692"/>
      <c r="IE23" s="692"/>
    </row>
    <row r="24" spans="1:239" customHeight="1" ht="17.4" s="701" customFormat="1">
      <c r="A24" s="702"/>
      <c r="B24" s="703"/>
      <c r="C24" s="703" t="s">
        <v>301</v>
      </c>
      <c r="D24" s="704"/>
      <c r="E24" s="704"/>
      <c r="F24" s="726">
        <f>SUM(G24:R24)</f>
        <v>0</v>
      </c>
      <c r="G24" s="706">
        <v>0</v>
      </c>
      <c r="H24" s="706">
        <v>0</v>
      </c>
      <c r="I24" s="706">
        <v>0</v>
      </c>
      <c r="J24" s="706"/>
      <c r="K24" s="706">
        <v>0</v>
      </c>
      <c r="L24" s="706"/>
      <c r="M24" s="706">
        <v>0</v>
      </c>
      <c r="N24" s="706">
        <v>0</v>
      </c>
      <c r="O24" s="706">
        <v>0</v>
      </c>
      <c r="P24" s="706"/>
      <c r="Q24" s="707"/>
      <c r="R24" s="706"/>
      <c r="S24" s="692"/>
      <c r="T24" s="692"/>
      <c r="U24" s="692"/>
      <c r="V24" s="692"/>
      <c r="W24" s="692"/>
      <c r="X24" s="692"/>
      <c r="Y24" s="692"/>
      <c r="Z24" s="692"/>
      <c r="AA24" s="692"/>
      <c r="AB24" s="692"/>
      <c r="AC24" s="692"/>
      <c r="AD24" s="692"/>
      <c r="AE24" s="692"/>
      <c r="AF24" s="692"/>
      <c r="AG24" s="692"/>
      <c r="AH24" s="692"/>
      <c r="AI24" s="692"/>
      <c r="AJ24" s="692"/>
      <c r="AK24" s="692"/>
      <c r="AL24" s="692"/>
      <c r="AM24" s="692"/>
      <c r="AN24" s="692"/>
      <c r="AO24" s="692"/>
      <c r="AP24" s="692"/>
      <c r="AQ24" s="692"/>
      <c r="AR24" s="692"/>
      <c r="AS24" s="692"/>
      <c r="AT24" s="692"/>
      <c r="AU24" s="692"/>
      <c r="AV24" s="692"/>
      <c r="AW24" s="692"/>
      <c r="AX24" s="692"/>
      <c r="AY24" s="692"/>
      <c r="AZ24" s="692"/>
      <c r="BA24" s="692"/>
      <c r="BB24" s="692"/>
      <c r="BC24" s="692"/>
      <c r="BD24" s="692"/>
      <c r="BE24" s="692"/>
      <c r="BF24" s="692"/>
      <c r="BG24" s="692"/>
      <c r="BH24" s="692"/>
      <c r="BI24" s="692"/>
      <c r="BJ24" s="692"/>
      <c r="BK24" s="692"/>
      <c r="BL24" s="692"/>
      <c r="BM24" s="692"/>
      <c r="BN24" s="692"/>
      <c r="BO24" s="692"/>
      <c r="BP24" s="692"/>
      <c r="BQ24" s="692"/>
      <c r="BR24" s="692"/>
      <c r="BS24" s="692"/>
      <c r="BT24" s="692"/>
      <c r="BU24" s="692"/>
      <c r="BV24" s="692"/>
      <c r="BW24" s="692"/>
      <c r="BX24" s="692"/>
      <c r="BY24" s="692"/>
      <c r="BZ24" s="692"/>
      <c r="CA24" s="692"/>
      <c r="CB24" s="692"/>
      <c r="CC24" s="692"/>
      <c r="CD24" s="692"/>
      <c r="CE24" s="692"/>
      <c r="CF24" s="692"/>
      <c r="CG24" s="692"/>
      <c r="CH24" s="692"/>
      <c r="CI24" s="692"/>
      <c r="CJ24" s="692"/>
      <c r="CK24" s="692"/>
      <c r="CL24" s="692"/>
      <c r="CM24" s="692"/>
      <c r="CN24" s="692"/>
      <c r="CO24" s="692"/>
      <c r="CP24" s="692"/>
      <c r="CQ24" s="692"/>
      <c r="CR24" s="692"/>
      <c r="CS24" s="692"/>
      <c r="CT24" s="692"/>
      <c r="CU24" s="692"/>
      <c r="CV24" s="692"/>
      <c r="CW24" s="692"/>
      <c r="CX24" s="692"/>
      <c r="CY24" s="692"/>
      <c r="CZ24" s="692"/>
      <c r="DA24" s="692"/>
      <c r="DB24" s="692"/>
      <c r="DC24" s="692"/>
      <c r="DD24" s="692"/>
      <c r="DE24" s="692"/>
      <c r="DF24" s="692"/>
      <c r="DG24" s="692"/>
      <c r="DH24" s="692"/>
      <c r="DI24" s="692"/>
      <c r="DJ24" s="692"/>
      <c r="DK24" s="692"/>
      <c r="DL24" s="692"/>
      <c r="DM24" s="692"/>
      <c r="DN24" s="692"/>
      <c r="DO24" s="692"/>
      <c r="DP24" s="692"/>
      <c r="DQ24" s="692"/>
      <c r="DR24" s="692"/>
      <c r="DS24" s="692"/>
      <c r="DT24" s="692"/>
      <c r="DU24" s="692"/>
      <c r="DV24" s="692"/>
      <c r="DW24" s="692"/>
      <c r="DX24" s="692"/>
      <c r="DY24" s="692"/>
      <c r="DZ24" s="692"/>
      <c r="EA24" s="692"/>
      <c r="EB24" s="692"/>
      <c r="EC24" s="692"/>
      <c r="ED24" s="692"/>
      <c r="EE24" s="692"/>
      <c r="EF24" s="692"/>
      <c r="EG24" s="692"/>
      <c r="EH24" s="692"/>
      <c r="EI24" s="692"/>
      <c r="EJ24" s="692"/>
      <c r="EK24" s="692"/>
      <c r="EL24" s="692"/>
      <c r="EM24" s="692"/>
      <c r="EN24" s="692"/>
      <c r="EO24" s="692"/>
      <c r="EP24" s="692"/>
      <c r="EQ24" s="692"/>
      <c r="ER24" s="692"/>
      <c r="ES24" s="692"/>
      <c r="ET24" s="692"/>
      <c r="EU24" s="692"/>
      <c r="EV24" s="692"/>
      <c r="EW24" s="692"/>
      <c r="EX24" s="692"/>
      <c r="EY24" s="692"/>
      <c r="EZ24" s="692"/>
      <c r="FA24" s="692"/>
      <c r="FB24" s="692"/>
      <c r="FC24" s="692"/>
      <c r="FD24" s="692"/>
      <c r="FE24" s="692"/>
      <c r="FF24" s="692"/>
      <c r="FG24" s="692"/>
      <c r="FH24" s="692"/>
      <c r="FI24" s="692"/>
      <c r="FJ24" s="692"/>
      <c r="FK24" s="692"/>
      <c r="FL24" s="692"/>
      <c r="FM24" s="692"/>
      <c r="FN24" s="692"/>
      <c r="FO24" s="692"/>
      <c r="FP24" s="692"/>
      <c r="FQ24" s="692"/>
      <c r="FR24" s="692"/>
      <c r="FS24" s="692"/>
      <c r="FT24" s="692"/>
      <c r="FU24" s="692"/>
      <c r="FV24" s="692"/>
      <c r="FW24" s="692"/>
      <c r="FX24" s="692"/>
      <c r="FY24" s="692"/>
      <c r="FZ24" s="692"/>
      <c r="GA24" s="692"/>
      <c r="GB24" s="692"/>
      <c r="GC24" s="692"/>
      <c r="GD24" s="692"/>
      <c r="GE24" s="692"/>
      <c r="GF24" s="692"/>
      <c r="GG24" s="692"/>
      <c r="GH24" s="692"/>
      <c r="GI24" s="692"/>
      <c r="GJ24" s="692"/>
      <c r="GK24" s="692"/>
      <c r="GL24" s="692"/>
      <c r="GM24" s="692"/>
      <c r="GN24" s="692"/>
      <c r="GO24" s="692"/>
      <c r="GP24" s="692"/>
      <c r="GQ24" s="692"/>
      <c r="GR24" s="692"/>
      <c r="GS24" s="692"/>
      <c r="GT24" s="692"/>
      <c r="GU24" s="692"/>
      <c r="GV24" s="692"/>
      <c r="GW24" s="692"/>
      <c r="GX24" s="692"/>
      <c r="GY24" s="692"/>
      <c r="GZ24" s="692"/>
      <c r="HA24" s="692"/>
      <c r="HB24" s="692"/>
      <c r="HC24" s="692"/>
      <c r="HD24" s="692"/>
      <c r="HE24" s="692"/>
      <c r="HF24" s="692"/>
      <c r="HG24" s="692"/>
      <c r="HH24" s="692"/>
      <c r="HI24" s="692"/>
      <c r="HJ24" s="692"/>
      <c r="HK24" s="692"/>
      <c r="HL24" s="692"/>
      <c r="HM24" s="692"/>
      <c r="HN24" s="692"/>
      <c r="HO24" s="692"/>
      <c r="HP24" s="692"/>
      <c r="HQ24" s="692"/>
      <c r="HR24" s="692"/>
      <c r="HS24" s="692"/>
      <c r="HT24" s="692"/>
      <c r="HU24" s="692"/>
      <c r="HV24" s="692"/>
      <c r="HW24" s="692"/>
      <c r="HX24" s="692"/>
      <c r="HY24" s="692"/>
      <c r="HZ24" s="692"/>
      <c r="IA24" s="692"/>
      <c r="IB24" s="692"/>
      <c r="IC24" s="692"/>
      <c r="ID24" s="692"/>
      <c r="IE24" s="692"/>
    </row>
    <row r="25" spans="1:239" customHeight="1" ht="17.4" s="701" customFormat="1">
      <c r="A25" s="702" t="s">
        <v>315</v>
      </c>
      <c r="B25" s="703" t="s">
        <v>316</v>
      </c>
      <c r="C25" s="703" t="s">
        <v>284</v>
      </c>
      <c r="D25" s="704" t="s">
        <v>309</v>
      </c>
      <c r="E25" s="704" t="s">
        <v>310</v>
      </c>
      <c r="F25" s="726">
        <f>SUM(G25:R25)</f>
        <v>607.20999999999992</v>
      </c>
      <c r="G25" s="706">
        <v>213.49000000000001</v>
      </c>
      <c r="H25" s="706">
        <v>171.41999999999999</v>
      </c>
      <c r="I25" s="706">
        <v>171.50999999999999</v>
      </c>
      <c r="J25" s="706">
        <v>50.79</v>
      </c>
      <c r="K25" s="706">
        <v>0</v>
      </c>
      <c r="L25" s="706">
        <v>0</v>
      </c>
      <c r="M25" s="706">
        <v>0</v>
      </c>
      <c r="N25" s="706">
        <v>0</v>
      </c>
      <c r="O25" s="706">
        <v>0</v>
      </c>
      <c r="P25" s="706">
        <v>0</v>
      </c>
      <c r="Q25" s="707">
        <v>0</v>
      </c>
      <c r="R25" s="706">
        <v>0</v>
      </c>
      <c r="S25" s="692"/>
      <c r="T25" s="692"/>
      <c r="U25" s="692"/>
      <c r="V25" s="692"/>
      <c r="W25" s="692"/>
      <c r="X25" s="692"/>
      <c r="Y25" s="692"/>
      <c r="Z25" s="692"/>
      <c r="AA25" s="692"/>
      <c r="AB25" s="692"/>
      <c r="AC25" s="692"/>
      <c r="AD25" s="692"/>
      <c r="AE25" s="692"/>
      <c r="AF25" s="692"/>
      <c r="AG25" s="692"/>
      <c r="AH25" s="692"/>
      <c r="AI25" s="692"/>
      <c r="AJ25" s="692"/>
      <c r="AK25" s="692"/>
      <c r="AL25" s="692"/>
      <c r="AM25" s="692"/>
      <c r="AN25" s="692"/>
      <c r="AO25" s="692"/>
      <c r="AP25" s="692"/>
      <c r="AQ25" s="692"/>
      <c r="AR25" s="692"/>
      <c r="AS25" s="692"/>
      <c r="AT25" s="692"/>
      <c r="AU25" s="692"/>
      <c r="AV25" s="692"/>
      <c r="AW25" s="692"/>
      <c r="AX25" s="692"/>
      <c r="AY25" s="692"/>
      <c r="AZ25" s="692"/>
      <c r="BA25" s="692"/>
      <c r="BB25" s="692"/>
      <c r="BC25" s="692"/>
      <c r="BD25" s="692"/>
      <c r="BE25" s="692"/>
      <c r="BF25" s="692"/>
      <c r="BG25" s="692"/>
      <c r="BH25" s="692"/>
      <c r="BI25" s="692"/>
      <c r="BJ25" s="692"/>
      <c r="BK25" s="692"/>
      <c r="BL25" s="692"/>
      <c r="BM25" s="692"/>
      <c r="BN25" s="692"/>
      <c r="BO25" s="692"/>
      <c r="BP25" s="692"/>
      <c r="BQ25" s="692"/>
      <c r="BR25" s="692"/>
      <c r="BS25" s="692"/>
      <c r="BT25" s="692"/>
      <c r="BU25" s="692"/>
      <c r="BV25" s="692"/>
      <c r="BW25" s="692"/>
      <c r="BX25" s="692"/>
      <c r="BY25" s="692"/>
      <c r="BZ25" s="692"/>
      <c r="CA25" s="692"/>
      <c r="CB25" s="692"/>
      <c r="CC25" s="692"/>
      <c r="CD25" s="692"/>
      <c r="CE25" s="692"/>
      <c r="CF25" s="692"/>
      <c r="CG25" s="692"/>
      <c r="CH25" s="692"/>
      <c r="CI25" s="692"/>
      <c r="CJ25" s="692"/>
      <c r="CK25" s="692"/>
      <c r="CL25" s="692"/>
      <c r="CM25" s="692"/>
      <c r="CN25" s="692"/>
      <c r="CO25" s="692"/>
      <c r="CP25" s="692"/>
      <c r="CQ25" s="692"/>
      <c r="CR25" s="692"/>
      <c r="CS25" s="692"/>
      <c r="CT25" s="692"/>
      <c r="CU25" s="692"/>
      <c r="CV25" s="692"/>
      <c r="CW25" s="692"/>
      <c r="CX25" s="692"/>
      <c r="CY25" s="692"/>
      <c r="CZ25" s="692"/>
      <c r="DA25" s="692"/>
      <c r="DB25" s="692"/>
      <c r="DC25" s="692"/>
      <c r="DD25" s="692"/>
      <c r="DE25" s="692"/>
      <c r="DF25" s="692"/>
      <c r="DG25" s="692"/>
      <c r="DH25" s="692"/>
      <c r="DI25" s="692"/>
      <c r="DJ25" s="692"/>
      <c r="DK25" s="692"/>
      <c r="DL25" s="692"/>
      <c r="DM25" s="692"/>
      <c r="DN25" s="692"/>
      <c r="DO25" s="692"/>
      <c r="DP25" s="692"/>
      <c r="DQ25" s="692"/>
      <c r="DR25" s="692"/>
      <c r="DS25" s="692"/>
      <c r="DT25" s="692"/>
      <c r="DU25" s="692"/>
      <c r="DV25" s="692"/>
      <c r="DW25" s="692"/>
      <c r="DX25" s="692"/>
      <c r="DY25" s="692"/>
      <c r="DZ25" s="692"/>
      <c r="EA25" s="692"/>
      <c r="EB25" s="692"/>
      <c r="EC25" s="692"/>
      <c r="ED25" s="692"/>
      <c r="EE25" s="692"/>
      <c r="EF25" s="692"/>
      <c r="EG25" s="692"/>
      <c r="EH25" s="692"/>
      <c r="EI25" s="692"/>
      <c r="EJ25" s="692"/>
      <c r="EK25" s="692"/>
      <c r="EL25" s="692"/>
      <c r="EM25" s="692"/>
      <c r="EN25" s="692"/>
      <c r="EO25" s="692"/>
      <c r="EP25" s="692"/>
      <c r="EQ25" s="692"/>
      <c r="ER25" s="692"/>
      <c r="ES25" s="692"/>
      <c r="ET25" s="692"/>
      <c r="EU25" s="692"/>
      <c r="EV25" s="692"/>
      <c r="EW25" s="692"/>
      <c r="EX25" s="692"/>
      <c r="EY25" s="692"/>
      <c r="EZ25" s="692"/>
      <c r="FA25" s="692"/>
      <c r="FB25" s="692"/>
      <c r="FC25" s="692"/>
      <c r="FD25" s="692"/>
      <c r="FE25" s="692"/>
      <c r="FF25" s="692"/>
      <c r="FG25" s="692"/>
      <c r="FH25" s="692"/>
      <c r="FI25" s="692"/>
      <c r="FJ25" s="692"/>
      <c r="FK25" s="692"/>
      <c r="FL25" s="692"/>
      <c r="FM25" s="692"/>
      <c r="FN25" s="692"/>
      <c r="FO25" s="692"/>
      <c r="FP25" s="692"/>
      <c r="FQ25" s="692"/>
      <c r="FR25" s="692"/>
      <c r="FS25" s="692"/>
      <c r="FT25" s="692"/>
      <c r="FU25" s="692"/>
      <c r="FV25" s="692"/>
      <c r="FW25" s="692"/>
      <c r="FX25" s="692"/>
      <c r="FY25" s="692"/>
      <c r="FZ25" s="692"/>
      <c r="GA25" s="692"/>
      <c r="GB25" s="692"/>
      <c r="GC25" s="692"/>
      <c r="GD25" s="692"/>
      <c r="GE25" s="692"/>
      <c r="GF25" s="692"/>
      <c r="GG25" s="692"/>
      <c r="GH25" s="692"/>
      <c r="GI25" s="692"/>
      <c r="GJ25" s="692"/>
      <c r="GK25" s="692"/>
      <c r="GL25" s="692"/>
      <c r="GM25" s="692"/>
      <c r="GN25" s="692"/>
      <c r="GO25" s="692"/>
      <c r="GP25" s="692"/>
      <c r="GQ25" s="692"/>
      <c r="GR25" s="692"/>
      <c r="GS25" s="692"/>
      <c r="GT25" s="692"/>
      <c r="GU25" s="692"/>
      <c r="GV25" s="692"/>
      <c r="GW25" s="692"/>
      <c r="GX25" s="692"/>
      <c r="GY25" s="692"/>
      <c r="GZ25" s="692"/>
      <c r="HA25" s="692"/>
      <c r="HB25" s="692"/>
      <c r="HC25" s="692"/>
      <c r="HD25" s="692"/>
      <c r="HE25" s="692"/>
      <c r="HF25" s="692"/>
      <c r="HG25" s="692"/>
      <c r="HH25" s="692"/>
      <c r="HI25" s="692"/>
      <c r="HJ25" s="692"/>
      <c r="HK25" s="692"/>
      <c r="HL25" s="692"/>
      <c r="HM25" s="692"/>
      <c r="HN25" s="692"/>
      <c r="HO25" s="692"/>
      <c r="HP25" s="692"/>
      <c r="HQ25" s="692"/>
      <c r="HR25" s="692"/>
      <c r="HS25" s="692"/>
      <c r="HT25" s="692"/>
      <c r="HU25" s="692"/>
      <c r="HV25" s="692"/>
      <c r="HW25" s="692"/>
      <c r="HX25" s="692"/>
      <c r="HY25" s="692"/>
      <c r="HZ25" s="692"/>
      <c r="IA25" s="692"/>
      <c r="IB25" s="692"/>
      <c r="IC25" s="692"/>
      <c r="ID25" s="692"/>
      <c r="IE25" s="692"/>
    </row>
    <row r="26" spans="1:239" customHeight="1" ht="17.4" s="701" customFormat="1">
      <c r="A26" s="702"/>
      <c r="B26" s="703"/>
      <c r="C26" s="703" t="s">
        <v>301</v>
      </c>
      <c r="D26" s="704"/>
      <c r="E26" s="704"/>
      <c r="F26" s="726">
        <f>SUM(G26:R26)</f>
        <v>0</v>
      </c>
      <c r="G26" s="706">
        <v>0</v>
      </c>
      <c r="H26" s="706">
        <v>0</v>
      </c>
      <c r="I26" s="706">
        <v>0</v>
      </c>
      <c r="J26" s="706">
        <v>0</v>
      </c>
      <c r="K26" s="706">
        <v>0</v>
      </c>
      <c r="L26" s="706">
        <v>0</v>
      </c>
      <c r="M26" s="706">
        <v>0</v>
      </c>
      <c r="N26" s="706">
        <v>0</v>
      </c>
      <c r="O26" s="706">
        <v>0</v>
      </c>
      <c r="P26" s="706">
        <v>0</v>
      </c>
      <c r="Q26" s="707">
        <v>0</v>
      </c>
      <c r="R26" s="706">
        <v>0</v>
      </c>
      <c r="S26" s="692"/>
      <c r="T26" s="692"/>
      <c r="U26" s="692"/>
      <c r="V26" s="692"/>
      <c r="W26" s="692"/>
      <c r="X26" s="692"/>
      <c r="Y26" s="692"/>
      <c r="Z26" s="692"/>
      <c r="AA26" s="692"/>
      <c r="AB26" s="692"/>
      <c r="AC26" s="692"/>
      <c r="AD26" s="692"/>
      <c r="AE26" s="692"/>
      <c r="AF26" s="692"/>
      <c r="AG26" s="692"/>
      <c r="AH26" s="692"/>
      <c r="AI26" s="692"/>
      <c r="AJ26" s="692"/>
      <c r="AK26" s="692"/>
      <c r="AL26" s="692"/>
      <c r="AM26" s="692"/>
      <c r="AN26" s="692"/>
      <c r="AO26" s="692"/>
      <c r="AP26" s="692"/>
      <c r="AQ26" s="692"/>
      <c r="AR26" s="692"/>
      <c r="AS26" s="692"/>
      <c r="AT26" s="692"/>
      <c r="AU26" s="692"/>
      <c r="AV26" s="692"/>
      <c r="AW26" s="692"/>
      <c r="AX26" s="692"/>
      <c r="AY26" s="692"/>
      <c r="AZ26" s="692"/>
      <c r="BA26" s="692"/>
      <c r="BB26" s="692"/>
      <c r="BC26" s="692"/>
      <c r="BD26" s="692"/>
      <c r="BE26" s="692"/>
      <c r="BF26" s="692"/>
      <c r="BG26" s="692"/>
      <c r="BH26" s="692"/>
      <c r="BI26" s="692"/>
      <c r="BJ26" s="692"/>
      <c r="BK26" s="692"/>
      <c r="BL26" s="692"/>
      <c r="BM26" s="692"/>
      <c r="BN26" s="692"/>
      <c r="BO26" s="692"/>
      <c r="BP26" s="692"/>
      <c r="BQ26" s="692"/>
      <c r="BR26" s="692"/>
      <c r="BS26" s="692"/>
      <c r="BT26" s="692"/>
      <c r="BU26" s="692"/>
      <c r="BV26" s="692"/>
      <c r="BW26" s="692"/>
      <c r="BX26" s="692"/>
      <c r="BY26" s="692"/>
      <c r="BZ26" s="692"/>
      <c r="CA26" s="692"/>
      <c r="CB26" s="692"/>
      <c r="CC26" s="692"/>
      <c r="CD26" s="692"/>
      <c r="CE26" s="692"/>
      <c r="CF26" s="692"/>
      <c r="CG26" s="692"/>
      <c r="CH26" s="692"/>
      <c r="CI26" s="692"/>
      <c r="CJ26" s="692"/>
      <c r="CK26" s="692"/>
      <c r="CL26" s="692"/>
      <c r="CM26" s="692"/>
      <c r="CN26" s="692"/>
      <c r="CO26" s="692"/>
      <c r="CP26" s="692"/>
      <c r="CQ26" s="692"/>
      <c r="CR26" s="692"/>
      <c r="CS26" s="692"/>
      <c r="CT26" s="692"/>
      <c r="CU26" s="692"/>
      <c r="CV26" s="692"/>
      <c r="CW26" s="692"/>
      <c r="CX26" s="692"/>
      <c r="CY26" s="692"/>
      <c r="CZ26" s="692"/>
      <c r="DA26" s="692"/>
      <c r="DB26" s="692"/>
      <c r="DC26" s="692"/>
      <c r="DD26" s="692"/>
      <c r="DE26" s="692"/>
      <c r="DF26" s="692"/>
      <c r="DG26" s="692"/>
      <c r="DH26" s="692"/>
      <c r="DI26" s="692"/>
      <c r="DJ26" s="692"/>
      <c r="DK26" s="692"/>
      <c r="DL26" s="692"/>
      <c r="DM26" s="692"/>
      <c r="DN26" s="692"/>
      <c r="DO26" s="692"/>
      <c r="DP26" s="692"/>
      <c r="DQ26" s="692"/>
      <c r="DR26" s="692"/>
      <c r="DS26" s="692"/>
      <c r="DT26" s="692"/>
      <c r="DU26" s="692"/>
      <c r="DV26" s="692"/>
      <c r="DW26" s="692"/>
      <c r="DX26" s="692"/>
      <c r="DY26" s="692"/>
      <c r="DZ26" s="692"/>
      <c r="EA26" s="692"/>
      <c r="EB26" s="692"/>
      <c r="EC26" s="692"/>
      <c r="ED26" s="692"/>
      <c r="EE26" s="692"/>
      <c r="EF26" s="692"/>
      <c r="EG26" s="692"/>
      <c r="EH26" s="692"/>
      <c r="EI26" s="692"/>
      <c r="EJ26" s="692"/>
      <c r="EK26" s="692"/>
      <c r="EL26" s="692"/>
      <c r="EM26" s="692"/>
      <c r="EN26" s="692"/>
      <c r="EO26" s="692"/>
      <c r="EP26" s="692"/>
      <c r="EQ26" s="692"/>
      <c r="ER26" s="692"/>
      <c r="ES26" s="692"/>
      <c r="ET26" s="692"/>
      <c r="EU26" s="692"/>
      <c r="EV26" s="692"/>
      <c r="EW26" s="692"/>
      <c r="EX26" s="692"/>
      <c r="EY26" s="692"/>
      <c r="EZ26" s="692"/>
      <c r="FA26" s="692"/>
      <c r="FB26" s="692"/>
      <c r="FC26" s="692"/>
      <c r="FD26" s="692"/>
      <c r="FE26" s="692"/>
      <c r="FF26" s="692"/>
      <c r="FG26" s="692"/>
      <c r="FH26" s="692"/>
      <c r="FI26" s="692"/>
      <c r="FJ26" s="692"/>
      <c r="FK26" s="692"/>
      <c r="FL26" s="692"/>
      <c r="FM26" s="692"/>
      <c r="FN26" s="692"/>
      <c r="FO26" s="692"/>
      <c r="FP26" s="692"/>
      <c r="FQ26" s="692"/>
      <c r="FR26" s="692"/>
      <c r="FS26" s="692"/>
      <c r="FT26" s="692"/>
      <c r="FU26" s="692"/>
      <c r="FV26" s="692"/>
      <c r="FW26" s="692"/>
      <c r="FX26" s="692"/>
      <c r="FY26" s="692"/>
      <c r="FZ26" s="692"/>
      <c r="GA26" s="692"/>
      <c r="GB26" s="692"/>
      <c r="GC26" s="692"/>
      <c r="GD26" s="692"/>
      <c r="GE26" s="692"/>
      <c r="GF26" s="692"/>
      <c r="GG26" s="692"/>
      <c r="GH26" s="692"/>
      <c r="GI26" s="692"/>
      <c r="GJ26" s="692"/>
      <c r="GK26" s="692"/>
      <c r="GL26" s="692"/>
      <c r="GM26" s="692"/>
      <c r="GN26" s="692"/>
      <c r="GO26" s="692"/>
      <c r="GP26" s="692"/>
      <c r="GQ26" s="692"/>
      <c r="GR26" s="692"/>
      <c r="GS26" s="692"/>
      <c r="GT26" s="692"/>
      <c r="GU26" s="692"/>
      <c r="GV26" s="692"/>
      <c r="GW26" s="692"/>
      <c r="GX26" s="692"/>
      <c r="GY26" s="692"/>
      <c r="GZ26" s="692"/>
      <c r="HA26" s="692"/>
      <c r="HB26" s="692"/>
      <c r="HC26" s="692"/>
      <c r="HD26" s="692"/>
      <c r="HE26" s="692"/>
      <c r="HF26" s="692"/>
      <c r="HG26" s="692"/>
      <c r="HH26" s="692"/>
      <c r="HI26" s="692"/>
      <c r="HJ26" s="692"/>
      <c r="HK26" s="692"/>
      <c r="HL26" s="692"/>
      <c r="HM26" s="692"/>
      <c r="HN26" s="692"/>
      <c r="HO26" s="692"/>
      <c r="HP26" s="692"/>
      <c r="HQ26" s="692"/>
      <c r="HR26" s="692"/>
      <c r="HS26" s="692"/>
      <c r="HT26" s="692"/>
      <c r="HU26" s="692"/>
      <c r="HV26" s="692"/>
      <c r="HW26" s="692"/>
      <c r="HX26" s="692"/>
      <c r="HY26" s="692"/>
      <c r="HZ26" s="692"/>
      <c r="IA26" s="692"/>
      <c r="IB26" s="692"/>
      <c r="IC26" s="692"/>
      <c r="ID26" s="692"/>
      <c r="IE26" s="692"/>
    </row>
    <row r="27" spans="1:239" customHeight="1" ht="17.4" s="701" customFormat="1">
      <c r="A27" s="702" t="s">
        <v>317</v>
      </c>
      <c r="B27" s="703" t="s">
        <v>316</v>
      </c>
      <c r="C27" s="703" t="s">
        <v>284</v>
      </c>
      <c r="D27" s="704" t="s">
        <v>309</v>
      </c>
      <c r="E27" s="704" t="s">
        <v>310</v>
      </c>
      <c r="F27" s="726">
        <f>SUM(G27:R27)</f>
        <v>3494.65000000000009</v>
      </c>
      <c r="G27" s="706">
        <v>184.72</v>
      </c>
      <c r="H27" s="706">
        <v>280.019999999999982</v>
      </c>
      <c r="I27" s="706">
        <v>273.30000000000001</v>
      </c>
      <c r="J27" s="706">
        <v>255.84</v>
      </c>
      <c r="K27" s="706">
        <v>326.99000000000001</v>
      </c>
      <c r="L27" s="706">
        <v>283.77999999999997</v>
      </c>
      <c r="M27" s="706">
        <v>278.050000000000011</v>
      </c>
      <c r="N27" s="706">
        <v>340.83999999999997</v>
      </c>
      <c r="O27" s="706">
        <v>341.33999999999997</v>
      </c>
      <c r="P27" s="706">
        <v>284.67000000000002</v>
      </c>
      <c r="Q27" s="707">
        <v>316.99000000000001</v>
      </c>
      <c r="R27" s="706">
        <v>328.11000000000001</v>
      </c>
      <c r="S27" s="692"/>
      <c r="T27" s="692"/>
      <c r="U27" s="692"/>
      <c r="V27" s="692"/>
      <c r="W27" s="692"/>
      <c r="X27" s="692"/>
      <c r="Y27" s="692"/>
      <c r="Z27" s="692"/>
      <c r="AA27" s="692"/>
      <c r="AB27" s="692"/>
      <c r="AC27" s="692"/>
      <c r="AD27" s="692"/>
      <c r="AE27" s="692"/>
      <c r="AF27" s="692"/>
      <c r="AG27" s="692"/>
      <c r="AH27" s="692"/>
      <c r="AI27" s="692"/>
      <c r="AJ27" s="692"/>
      <c r="AK27" s="692"/>
      <c r="AL27" s="692"/>
      <c r="AM27" s="692"/>
      <c r="AN27" s="692"/>
      <c r="AO27" s="692"/>
      <c r="AP27" s="692"/>
      <c r="AQ27" s="692"/>
      <c r="AR27" s="692"/>
      <c r="AS27" s="692"/>
      <c r="AT27" s="692"/>
      <c r="AU27" s="692"/>
      <c r="AV27" s="692"/>
      <c r="AW27" s="692"/>
      <c r="AX27" s="692"/>
      <c r="AY27" s="692"/>
      <c r="AZ27" s="692"/>
      <c r="BA27" s="692"/>
      <c r="BB27" s="692"/>
      <c r="BC27" s="692"/>
      <c r="BD27" s="692"/>
      <c r="BE27" s="692"/>
      <c r="BF27" s="692"/>
      <c r="BG27" s="692"/>
      <c r="BH27" s="692"/>
      <c r="BI27" s="692"/>
      <c r="BJ27" s="692"/>
      <c r="BK27" s="692"/>
      <c r="BL27" s="692"/>
      <c r="BM27" s="692"/>
      <c r="BN27" s="692"/>
      <c r="BO27" s="692"/>
      <c r="BP27" s="692"/>
      <c r="BQ27" s="692"/>
      <c r="BR27" s="692"/>
      <c r="BS27" s="692"/>
      <c r="BT27" s="692"/>
      <c r="BU27" s="692"/>
      <c r="BV27" s="692"/>
      <c r="BW27" s="692"/>
      <c r="BX27" s="692"/>
      <c r="BY27" s="692"/>
      <c r="BZ27" s="692"/>
      <c r="CA27" s="692"/>
      <c r="CB27" s="692"/>
      <c r="CC27" s="692"/>
      <c r="CD27" s="692"/>
      <c r="CE27" s="692"/>
      <c r="CF27" s="692"/>
      <c r="CG27" s="692"/>
      <c r="CH27" s="692"/>
      <c r="CI27" s="692"/>
      <c r="CJ27" s="692"/>
      <c r="CK27" s="692"/>
      <c r="CL27" s="692"/>
      <c r="CM27" s="692"/>
      <c r="CN27" s="692"/>
      <c r="CO27" s="692"/>
      <c r="CP27" s="692"/>
      <c r="CQ27" s="692"/>
      <c r="CR27" s="692"/>
      <c r="CS27" s="692"/>
      <c r="CT27" s="692"/>
      <c r="CU27" s="692"/>
      <c r="CV27" s="692"/>
      <c r="CW27" s="692"/>
      <c r="CX27" s="692"/>
      <c r="CY27" s="692"/>
      <c r="CZ27" s="692"/>
      <c r="DA27" s="692"/>
      <c r="DB27" s="692"/>
      <c r="DC27" s="692"/>
      <c r="DD27" s="692"/>
      <c r="DE27" s="692"/>
      <c r="DF27" s="692"/>
      <c r="DG27" s="692"/>
      <c r="DH27" s="692"/>
      <c r="DI27" s="692"/>
      <c r="DJ27" s="692"/>
      <c r="DK27" s="692"/>
      <c r="DL27" s="692"/>
      <c r="DM27" s="692"/>
      <c r="DN27" s="692"/>
      <c r="DO27" s="692"/>
      <c r="DP27" s="692"/>
      <c r="DQ27" s="692"/>
      <c r="DR27" s="692"/>
      <c r="DS27" s="692"/>
      <c r="DT27" s="692"/>
      <c r="DU27" s="692"/>
      <c r="DV27" s="692"/>
      <c r="DW27" s="692"/>
      <c r="DX27" s="692"/>
      <c r="DY27" s="692"/>
      <c r="DZ27" s="692"/>
      <c r="EA27" s="692"/>
      <c r="EB27" s="692"/>
      <c r="EC27" s="692"/>
      <c r="ED27" s="692"/>
      <c r="EE27" s="692"/>
      <c r="EF27" s="692"/>
      <c r="EG27" s="692"/>
      <c r="EH27" s="692"/>
      <c r="EI27" s="692"/>
      <c r="EJ27" s="692"/>
      <c r="EK27" s="692"/>
      <c r="EL27" s="692"/>
      <c r="EM27" s="692"/>
      <c r="EN27" s="692"/>
      <c r="EO27" s="692"/>
      <c r="EP27" s="692"/>
      <c r="EQ27" s="692"/>
      <c r="ER27" s="692"/>
      <c r="ES27" s="692"/>
      <c r="ET27" s="692"/>
      <c r="EU27" s="692"/>
      <c r="EV27" s="692"/>
      <c r="EW27" s="692"/>
      <c r="EX27" s="692"/>
      <c r="EY27" s="692"/>
      <c r="EZ27" s="692"/>
      <c r="FA27" s="692"/>
      <c r="FB27" s="692"/>
      <c r="FC27" s="692"/>
      <c r="FD27" s="692"/>
      <c r="FE27" s="692"/>
      <c r="FF27" s="692"/>
      <c r="FG27" s="692"/>
      <c r="FH27" s="692"/>
      <c r="FI27" s="692"/>
      <c r="FJ27" s="692"/>
      <c r="FK27" s="692"/>
      <c r="FL27" s="692"/>
      <c r="FM27" s="692"/>
      <c r="FN27" s="692"/>
      <c r="FO27" s="692"/>
      <c r="FP27" s="692"/>
      <c r="FQ27" s="692"/>
      <c r="FR27" s="692"/>
      <c r="FS27" s="692"/>
      <c r="FT27" s="692"/>
      <c r="FU27" s="692"/>
      <c r="FV27" s="692"/>
      <c r="FW27" s="692"/>
      <c r="FX27" s="692"/>
      <c r="FY27" s="692"/>
      <c r="FZ27" s="692"/>
      <c r="GA27" s="692"/>
      <c r="GB27" s="692"/>
      <c r="GC27" s="692"/>
      <c r="GD27" s="692"/>
      <c r="GE27" s="692"/>
      <c r="GF27" s="692"/>
      <c r="GG27" s="692"/>
      <c r="GH27" s="692"/>
      <c r="GI27" s="692"/>
      <c r="GJ27" s="692"/>
      <c r="GK27" s="692"/>
      <c r="GL27" s="692"/>
      <c r="GM27" s="692"/>
      <c r="GN27" s="692"/>
      <c r="GO27" s="692"/>
      <c r="GP27" s="692"/>
      <c r="GQ27" s="692"/>
      <c r="GR27" s="692"/>
      <c r="GS27" s="692"/>
      <c r="GT27" s="692"/>
      <c r="GU27" s="692"/>
      <c r="GV27" s="692"/>
      <c r="GW27" s="692"/>
      <c r="GX27" s="692"/>
      <c r="GY27" s="692"/>
      <c r="GZ27" s="692"/>
      <c r="HA27" s="692"/>
      <c r="HB27" s="692"/>
      <c r="HC27" s="692"/>
      <c r="HD27" s="692"/>
      <c r="HE27" s="692"/>
      <c r="HF27" s="692"/>
      <c r="HG27" s="692"/>
      <c r="HH27" s="692"/>
      <c r="HI27" s="692"/>
      <c r="HJ27" s="692"/>
      <c r="HK27" s="692"/>
      <c r="HL27" s="692"/>
      <c r="HM27" s="692"/>
      <c r="HN27" s="692"/>
      <c r="HO27" s="692"/>
      <c r="HP27" s="692"/>
      <c r="HQ27" s="692"/>
      <c r="HR27" s="692"/>
      <c r="HS27" s="692"/>
      <c r="HT27" s="692"/>
      <c r="HU27" s="692"/>
      <c r="HV27" s="692"/>
      <c r="HW27" s="692"/>
      <c r="HX27" s="692"/>
      <c r="HY27" s="692"/>
      <c r="HZ27" s="692"/>
      <c r="IA27" s="692"/>
      <c r="IB27" s="692"/>
      <c r="IC27" s="692"/>
      <c r="ID27" s="692"/>
      <c r="IE27" s="692"/>
    </row>
    <row r="28" spans="1:239" customHeight="1" ht="17.4" s="701" customFormat="1">
      <c r="A28" s="702"/>
      <c r="B28" s="703"/>
      <c r="C28" s="703" t="s">
        <v>301</v>
      </c>
      <c r="D28" s="704"/>
      <c r="E28" s="704"/>
      <c r="F28" s="726">
        <f>SUM(G28:R28)</f>
        <v>0</v>
      </c>
      <c r="G28" s="706">
        <v>0</v>
      </c>
      <c r="H28" s="706">
        <v>0</v>
      </c>
      <c r="I28" s="706">
        <v>0</v>
      </c>
      <c r="J28" s="706">
        <v>0</v>
      </c>
      <c r="K28" s="706">
        <v>0</v>
      </c>
      <c r="L28" s="706">
        <v>0</v>
      </c>
      <c r="M28" s="706">
        <v>0</v>
      </c>
      <c r="N28" s="706">
        <v>0</v>
      </c>
      <c r="O28" s="706">
        <v>0</v>
      </c>
      <c r="P28" s="706">
        <v>0</v>
      </c>
      <c r="Q28" s="707">
        <v>0</v>
      </c>
      <c r="R28" s="706">
        <v>0</v>
      </c>
      <c r="S28" s="692"/>
      <c r="T28" s="692"/>
      <c r="U28" s="692"/>
      <c r="V28" s="692"/>
      <c r="W28" s="692"/>
      <c r="X28" s="692"/>
      <c r="Y28" s="692"/>
      <c r="Z28" s="692"/>
      <c r="AA28" s="692"/>
      <c r="AB28" s="692"/>
      <c r="AC28" s="692"/>
      <c r="AD28" s="692"/>
      <c r="AE28" s="692"/>
      <c r="AF28" s="692"/>
      <c r="AG28" s="692"/>
      <c r="AH28" s="692"/>
      <c r="AI28" s="692"/>
      <c r="AJ28" s="692"/>
      <c r="AK28" s="692"/>
      <c r="AL28" s="692"/>
      <c r="AM28" s="692"/>
      <c r="AN28" s="692"/>
      <c r="AO28" s="692"/>
      <c r="AP28" s="692"/>
      <c r="AQ28" s="692"/>
      <c r="AR28" s="692"/>
      <c r="AS28" s="692"/>
      <c r="AT28" s="692"/>
      <c r="AU28" s="692"/>
      <c r="AV28" s="692"/>
      <c r="AW28" s="692"/>
      <c r="AX28" s="692"/>
      <c r="AY28" s="692"/>
      <c r="AZ28" s="692"/>
      <c r="BA28" s="692"/>
      <c r="BB28" s="692"/>
      <c r="BC28" s="692"/>
      <c r="BD28" s="692"/>
      <c r="BE28" s="692"/>
      <c r="BF28" s="692"/>
      <c r="BG28" s="692"/>
      <c r="BH28" s="692"/>
      <c r="BI28" s="692"/>
      <c r="BJ28" s="692"/>
      <c r="BK28" s="692"/>
      <c r="BL28" s="692"/>
      <c r="BM28" s="692"/>
      <c r="BN28" s="692"/>
      <c r="BO28" s="692"/>
      <c r="BP28" s="692"/>
      <c r="BQ28" s="692"/>
      <c r="BR28" s="692"/>
      <c r="BS28" s="692"/>
      <c r="BT28" s="692"/>
      <c r="BU28" s="692"/>
      <c r="BV28" s="692"/>
      <c r="BW28" s="692"/>
      <c r="BX28" s="692"/>
      <c r="BY28" s="692"/>
      <c r="BZ28" s="692"/>
      <c r="CA28" s="692"/>
      <c r="CB28" s="692"/>
      <c r="CC28" s="692"/>
      <c r="CD28" s="692"/>
      <c r="CE28" s="692"/>
      <c r="CF28" s="692"/>
      <c r="CG28" s="692"/>
      <c r="CH28" s="692"/>
      <c r="CI28" s="692"/>
      <c r="CJ28" s="692"/>
      <c r="CK28" s="692"/>
      <c r="CL28" s="692"/>
      <c r="CM28" s="692"/>
      <c r="CN28" s="692"/>
      <c r="CO28" s="692"/>
      <c r="CP28" s="692"/>
      <c r="CQ28" s="692"/>
      <c r="CR28" s="692"/>
      <c r="CS28" s="692"/>
      <c r="CT28" s="692"/>
      <c r="CU28" s="692"/>
      <c r="CV28" s="692"/>
      <c r="CW28" s="692"/>
      <c r="CX28" s="692"/>
      <c r="CY28" s="692"/>
      <c r="CZ28" s="692"/>
      <c r="DA28" s="692"/>
      <c r="DB28" s="692"/>
      <c r="DC28" s="692"/>
      <c r="DD28" s="692"/>
      <c r="DE28" s="692"/>
      <c r="DF28" s="692"/>
      <c r="DG28" s="692"/>
      <c r="DH28" s="692"/>
      <c r="DI28" s="692"/>
      <c r="DJ28" s="692"/>
      <c r="DK28" s="692"/>
      <c r="DL28" s="692"/>
      <c r="DM28" s="692"/>
      <c r="DN28" s="692"/>
      <c r="DO28" s="692"/>
      <c r="DP28" s="692"/>
      <c r="DQ28" s="692"/>
      <c r="DR28" s="692"/>
      <c r="DS28" s="692"/>
      <c r="DT28" s="692"/>
      <c r="DU28" s="692"/>
      <c r="DV28" s="692"/>
      <c r="DW28" s="692"/>
      <c r="DX28" s="692"/>
      <c r="DY28" s="692"/>
      <c r="DZ28" s="692"/>
      <c r="EA28" s="692"/>
      <c r="EB28" s="692"/>
      <c r="EC28" s="692"/>
      <c r="ED28" s="692"/>
      <c r="EE28" s="692"/>
      <c r="EF28" s="692"/>
      <c r="EG28" s="692"/>
      <c r="EH28" s="692"/>
      <c r="EI28" s="692"/>
      <c r="EJ28" s="692"/>
      <c r="EK28" s="692"/>
      <c r="EL28" s="692"/>
      <c r="EM28" s="692"/>
      <c r="EN28" s="692"/>
      <c r="EO28" s="692"/>
      <c r="EP28" s="692"/>
      <c r="EQ28" s="692"/>
      <c r="ER28" s="692"/>
      <c r="ES28" s="692"/>
      <c r="ET28" s="692"/>
      <c r="EU28" s="692"/>
      <c r="EV28" s="692"/>
      <c r="EW28" s="692"/>
      <c r="EX28" s="692"/>
      <c r="EY28" s="692"/>
      <c r="EZ28" s="692"/>
      <c r="FA28" s="692"/>
      <c r="FB28" s="692"/>
      <c r="FC28" s="692"/>
      <c r="FD28" s="692"/>
      <c r="FE28" s="692"/>
      <c r="FF28" s="692"/>
      <c r="FG28" s="692"/>
      <c r="FH28" s="692"/>
      <c r="FI28" s="692"/>
      <c r="FJ28" s="692"/>
      <c r="FK28" s="692"/>
      <c r="FL28" s="692"/>
      <c r="FM28" s="692"/>
      <c r="FN28" s="692"/>
      <c r="FO28" s="692"/>
      <c r="FP28" s="692"/>
      <c r="FQ28" s="692"/>
      <c r="FR28" s="692"/>
      <c r="FS28" s="692"/>
      <c r="FT28" s="692"/>
      <c r="FU28" s="692"/>
      <c r="FV28" s="692"/>
      <c r="FW28" s="692"/>
      <c r="FX28" s="692"/>
      <c r="FY28" s="692"/>
      <c r="FZ28" s="692"/>
      <c r="GA28" s="692"/>
      <c r="GB28" s="692"/>
      <c r="GC28" s="692"/>
      <c r="GD28" s="692"/>
      <c r="GE28" s="692"/>
      <c r="GF28" s="692"/>
      <c r="GG28" s="692"/>
      <c r="GH28" s="692"/>
      <c r="GI28" s="692"/>
      <c r="GJ28" s="692"/>
      <c r="GK28" s="692"/>
      <c r="GL28" s="692"/>
      <c r="GM28" s="692"/>
      <c r="GN28" s="692"/>
      <c r="GO28" s="692"/>
      <c r="GP28" s="692"/>
      <c r="GQ28" s="692"/>
      <c r="GR28" s="692"/>
      <c r="GS28" s="692"/>
      <c r="GT28" s="692"/>
      <c r="GU28" s="692"/>
      <c r="GV28" s="692"/>
      <c r="GW28" s="692"/>
      <c r="GX28" s="692"/>
      <c r="GY28" s="692"/>
      <c r="GZ28" s="692"/>
      <c r="HA28" s="692"/>
      <c r="HB28" s="692"/>
      <c r="HC28" s="692"/>
      <c r="HD28" s="692"/>
      <c r="HE28" s="692"/>
      <c r="HF28" s="692"/>
      <c r="HG28" s="692"/>
      <c r="HH28" s="692"/>
      <c r="HI28" s="692"/>
      <c r="HJ28" s="692"/>
      <c r="HK28" s="692"/>
      <c r="HL28" s="692"/>
      <c r="HM28" s="692"/>
      <c r="HN28" s="692"/>
      <c r="HO28" s="692"/>
      <c r="HP28" s="692"/>
      <c r="HQ28" s="692"/>
      <c r="HR28" s="692"/>
      <c r="HS28" s="692"/>
      <c r="HT28" s="692"/>
      <c r="HU28" s="692"/>
      <c r="HV28" s="692"/>
      <c r="HW28" s="692"/>
      <c r="HX28" s="692"/>
      <c r="HY28" s="692"/>
      <c r="HZ28" s="692"/>
      <c r="IA28" s="692"/>
      <c r="IB28" s="692"/>
      <c r="IC28" s="692"/>
      <c r="ID28" s="692"/>
      <c r="IE28" s="692"/>
    </row>
    <row r="29" spans="1:239" customHeight="1" ht="17.4" s="701" customFormat="1">
      <c r="A29" s="702" t="s">
        <v>318</v>
      </c>
      <c r="B29" s="703" t="s">
        <v>316</v>
      </c>
      <c r="C29" s="703" t="s">
        <v>284</v>
      </c>
      <c r="D29" s="704" t="s">
        <v>309</v>
      </c>
      <c r="E29" s="704" t="s">
        <v>310</v>
      </c>
      <c r="F29" s="726">
        <f>SUM(G29:R29)</f>
        <v>966.97000000000003</v>
      </c>
      <c r="G29" s="706">
        <v>45.8</v>
      </c>
      <c r="H29" s="706">
        <v>181.72</v>
      </c>
      <c r="I29" s="706">
        <v>129.13999999999999</v>
      </c>
      <c r="J29" s="706">
        <v>116.090000000000003</v>
      </c>
      <c r="K29" s="706">
        <v>162.25</v>
      </c>
      <c r="L29" s="706">
        <v>177.25</v>
      </c>
      <c r="M29" s="706">
        <v>41.049999999999997</v>
      </c>
      <c r="N29" s="706">
        <v>57.59</v>
      </c>
      <c r="O29" s="706">
        <v>0</v>
      </c>
      <c r="P29" s="706">
        <v>56.079999999999998</v>
      </c>
      <c r="Q29" s="707">
        <v>0</v>
      </c>
      <c r="R29" s="706">
        <v>0</v>
      </c>
      <c r="S29" s="692"/>
      <c r="T29" s="692"/>
      <c r="U29" s="692"/>
      <c r="V29" s="692"/>
      <c r="W29" s="692"/>
      <c r="X29" s="692"/>
      <c r="Y29" s="692"/>
      <c r="Z29" s="692"/>
      <c r="AA29" s="692"/>
      <c r="AB29" s="692"/>
      <c r="AC29" s="692"/>
      <c r="AD29" s="692"/>
      <c r="AE29" s="692"/>
      <c r="AF29" s="692"/>
      <c r="AG29" s="692"/>
      <c r="AH29" s="692"/>
      <c r="AI29" s="692"/>
      <c r="AJ29" s="692"/>
      <c r="AK29" s="692"/>
      <c r="AL29" s="692"/>
      <c r="AM29" s="692"/>
      <c r="AN29" s="692"/>
      <c r="AO29" s="692"/>
      <c r="AP29" s="692"/>
      <c r="AQ29" s="692"/>
      <c r="AR29" s="692"/>
      <c r="AS29" s="692"/>
      <c r="AT29" s="692"/>
      <c r="AU29" s="692"/>
      <c r="AV29" s="692"/>
      <c r="AW29" s="692"/>
      <c r="AX29" s="692"/>
      <c r="AY29" s="692"/>
      <c r="AZ29" s="692"/>
      <c r="BA29" s="692"/>
      <c r="BB29" s="692"/>
      <c r="BC29" s="692"/>
      <c r="BD29" s="692"/>
      <c r="BE29" s="692"/>
      <c r="BF29" s="692"/>
      <c r="BG29" s="692"/>
      <c r="BH29" s="692"/>
      <c r="BI29" s="692"/>
      <c r="BJ29" s="692"/>
      <c r="BK29" s="692"/>
      <c r="BL29" s="692"/>
      <c r="BM29" s="692"/>
      <c r="BN29" s="692"/>
      <c r="BO29" s="692"/>
      <c r="BP29" s="692"/>
      <c r="BQ29" s="692"/>
      <c r="BR29" s="692"/>
      <c r="BS29" s="692"/>
      <c r="BT29" s="692"/>
      <c r="BU29" s="692"/>
      <c r="BV29" s="692"/>
      <c r="BW29" s="692"/>
      <c r="BX29" s="692"/>
      <c r="BY29" s="692"/>
      <c r="BZ29" s="692"/>
      <c r="CA29" s="692"/>
      <c r="CB29" s="692"/>
      <c r="CC29" s="692"/>
      <c r="CD29" s="692"/>
      <c r="CE29" s="692"/>
      <c r="CF29" s="692"/>
      <c r="CG29" s="692"/>
      <c r="CH29" s="692"/>
      <c r="CI29" s="692"/>
      <c r="CJ29" s="692"/>
      <c r="CK29" s="692"/>
      <c r="CL29" s="692"/>
      <c r="CM29" s="692"/>
      <c r="CN29" s="692"/>
      <c r="CO29" s="692"/>
      <c r="CP29" s="692"/>
      <c r="CQ29" s="692"/>
      <c r="CR29" s="692"/>
      <c r="CS29" s="692"/>
      <c r="CT29" s="692"/>
      <c r="CU29" s="692"/>
      <c r="CV29" s="692"/>
      <c r="CW29" s="692"/>
      <c r="CX29" s="692"/>
      <c r="CY29" s="692"/>
      <c r="CZ29" s="692"/>
      <c r="DA29" s="692"/>
      <c r="DB29" s="692"/>
      <c r="DC29" s="692"/>
      <c r="DD29" s="692"/>
      <c r="DE29" s="692"/>
      <c r="DF29" s="692"/>
      <c r="DG29" s="692"/>
      <c r="DH29" s="692"/>
      <c r="DI29" s="692"/>
      <c r="DJ29" s="692"/>
      <c r="DK29" s="692"/>
      <c r="DL29" s="692"/>
      <c r="DM29" s="692"/>
      <c r="DN29" s="692"/>
      <c r="DO29" s="692"/>
      <c r="DP29" s="692"/>
      <c r="DQ29" s="692"/>
      <c r="DR29" s="692"/>
      <c r="DS29" s="692"/>
      <c r="DT29" s="692"/>
      <c r="DU29" s="692"/>
      <c r="DV29" s="692"/>
      <c r="DW29" s="692"/>
      <c r="DX29" s="692"/>
      <c r="DY29" s="692"/>
      <c r="DZ29" s="692"/>
      <c r="EA29" s="692"/>
      <c r="EB29" s="692"/>
      <c r="EC29" s="692"/>
      <c r="ED29" s="692"/>
      <c r="EE29" s="692"/>
      <c r="EF29" s="692"/>
      <c r="EG29" s="692"/>
      <c r="EH29" s="692"/>
      <c r="EI29" s="692"/>
      <c r="EJ29" s="692"/>
      <c r="EK29" s="692"/>
      <c r="EL29" s="692"/>
      <c r="EM29" s="692"/>
      <c r="EN29" s="692"/>
      <c r="EO29" s="692"/>
      <c r="EP29" s="692"/>
      <c r="EQ29" s="692"/>
      <c r="ER29" s="692"/>
      <c r="ES29" s="692"/>
      <c r="ET29" s="692"/>
      <c r="EU29" s="692"/>
      <c r="EV29" s="692"/>
      <c r="EW29" s="692"/>
      <c r="EX29" s="692"/>
      <c r="EY29" s="692"/>
      <c r="EZ29" s="692"/>
      <c r="FA29" s="692"/>
      <c r="FB29" s="692"/>
      <c r="FC29" s="692"/>
      <c r="FD29" s="692"/>
      <c r="FE29" s="692"/>
      <c r="FF29" s="692"/>
      <c r="FG29" s="692"/>
      <c r="FH29" s="692"/>
      <c r="FI29" s="692"/>
      <c r="FJ29" s="692"/>
      <c r="FK29" s="692"/>
      <c r="FL29" s="692"/>
      <c r="FM29" s="692"/>
      <c r="FN29" s="692"/>
      <c r="FO29" s="692"/>
      <c r="FP29" s="692"/>
      <c r="FQ29" s="692"/>
      <c r="FR29" s="692"/>
      <c r="FS29" s="692"/>
      <c r="FT29" s="692"/>
      <c r="FU29" s="692"/>
      <c r="FV29" s="692"/>
      <c r="FW29" s="692"/>
      <c r="FX29" s="692"/>
      <c r="FY29" s="692"/>
      <c r="FZ29" s="692"/>
      <c r="GA29" s="692"/>
      <c r="GB29" s="692"/>
      <c r="GC29" s="692"/>
      <c r="GD29" s="692"/>
      <c r="GE29" s="692"/>
      <c r="GF29" s="692"/>
      <c r="GG29" s="692"/>
      <c r="GH29" s="692"/>
      <c r="GI29" s="692"/>
      <c r="GJ29" s="692"/>
      <c r="GK29" s="692"/>
      <c r="GL29" s="692"/>
      <c r="GM29" s="692"/>
      <c r="GN29" s="692"/>
      <c r="GO29" s="692"/>
      <c r="GP29" s="692"/>
      <c r="GQ29" s="692"/>
      <c r="GR29" s="692"/>
      <c r="GS29" s="692"/>
      <c r="GT29" s="692"/>
      <c r="GU29" s="692"/>
      <c r="GV29" s="692"/>
      <c r="GW29" s="692"/>
      <c r="GX29" s="692"/>
      <c r="GY29" s="692"/>
      <c r="GZ29" s="692"/>
      <c r="HA29" s="692"/>
      <c r="HB29" s="692"/>
      <c r="HC29" s="692"/>
      <c r="HD29" s="692"/>
      <c r="HE29" s="692"/>
      <c r="HF29" s="692"/>
      <c r="HG29" s="692"/>
      <c r="HH29" s="692"/>
      <c r="HI29" s="692"/>
      <c r="HJ29" s="692"/>
      <c r="HK29" s="692"/>
      <c r="HL29" s="692"/>
      <c r="HM29" s="692"/>
      <c r="HN29" s="692"/>
      <c r="HO29" s="692"/>
      <c r="HP29" s="692"/>
      <c r="HQ29" s="692"/>
      <c r="HR29" s="692"/>
      <c r="HS29" s="692"/>
      <c r="HT29" s="692"/>
      <c r="HU29" s="692"/>
      <c r="HV29" s="692"/>
      <c r="HW29" s="692"/>
      <c r="HX29" s="692"/>
      <c r="HY29" s="692"/>
      <c r="HZ29" s="692"/>
      <c r="IA29" s="692"/>
      <c r="IB29" s="692"/>
      <c r="IC29" s="692"/>
      <c r="ID29" s="692"/>
      <c r="IE29" s="692"/>
    </row>
    <row r="30" spans="1:239" customHeight="1" ht="17.4" s="701" customFormat="1">
      <c r="A30" s="702"/>
      <c r="B30" s="703"/>
      <c r="C30" s="703" t="s">
        <v>301</v>
      </c>
      <c r="D30" s="704"/>
      <c r="E30" s="704"/>
      <c r="F30" s="726">
        <f>SUM(G30:R30)</f>
        <v>0</v>
      </c>
      <c r="G30" s="706">
        <v>0</v>
      </c>
      <c r="H30" s="706">
        <v>0</v>
      </c>
      <c r="I30" s="706">
        <v>0</v>
      </c>
      <c r="J30" s="706">
        <v>0</v>
      </c>
      <c r="K30" s="706">
        <v>0</v>
      </c>
      <c r="L30" s="706">
        <v>0</v>
      </c>
      <c r="M30" s="706">
        <v>0</v>
      </c>
      <c r="N30" s="706">
        <v>0</v>
      </c>
      <c r="O30" s="706">
        <v>0</v>
      </c>
      <c r="P30" s="706">
        <v>0</v>
      </c>
      <c r="Q30" s="707">
        <v>0</v>
      </c>
      <c r="R30" s="706">
        <v>0</v>
      </c>
      <c r="S30" s="692"/>
      <c r="T30" s="692"/>
      <c r="U30" s="692"/>
      <c r="V30" s="692"/>
      <c r="W30" s="692"/>
      <c r="X30" s="692"/>
      <c r="Y30" s="692"/>
      <c r="Z30" s="692"/>
      <c r="AA30" s="692"/>
      <c r="AB30" s="692"/>
      <c r="AC30" s="692"/>
      <c r="AD30" s="692"/>
      <c r="AE30" s="692"/>
      <c r="AF30" s="692"/>
      <c r="AG30" s="692"/>
      <c r="AH30" s="692"/>
      <c r="AI30" s="692"/>
      <c r="AJ30" s="692"/>
      <c r="AK30" s="692"/>
      <c r="AL30" s="692"/>
      <c r="AM30" s="692"/>
      <c r="AN30" s="692"/>
      <c r="AO30" s="692"/>
      <c r="AP30" s="692"/>
      <c r="AQ30" s="692"/>
      <c r="AR30" s="692"/>
      <c r="AS30" s="692"/>
      <c r="AT30" s="692"/>
      <c r="AU30" s="692"/>
      <c r="AV30" s="692"/>
      <c r="AW30" s="692"/>
      <c r="AX30" s="692"/>
      <c r="AY30" s="692"/>
      <c r="AZ30" s="692"/>
      <c r="BA30" s="692"/>
      <c r="BB30" s="692"/>
      <c r="BC30" s="692"/>
      <c r="BD30" s="692"/>
      <c r="BE30" s="692"/>
      <c r="BF30" s="692"/>
      <c r="BG30" s="692"/>
      <c r="BH30" s="692"/>
      <c r="BI30" s="692"/>
      <c r="BJ30" s="692"/>
      <c r="BK30" s="692"/>
      <c r="BL30" s="692"/>
      <c r="BM30" s="692"/>
      <c r="BN30" s="692"/>
      <c r="BO30" s="692"/>
      <c r="BP30" s="692"/>
      <c r="BQ30" s="692"/>
      <c r="BR30" s="692"/>
      <c r="BS30" s="692"/>
      <c r="BT30" s="692"/>
      <c r="BU30" s="692"/>
      <c r="BV30" s="692"/>
      <c r="BW30" s="692"/>
      <c r="BX30" s="692"/>
      <c r="BY30" s="692"/>
      <c r="BZ30" s="692"/>
      <c r="CA30" s="692"/>
      <c r="CB30" s="692"/>
      <c r="CC30" s="692"/>
      <c r="CD30" s="692"/>
      <c r="CE30" s="692"/>
      <c r="CF30" s="692"/>
      <c r="CG30" s="692"/>
      <c r="CH30" s="692"/>
      <c r="CI30" s="692"/>
      <c r="CJ30" s="692"/>
      <c r="CK30" s="692"/>
      <c r="CL30" s="692"/>
      <c r="CM30" s="692"/>
      <c r="CN30" s="692"/>
      <c r="CO30" s="692"/>
      <c r="CP30" s="692"/>
      <c r="CQ30" s="692"/>
      <c r="CR30" s="692"/>
      <c r="CS30" s="692"/>
      <c r="CT30" s="692"/>
      <c r="CU30" s="692"/>
      <c r="CV30" s="692"/>
      <c r="CW30" s="692"/>
      <c r="CX30" s="692"/>
      <c r="CY30" s="692"/>
      <c r="CZ30" s="692"/>
      <c r="DA30" s="692"/>
      <c r="DB30" s="692"/>
      <c r="DC30" s="692"/>
      <c r="DD30" s="692"/>
      <c r="DE30" s="692"/>
      <c r="DF30" s="692"/>
      <c r="DG30" s="692"/>
      <c r="DH30" s="692"/>
      <c r="DI30" s="692"/>
      <c r="DJ30" s="692"/>
      <c r="DK30" s="692"/>
      <c r="DL30" s="692"/>
      <c r="DM30" s="692"/>
      <c r="DN30" s="692"/>
      <c r="DO30" s="692"/>
      <c r="DP30" s="692"/>
      <c r="DQ30" s="692"/>
      <c r="DR30" s="692"/>
      <c r="DS30" s="692"/>
      <c r="DT30" s="692"/>
      <c r="DU30" s="692"/>
      <c r="DV30" s="692"/>
      <c r="DW30" s="692"/>
      <c r="DX30" s="692"/>
      <c r="DY30" s="692"/>
      <c r="DZ30" s="692"/>
      <c r="EA30" s="692"/>
      <c r="EB30" s="692"/>
      <c r="EC30" s="692"/>
      <c r="ED30" s="692"/>
      <c r="EE30" s="692"/>
      <c r="EF30" s="692"/>
      <c r="EG30" s="692"/>
      <c r="EH30" s="692"/>
      <c r="EI30" s="692"/>
      <c r="EJ30" s="692"/>
      <c r="EK30" s="692"/>
      <c r="EL30" s="692"/>
      <c r="EM30" s="692"/>
      <c r="EN30" s="692"/>
      <c r="EO30" s="692"/>
      <c r="EP30" s="692"/>
      <c r="EQ30" s="692"/>
      <c r="ER30" s="692"/>
      <c r="ES30" s="692"/>
      <c r="ET30" s="692"/>
      <c r="EU30" s="692"/>
      <c r="EV30" s="692"/>
      <c r="EW30" s="692"/>
      <c r="EX30" s="692"/>
      <c r="EY30" s="692"/>
      <c r="EZ30" s="692"/>
      <c r="FA30" s="692"/>
      <c r="FB30" s="692"/>
      <c r="FC30" s="692"/>
      <c r="FD30" s="692"/>
      <c r="FE30" s="692"/>
      <c r="FF30" s="692"/>
      <c r="FG30" s="692"/>
      <c r="FH30" s="692"/>
      <c r="FI30" s="692"/>
      <c r="FJ30" s="692"/>
      <c r="FK30" s="692"/>
      <c r="FL30" s="692"/>
      <c r="FM30" s="692"/>
      <c r="FN30" s="692"/>
      <c r="FO30" s="692"/>
      <c r="FP30" s="692"/>
      <c r="FQ30" s="692"/>
      <c r="FR30" s="692"/>
      <c r="FS30" s="692"/>
      <c r="FT30" s="692"/>
      <c r="FU30" s="692"/>
      <c r="FV30" s="692"/>
      <c r="FW30" s="692"/>
      <c r="FX30" s="692"/>
      <c r="FY30" s="692"/>
      <c r="FZ30" s="692"/>
      <c r="GA30" s="692"/>
      <c r="GB30" s="692"/>
      <c r="GC30" s="692"/>
      <c r="GD30" s="692"/>
      <c r="GE30" s="692"/>
      <c r="GF30" s="692"/>
      <c r="GG30" s="692"/>
      <c r="GH30" s="692"/>
      <c r="GI30" s="692"/>
      <c r="GJ30" s="692"/>
      <c r="GK30" s="692"/>
      <c r="GL30" s="692"/>
      <c r="GM30" s="692"/>
      <c r="GN30" s="692"/>
      <c r="GO30" s="692"/>
      <c r="GP30" s="692"/>
      <c r="GQ30" s="692"/>
      <c r="GR30" s="692"/>
      <c r="GS30" s="692"/>
      <c r="GT30" s="692"/>
      <c r="GU30" s="692"/>
      <c r="GV30" s="692"/>
      <c r="GW30" s="692"/>
      <c r="GX30" s="692"/>
      <c r="GY30" s="692"/>
      <c r="GZ30" s="692"/>
      <c r="HA30" s="692"/>
      <c r="HB30" s="692"/>
      <c r="HC30" s="692"/>
      <c r="HD30" s="692"/>
      <c r="HE30" s="692"/>
      <c r="HF30" s="692"/>
      <c r="HG30" s="692"/>
      <c r="HH30" s="692"/>
      <c r="HI30" s="692"/>
      <c r="HJ30" s="692"/>
      <c r="HK30" s="692"/>
      <c r="HL30" s="692"/>
      <c r="HM30" s="692"/>
      <c r="HN30" s="692"/>
      <c r="HO30" s="692"/>
      <c r="HP30" s="692"/>
      <c r="HQ30" s="692"/>
      <c r="HR30" s="692"/>
      <c r="HS30" s="692"/>
      <c r="HT30" s="692"/>
      <c r="HU30" s="692"/>
      <c r="HV30" s="692"/>
      <c r="HW30" s="692"/>
      <c r="HX30" s="692"/>
      <c r="HY30" s="692"/>
      <c r="HZ30" s="692"/>
      <c r="IA30" s="692"/>
      <c r="IB30" s="692"/>
      <c r="IC30" s="692"/>
      <c r="ID30" s="692"/>
      <c r="IE30" s="692"/>
    </row>
    <row r="31" spans="1:239" customHeight="1" ht="17.4" s="701" customFormat="1">
      <c r="A31" s="702" t="s">
        <v>319</v>
      </c>
      <c r="B31" s="703" t="s">
        <v>316</v>
      </c>
      <c r="C31" s="703" t="s">
        <v>284</v>
      </c>
      <c r="D31" s="704" t="s">
        <v>309</v>
      </c>
      <c r="E31" s="704" t="s">
        <v>310</v>
      </c>
      <c r="F31" s="726">
        <f>SUM(G31:R31)</f>
        <v>94.27</v>
      </c>
      <c r="G31" s="706">
        <v>0</v>
      </c>
      <c r="H31" s="706">
        <v>42.91</v>
      </c>
      <c r="I31" s="706">
        <v>51.36</v>
      </c>
      <c r="J31" s="706">
        <v>0</v>
      </c>
      <c r="K31" s="706">
        <v>0</v>
      </c>
      <c r="L31" s="706">
        <v>0</v>
      </c>
      <c r="M31" s="706">
        <v>0</v>
      </c>
      <c r="N31" s="706">
        <v>0</v>
      </c>
      <c r="O31" s="706">
        <v>0</v>
      </c>
      <c r="P31" s="706">
        <v>0</v>
      </c>
      <c r="Q31" s="707">
        <v>0</v>
      </c>
      <c r="R31" s="706">
        <v>0</v>
      </c>
      <c r="S31" s="692"/>
      <c r="T31" s="692"/>
      <c r="U31" s="692"/>
      <c r="V31" s="692"/>
      <c r="W31" s="692"/>
      <c r="X31" s="692"/>
      <c r="Y31" s="692"/>
      <c r="Z31" s="692"/>
      <c r="AA31" s="692"/>
      <c r="AB31" s="692"/>
      <c r="AC31" s="692"/>
      <c r="AD31" s="692"/>
      <c r="AE31" s="692"/>
      <c r="AF31" s="692"/>
      <c r="AG31" s="692"/>
      <c r="AH31" s="692"/>
      <c r="AI31" s="692"/>
      <c r="AJ31" s="692"/>
      <c r="AK31" s="692"/>
      <c r="AL31" s="692"/>
      <c r="AM31" s="692"/>
      <c r="AN31" s="692"/>
      <c r="AO31" s="692"/>
      <c r="AP31" s="692"/>
      <c r="AQ31" s="692"/>
      <c r="AR31" s="692"/>
      <c r="AS31" s="692"/>
      <c r="AT31" s="692"/>
      <c r="AU31" s="692"/>
      <c r="AV31" s="692"/>
      <c r="AW31" s="692"/>
      <c r="AX31" s="692"/>
      <c r="AY31" s="692"/>
      <c r="AZ31" s="692"/>
      <c r="BA31" s="692"/>
      <c r="BB31" s="692"/>
      <c r="BC31" s="692"/>
      <c r="BD31" s="692"/>
      <c r="BE31" s="692"/>
      <c r="BF31" s="692"/>
      <c r="BG31" s="692"/>
      <c r="BH31" s="692"/>
      <c r="BI31" s="692"/>
      <c r="BJ31" s="692"/>
      <c r="BK31" s="692"/>
      <c r="BL31" s="692"/>
      <c r="BM31" s="692"/>
      <c r="BN31" s="692"/>
      <c r="BO31" s="692"/>
      <c r="BP31" s="692"/>
      <c r="BQ31" s="692"/>
      <c r="BR31" s="692"/>
      <c r="BS31" s="692"/>
      <c r="BT31" s="692"/>
      <c r="BU31" s="692"/>
      <c r="BV31" s="692"/>
      <c r="BW31" s="692"/>
      <c r="BX31" s="692"/>
      <c r="BY31" s="692"/>
      <c r="BZ31" s="692"/>
      <c r="CA31" s="692"/>
      <c r="CB31" s="692"/>
      <c r="CC31" s="692"/>
      <c r="CD31" s="692"/>
      <c r="CE31" s="692"/>
      <c r="CF31" s="692"/>
      <c r="CG31" s="692"/>
      <c r="CH31" s="692"/>
      <c r="CI31" s="692"/>
      <c r="CJ31" s="692"/>
      <c r="CK31" s="692"/>
      <c r="CL31" s="692"/>
      <c r="CM31" s="692"/>
      <c r="CN31" s="692"/>
      <c r="CO31" s="692"/>
      <c r="CP31" s="692"/>
      <c r="CQ31" s="692"/>
      <c r="CR31" s="692"/>
      <c r="CS31" s="692"/>
      <c r="CT31" s="692"/>
      <c r="CU31" s="692"/>
      <c r="CV31" s="692"/>
      <c r="CW31" s="692"/>
      <c r="CX31" s="692"/>
      <c r="CY31" s="692"/>
      <c r="CZ31" s="692"/>
      <c r="DA31" s="692"/>
      <c r="DB31" s="692"/>
      <c r="DC31" s="692"/>
      <c r="DD31" s="692"/>
      <c r="DE31" s="692"/>
      <c r="DF31" s="692"/>
      <c r="DG31" s="692"/>
      <c r="DH31" s="692"/>
      <c r="DI31" s="692"/>
      <c r="DJ31" s="692"/>
      <c r="DK31" s="692"/>
      <c r="DL31" s="692"/>
      <c r="DM31" s="692"/>
      <c r="DN31" s="692"/>
      <c r="DO31" s="692"/>
      <c r="DP31" s="692"/>
      <c r="DQ31" s="692"/>
      <c r="DR31" s="692"/>
      <c r="DS31" s="692"/>
      <c r="DT31" s="692"/>
      <c r="DU31" s="692"/>
      <c r="DV31" s="692"/>
      <c r="DW31" s="692"/>
      <c r="DX31" s="692"/>
      <c r="DY31" s="692"/>
      <c r="DZ31" s="692"/>
      <c r="EA31" s="692"/>
      <c r="EB31" s="692"/>
      <c r="EC31" s="692"/>
      <c r="ED31" s="692"/>
      <c r="EE31" s="692"/>
      <c r="EF31" s="692"/>
      <c r="EG31" s="692"/>
      <c r="EH31" s="692"/>
      <c r="EI31" s="692"/>
      <c r="EJ31" s="692"/>
      <c r="EK31" s="692"/>
      <c r="EL31" s="692"/>
      <c r="EM31" s="692"/>
      <c r="EN31" s="692"/>
      <c r="EO31" s="692"/>
      <c r="EP31" s="692"/>
      <c r="EQ31" s="692"/>
      <c r="ER31" s="692"/>
      <c r="ES31" s="692"/>
      <c r="ET31" s="692"/>
      <c r="EU31" s="692"/>
      <c r="EV31" s="692"/>
      <c r="EW31" s="692"/>
      <c r="EX31" s="692"/>
      <c r="EY31" s="692"/>
      <c r="EZ31" s="692"/>
      <c r="FA31" s="692"/>
      <c r="FB31" s="692"/>
      <c r="FC31" s="692"/>
      <c r="FD31" s="692"/>
      <c r="FE31" s="692"/>
      <c r="FF31" s="692"/>
      <c r="FG31" s="692"/>
      <c r="FH31" s="692"/>
      <c r="FI31" s="692"/>
      <c r="FJ31" s="692"/>
      <c r="FK31" s="692"/>
      <c r="FL31" s="692"/>
      <c r="FM31" s="692"/>
      <c r="FN31" s="692"/>
      <c r="FO31" s="692"/>
      <c r="FP31" s="692"/>
      <c r="FQ31" s="692"/>
      <c r="FR31" s="692"/>
      <c r="FS31" s="692"/>
      <c r="FT31" s="692"/>
      <c r="FU31" s="692"/>
      <c r="FV31" s="692"/>
      <c r="FW31" s="692"/>
      <c r="FX31" s="692"/>
      <c r="FY31" s="692"/>
      <c r="FZ31" s="692"/>
      <c r="GA31" s="692"/>
      <c r="GB31" s="692"/>
      <c r="GC31" s="692"/>
      <c r="GD31" s="692"/>
      <c r="GE31" s="692"/>
      <c r="GF31" s="692"/>
      <c r="GG31" s="692"/>
      <c r="GH31" s="692"/>
      <c r="GI31" s="692"/>
      <c r="GJ31" s="692"/>
      <c r="GK31" s="692"/>
      <c r="GL31" s="692"/>
      <c r="GM31" s="692"/>
      <c r="GN31" s="692"/>
      <c r="GO31" s="692"/>
      <c r="GP31" s="692"/>
      <c r="GQ31" s="692"/>
      <c r="GR31" s="692"/>
      <c r="GS31" s="692"/>
      <c r="GT31" s="692"/>
      <c r="GU31" s="692"/>
      <c r="GV31" s="692"/>
      <c r="GW31" s="692"/>
      <c r="GX31" s="692"/>
      <c r="GY31" s="692"/>
      <c r="GZ31" s="692"/>
      <c r="HA31" s="692"/>
      <c r="HB31" s="692"/>
      <c r="HC31" s="692"/>
      <c r="HD31" s="692"/>
      <c r="HE31" s="692"/>
      <c r="HF31" s="692"/>
      <c r="HG31" s="692"/>
      <c r="HH31" s="692"/>
      <c r="HI31" s="692"/>
      <c r="HJ31" s="692"/>
      <c r="HK31" s="692"/>
      <c r="HL31" s="692"/>
      <c r="HM31" s="692"/>
      <c r="HN31" s="692"/>
      <c r="HO31" s="692"/>
      <c r="HP31" s="692"/>
      <c r="HQ31" s="692"/>
      <c r="HR31" s="692"/>
      <c r="HS31" s="692"/>
      <c r="HT31" s="692"/>
      <c r="HU31" s="692"/>
      <c r="HV31" s="692"/>
      <c r="HW31" s="692"/>
      <c r="HX31" s="692"/>
      <c r="HY31" s="692"/>
      <c r="HZ31" s="692"/>
      <c r="IA31" s="692"/>
      <c r="IB31" s="692"/>
      <c r="IC31" s="692"/>
      <c r="ID31" s="692"/>
      <c r="IE31" s="692"/>
    </row>
    <row r="32" spans="1:239" customHeight="1" ht="17.4" s="701" customFormat="1">
      <c r="A32" s="702"/>
      <c r="B32" s="703"/>
      <c r="C32" s="703" t="s">
        <v>301</v>
      </c>
      <c r="D32" s="704"/>
      <c r="E32" s="704"/>
      <c r="F32" s="726">
        <f>SUM(G32:R32)</f>
        <v>0</v>
      </c>
      <c r="G32" s="706">
        <v>0</v>
      </c>
      <c r="H32" s="706">
        <v>0</v>
      </c>
      <c r="I32" s="706">
        <v>0</v>
      </c>
      <c r="J32" s="706"/>
      <c r="K32" s="706">
        <v>0</v>
      </c>
      <c r="L32" s="706">
        <v>0</v>
      </c>
      <c r="M32" s="706">
        <v>0</v>
      </c>
      <c r="N32" s="706">
        <v>0</v>
      </c>
      <c r="O32" s="706">
        <v>0</v>
      </c>
      <c r="P32" s="706">
        <v>0</v>
      </c>
      <c r="Q32" s="707">
        <v>0</v>
      </c>
      <c r="R32" s="706">
        <v>0</v>
      </c>
      <c r="S32" s="692"/>
      <c r="T32" s="692"/>
      <c r="U32" s="692"/>
      <c r="V32" s="692"/>
      <c r="W32" s="692"/>
      <c r="X32" s="692"/>
      <c r="Y32" s="692"/>
      <c r="Z32" s="692"/>
      <c r="AA32" s="692"/>
      <c r="AB32" s="692"/>
      <c r="AC32" s="692"/>
      <c r="AD32" s="692"/>
      <c r="AE32" s="692"/>
      <c r="AF32" s="692"/>
      <c r="AG32" s="692"/>
      <c r="AH32" s="692"/>
      <c r="AI32" s="692"/>
      <c r="AJ32" s="692"/>
      <c r="AK32" s="692"/>
      <c r="AL32" s="692"/>
      <c r="AM32" s="692"/>
      <c r="AN32" s="692"/>
      <c r="AO32" s="692"/>
      <c r="AP32" s="692"/>
      <c r="AQ32" s="692"/>
      <c r="AR32" s="692"/>
      <c r="AS32" s="692"/>
      <c r="AT32" s="692"/>
      <c r="AU32" s="692"/>
      <c r="AV32" s="692"/>
      <c r="AW32" s="692"/>
      <c r="AX32" s="692"/>
      <c r="AY32" s="692"/>
      <c r="AZ32" s="692"/>
      <c r="BA32" s="692"/>
      <c r="BB32" s="692"/>
      <c r="BC32" s="692"/>
      <c r="BD32" s="692"/>
      <c r="BE32" s="692"/>
      <c r="BF32" s="692"/>
      <c r="BG32" s="692"/>
      <c r="BH32" s="692"/>
      <c r="BI32" s="692"/>
      <c r="BJ32" s="692"/>
      <c r="BK32" s="692"/>
      <c r="BL32" s="692"/>
      <c r="BM32" s="692"/>
      <c r="BN32" s="692"/>
      <c r="BO32" s="692"/>
      <c r="BP32" s="692"/>
      <c r="BQ32" s="692"/>
      <c r="BR32" s="692"/>
      <c r="BS32" s="692"/>
      <c r="BT32" s="692"/>
      <c r="BU32" s="692"/>
      <c r="BV32" s="692"/>
      <c r="BW32" s="692"/>
      <c r="BX32" s="692"/>
      <c r="BY32" s="692"/>
      <c r="BZ32" s="692"/>
      <c r="CA32" s="692"/>
      <c r="CB32" s="692"/>
      <c r="CC32" s="692"/>
      <c r="CD32" s="692"/>
      <c r="CE32" s="692"/>
      <c r="CF32" s="692"/>
      <c r="CG32" s="692"/>
      <c r="CH32" s="692"/>
      <c r="CI32" s="692"/>
      <c r="CJ32" s="692"/>
      <c r="CK32" s="692"/>
      <c r="CL32" s="692"/>
      <c r="CM32" s="692"/>
      <c r="CN32" s="692"/>
      <c r="CO32" s="692"/>
      <c r="CP32" s="692"/>
      <c r="CQ32" s="692"/>
      <c r="CR32" s="692"/>
      <c r="CS32" s="692"/>
      <c r="CT32" s="692"/>
      <c r="CU32" s="692"/>
      <c r="CV32" s="692"/>
      <c r="CW32" s="692"/>
      <c r="CX32" s="692"/>
      <c r="CY32" s="692"/>
      <c r="CZ32" s="692"/>
      <c r="DA32" s="692"/>
      <c r="DB32" s="692"/>
      <c r="DC32" s="692"/>
      <c r="DD32" s="692"/>
      <c r="DE32" s="692"/>
      <c r="DF32" s="692"/>
      <c r="DG32" s="692"/>
      <c r="DH32" s="692"/>
      <c r="DI32" s="692"/>
      <c r="DJ32" s="692"/>
      <c r="DK32" s="692"/>
      <c r="DL32" s="692"/>
      <c r="DM32" s="692"/>
      <c r="DN32" s="692"/>
      <c r="DO32" s="692"/>
      <c r="DP32" s="692"/>
      <c r="DQ32" s="692"/>
      <c r="DR32" s="692"/>
      <c r="DS32" s="692"/>
      <c r="DT32" s="692"/>
      <c r="DU32" s="692"/>
      <c r="DV32" s="692"/>
      <c r="DW32" s="692"/>
      <c r="DX32" s="692"/>
      <c r="DY32" s="692"/>
      <c r="DZ32" s="692"/>
      <c r="EA32" s="692"/>
      <c r="EB32" s="692"/>
      <c r="EC32" s="692"/>
      <c r="ED32" s="692"/>
      <c r="EE32" s="692"/>
      <c r="EF32" s="692"/>
      <c r="EG32" s="692"/>
      <c r="EH32" s="692"/>
      <c r="EI32" s="692"/>
      <c r="EJ32" s="692"/>
      <c r="EK32" s="692"/>
      <c r="EL32" s="692"/>
      <c r="EM32" s="692"/>
      <c r="EN32" s="692"/>
      <c r="EO32" s="692"/>
      <c r="EP32" s="692"/>
      <c r="EQ32" s="692"/>
      <c r="ER32" s="692"/>
      <c r="ES32" s="692"/>
      <c r="ET32" s="692"/>
      <c r="EU32" s="692"/>
      <c r="EV32" s="692"/>
      <c r="EW32" s="692"/>
      <c r="EX32" s="692"/>
      <c r="EY32" s="692"/>
      <c r="EZ32" s="692"/>
      <c r="FA32" s="692"/>
      <c r="FB32" s="692"/>
      <c r="FC32" s="692"/>
      <c r="FD32" s="692"/>
      <c r="FE32" s="692"/>
      <c r="FF32" s="692"/>
      <c r="FG32" s="692"/>
      <c r="FH32" s="692"/>
      <c r="FI32" s="692"/>
      <c r="FJ32" s="692"/>
      <c r="FK32" s="692"/>
      <c r="FL32" s="692"/>
      <c r="FM32" s="692"/>
      <c r="FN32" s="692"/>
      <c r="FO32" s="692"/>
      <c r="FP32" s="692"/>
      <c r="FQ32" s="692"/>
      <c r="FR32" s="692"/>
      <c r="FS32" s="692"/>
      <c r="FT32" s="692"/>
      <c r="FU32" s="692"/>
      <c r="FV32" s="692"/>
      <c r="FW32" s="692"/>
      <c r="FX32" s="692"/>
      <c r="FY32" s="692"/>
      <c r="FZ32" s="692"/>
      <c r="GA32" s="692"/>
      <c r="GB32" s="692"/>
      <c r="GC32" s="692"/>
      <c r="GD32" s="692"/>
      <c r="GE32" s="692"/>
      <c r="GF32" s="692"/>
      <c r="GG32" s="692"/>
      <c r="GH32" s="692"/>
      <c r="GI32" s="692"/>
      <c r="GJ32" s="692"/>
      <c r="GK32" s="692"/>
      <c r="GL32" s="692"/>
      <c r="GM32" s="692"/>
      <c r="GN32" s="692"/>
      <c r="GO32" s="692"/>
      <c r="GP32" s="692"/>
      <c r="GQ32" s="692"/>
      <c r="GR32" s="692"/>
      <c r="GS32" s="692"/>
      <c r="GT32" s="692"/>
      <c r="GU32" s="692"/>
      <c r="GV32" s="692"/>
      <c r="GW32" s="692"/>
      <c r="GX32" s="692"/>
      <c r="GY32" s="692"/>
      <c r="GZ32" s="692"/>
      <c r="HA32" s="692"/>
      <c r="HB32" s="692"/>
      <c r="HC32" s="692"/>
      <c r="HD32" s="692"/>
      <c r="HE32" s="692"/>
      <c r="HF32" s="692"/>
      <c r="HG32" s="692"/>
      <c r="HH32" s="692"/>
      <c r="HI32" s="692"/>
      <c r="HJ32" s="692"/>
      <c r="HK32" s="692"/>
      <c r="HL32" s="692"/>
      <c r="HM32" s="692"/>
      <c r="HN32" s="692"/>
      <c r="HO32" s="692"/>
      <c r="HP32" s="692"/>
      <c r="HQ32" s="692"/>
      <c r="HR32" s="692"/>
      <c r="HS32" s="692"/>
      <c r="HT32" s="692"/>
      <c r="HU32" s="692"/>
      <c r="HV32" s="692"/>
      <c r="HW32" s="692"/>
      <c r="HX32" s="692"/>
      <c r="HY32" s="692"/>
      <c r="HZ32" s="692"/>
      <c r="IA32" s="692"/>
      <c r="IB32" s="692"/>
      <c r="IC32" s="692"/>
      <c r="ID32" s="692"/>
      <c r="IE32" s="692"/>
    </row>
    <row r="33" spans="1:239" customHeight="1" ht="17.4" s="701" customFormat="1">
      <c r="A33" s="728" t="s">
        <v>320</v>
      </c>
      <c r="B33" s="729" t="s">
        <v>316</v>
      </c>
      <c r="C33" s="729" t="s">
        <v>284</v>
      </c>
      <c r="D33" s="730" t="s">
        <v>321</v>
      </c>
      <c r="E33" s="730" t="s">
        <v>310</v>
      </c>
      <c r="F33" s="726">
        <f>SUM(G33:R33)</f>
        <v>14.302</v>
      </c>
      <c r="G33" s="731">
        <v>14.302</v>
      </c>
      <c r="H33" s="731">
        <v>0</v>
      </c>
      <c r="I33" s="731">
        <v>0</v>
      </c>
      <c r="J33" s="731">
        <v>0</v>
      </c>
      <c r="K33" s="731">
        <v>0</v>
      </c>
      <c r="L33" s="731">
        <v>0</v>
      </c>
      <c r="M33" s="731">
        <v>0</v>
      </c>
      <c r="N33" s="731">
        <v>0</v>
      </c>
      <c r="O33" s="731">
        <v>0</v>
      </c>
      <c r="P33" s="731">
        <v>0</v>
      </c>
      <c r="Q33" s="731">
        <v>0</v>
      </c>
      <c r="R33" s="731">
        <v>0</v>
      </c>
      <c r="S33" s="692"/>
      <c r="T33" s="692"/>
      <c r="U33" s="692"/>
      <c r="V33" s="692"/>
      <c r="W33" s="692"/>
      <c r="X33" s="692"/>
      <c r="Y33" s="692"/>
      <c r="Z33" s="692"/>
      <c r="AA33" s="692"/>
      <c r="AB33" s="692"/>
      <c r="AC33" s="692"/>
      <c r="AD33" s="692"/>
      <c r="AE33" s="692"/>
      <c r="AF33" s="692"/>
      <c r="AG33" s="692"/>
      <c r="AH33" s="692"/>
      <c r="AI33" s="692"/>
      <c r="AJ33" s="692"/>
      <c r="AK33" s="692"/>
      <c r="AL33" s="692"/>
      <c r="AM33" s="692"/>
      <c r="AN33" s="692"/>
      <c r="AO33" s="692"/>
      <c r="AP33" s="692"/>
      <c r="AQ33" s="692"/>
      <c r="AR33" s="692"/>
      <c r="AS33" s="692"/>
      <c r="AT33" s="692"/>
      <c r="AU33" s="692"/>
      <c r="AV33" s="692"/>
      <c r="AW33" s="692"/>
      <c r="AX33" s="692"/>
      <c r="AY33" s="692"/>
      <c r="AZ33" s="692"/>
      <c r="BA33" s="692"/>
      <c r="BB33" s="692"/>
      <c r="BC33" s="692"/>
      <c r="BD33" s="692"/>
      <c r="BE33" s="692"/>
      <c r="BF33" s="692"/>
      <c r="BG33" s="692"/>
      <c r="BH33" s="692"/>
      <c r="BI33" s="692"/>
      <c r="BJ33" s="692"/>
      <c r="BK33" s="692"/>
      <c r="BL33" s="692"/>
      <c r="BM33" s="692"/>
      <c r="BN33" s="692"/>
      <c r="BO33" s="692"/>
      <c r="BP33" s="692"/>
      <c r="BQ33" s="692"/>
      <c r="BR33" s="692"/>
      <c r="BS33" s="692"/>
      <c r="BT33" s="692"/>
      <c r="BU33" s="692"/>
      <c r="BV33" s="692"/>
      <c r="BW33" s="692"/>
      <c r="BX33" s="692"/>
      <c r="BY33" s="692"/>
      <c r="BZ33" s="692"/>
      <c r="CA33" s="692"/>
      <c r="CB33" s="692"/>
      <c r="CC33" s="692"/>
      <c r="CD33" s="692"/>
      <c r="CE33" s="692"/>
      <c r="CF33" s="692"/>
      <c r="CG33" s="692"/>
      <c r="CH33" s="692"/>
      <c r="CI33" s="692"/>
      <c r="CJ33" s="692"/>
      <c r="CK33" s="692"/>
      <c r="CL33" s="692"/>
      <c r="CM33" s="692"/>
      <c r="CN33" s="692"/>
      <c r="CO33" s="692"/>
      <c r="CP33" s="692"/>
      <c r="CQ33" s="692"/>
      <c r="CR33" s="692"/>
      <c r="CS33" s="692"/>
      <c r="CT33" s="692"/>
      <c r="CU33" s="692"/>
      <c r="CV33" s="692"/>
      <c r="CW33" s="692"/>
      <c r="CX33" s="692"/>
      <c r="CY33" s="692"/>
      <c r="CZ33" s="692"/>
      <c r="DA33" s="692"/>
      <c r="DB33" s="692"/>
      <c r="DC33" s="692"/>
      <c r="DD33" s="692"/>
      <c r="DE33" s="692"/>
      <c r="DF33" s="692"/>
      <c r="DG33" s="692"/>
      <c r="DH33" s="692"/>
      <c r="DI33" s="692"/>
      <c r="DJ33" s="692"/>
      <c r="DK33" s="692"/>
      <c r="DL33" s="692"/>
      <c r="DM33" s="692"/>
      <c r="DN33" s="692"/>
      <c r="DO33" s="692"/>
      <c r="DP33" s="692"/>
      <c r="DQ33" s="692"/>
      <c r="DR33" s="692"/>
      <c r="DS33" s="692"/>
      <c r="DT33" s="692"/>
      <c r="DU33" s="692"/>
      <c r="DV33" s="692"/>
      <c r="DW33" s="692"/>
      <c r="DX33" s="692"/>
      <c r="DY33" s="692"/>
      <c r="DZ33" s="692"/>
      <c r="EA33" s="692"/>
      <c r="EB33" s="692"/>
      <c r="EC33" s="692"/>
      <c r="ED33" s="692"/>
      <c r="EE33" s="692"/>
      <c r="EF33" s="692"/>
      <c r="EG33" s="692"/>
      <c r="EH33" s="692"/>
      <c r="EI33" s="692"/>
      <c r="EJ33" s="692"/>
      <c r="EK33" s="692"/>
      <c r="EL33" s="692"/>
      <c r="EM33" s="692"/>
      <c r="EN33" s="692"/>
      <c r="EO33" s="692"/>
      <c r="EP33" s="692"/>
      <c r="EQ33" s="692"/>
      <c r="ER33" s="692"/>
      <c r="ES33" s="692"/>
      <c r="ET33" s="692"/>
      <c r="EU33" s="692"/>
      <c r="EV33" s="692"/>
      <c r="EW33" s="692"/>
      <c r="EX33" s="692"/>
      <c r="EY33" s="692"/>
      <c r="EZ33" s="692"/>
      <c r="FA33" s="692"/>
      <c r="FB33" s="692"/>
      <c r="FC33" s="692"/>
      <c r="FD33" s="692"/>
      <c r="FE33" s="692"/>
      <c r="FF33" s="692"/>
      <c r="FG33" s="692"/>
      <c r="FH33" s="692"/>
      <c r="FI33" s="692"/>
      <c r="FJ33" s="692"/>
      <c r="FK33" s="692"/>
      <c r="FL33" s="692"/>
      <c r="FM33" s="692"/>
      <c r="FN33" s="692"/>
      <c r="FO33" s="692"/>
      <c r="FP33" s="692"/>
      <c r="FQ33" s="692"/>
      <c r="FR33" s="692"/>
      <c r="FS33" s="692"/>
      <c r="FT33" s="692"/>
      <c r="FU33" s="692"/>
      <c r="FV33" s="692"/>
      <c r="FW33" s="692"/>
      <c r="FX33" s="692"/>
      <c r="FY33" s="692"/>
      <c r="FZ33" s="692"/>
      <c r="GA33" s="692"/>
      <c r="GB33" s="692"/>
      <c r="GC33" s="692"/>
      <c r="GD33" s="692"/>
      <c r="GE33" s="692"/>
      <c r="GF33" s="692"/>
      <c r="GG33" s="692"/>
      <c r="GH33" s="692"/>
      <c r="GI33" s="692"/>
      <c r="GJ33" s="692"/>
      <c r="GK33" s="692"/>
      <c r="GL33" s="692"/>
      <c r="GM33" s="692"/>
      <c r="GN33" s="692"/>
      <c r="GO33" s="692"/>
      <c r="GP33" s="692"/>
      <c r="GQ33" s="692"/>
      <c r="GR33" s="692"/>
      <c r="GS33" s="692"/>
      <c r="GT33" s="692"/>
      <c r="GU33" s="692"/>
      <c r="GV33" s="692"/>
      <c r="GW33" s="692"/>
      <c r="GX33" s="692"/>
      <c r="GY33" s="692"/>
      <c r="GZ33" s="692"/>
      <c r="HA33" s="692"/>
      <c r="HB33" s="692"/>
      <c r="HC33" s="692"/>
      <c r="HD33" s="692"/>
      <c r="HE33" s="692"/>
      <c r="HF33" s="692"/>
      <c r="HG33" s="692"/>
      <c r="HH33" s="692"/>
      <c r="HI33" s="692"/>
      <c r="HJ33" s="692"/>
      <c r="HK33" s="692"/>
      <c r="HL33" s="692"/>
      <c r="HM33" s="692"/>
      <c r="HN33" s="692"/>
      <c r="HO33" s="692"/>
      <c r="HP33" s="692"/>
      <c r="HQ33" s="692"/>
      <c r="HR33" s="692"/>
      <c r="HS33" s="692"/>
      <c r="HT33" s="692"/>
      <c r="HU33" s="692"/>
      <c r="HV33" s="692"/>
      <c r="HW33" s="692"/>
      <c r="HX33" s="692"/>
      <c r="HY33" s="692"/>
      <c r="HZ33" s="692"/>
      <c r="IA33" s="692"/>
      <c r="IB33" s="692"/>
      <c r="IC33" s="692"/>
      <c r="ID33" s="692"/>
      <c r="IE33" s="692"/>
    </row>
    <row r="34" spans="1:239" customHeight="1" ht="17.4" s="701" customFormat="1">
      <c r="A34" s="728"/>
      <c r="B34" s="729"/>
      <c r="C34" s="729" t="s">
        <v>301</v>
      </c>
      <c r="D34" s="730"/>
      <c r="E34" s="730"/>
      <c r="F34" s="726">
        <f>SUM(G34:R34)</f>
        <v>0</v>
      </c>
      <c r="G34" s="731">
        <v>0</v>
      </c>
      <c r="H34" s="731">
        <v>0</v>
      </c>
      <c r="I34" s="731">
        <v>0</v>
      </c>
      <c r="J34" s="731"/>
      <c r="K34" s="731">
        <v>0</v>
      </c>
      <c r="L34" s="731">
        <v>0</v>
      </c>
      <c r="M34" s="731">
        <v>0</v>
      </c>
      <c r="N34" s="731">
        <v>0</v>
      </c>
      <c r="O34" s="731">
        <v>0</v>
      </c>
      <c r="P34" s="731">
        <v>0</v>
      </c>
      <c r="Q34" s="732">
        <v>0</v>
      </c>
      <c r="R34" s="731">
        <v>0</v>
      </c>
      <c r="S34" s="692"/>
      <c r="T34" s="692"/>
      <c r="U34" s="692"/>
      <c r="V34" s="692"/>
      <c r="W34" s="692"/>
      <c r="X34" s="692"/>
      <c r="Y34" s="692"/>
      <c r="Z34" s="692"/>
      <c r="AA34" s="692"/>
      <c r="AB34" s="692"/>
      <c r="AC34" s="692"/>
      <c r="AD34" s="692"/>
      <c r="AE34" s="692"/>
      <c r="AF34" s="692"/>
      <c r="AG34" s="692"/>
      <c r="AH34" s="692"/>
      <c r="AI34" s="692"/>
      <c r="AJ34" s="692"/>
      <c r="AK34" s="692"/>
      <c r="AL34" s="692"/>
      <c r="AM34" s="692"/>
      <c r="AN34" s="692"/>
      <c r="AO34" s="692"/>
      <c r="AP34" s="692"/>
      <c r="AQ34" s="692"/>
      <c r="AR34" s="692"/>
      <c r="AS34" s="692"/>
      <c r="AT34" s="692"/>
      <c r="AU34" s="692"/>
      <c r="AV34" s="692"/>
      <c r="AW34" s="692"/>
      <c r="AX34" s="692"/>
      <c r="AY34" s="692"/>
      <c r="AZ34" s="692"/>
      <c r="BA34" s="692"/>
      <c r="BB34" s="692"/>
      <c r="BC34" s="692"/>
      <c r="BD34" s="692"/>
      <c r="BE34" s="692"/>
      <c r="BF34" s="692"/>
      <c r="BG34" s="692"/>
      <c r="BH34" s="692"/>
      <c r="BI34" s="692"/>
      <c r="BJ34" s="692"/>
      <c r="BK34" s="692"/>
      <c r="BL34" s="692"/>
      <c r="BM34" s="692"/>
      <c r="BN34" s="692"/>
      <c r="BO34" s="692"/>
      <c r="BP34" s="692"/>
      <c r="BQ34" s="692"/>
      <c r="BR34" s="692"/>
      <c r="BS34" s="692"/>
      <c r="BT34" s="692"/>
      <c r="BU34" s="692"/>
      <c r="BV34" s="692"/>
      <c r="BW34" s="692"/>
      <c r="BX34" s="692"/>
      <c r="BY34" s="692"/>
      <c r="BZ34" s="692"/>
      <c r="CA34" s="692"/>
      <c r="CB34" s="692"/>
      <c r="CC34" s="692"/>
      <c r="CD34" s="692"/>
      <c r="CE34" s="692"/>
      <c r="CF34" s="692"/>
      <c r="CG34" s="692"/>
      <c r="CH34" s="692"/>
      <c r="CI34" s="692"/>
      <c r="CJ34" s="692"/>
      <c r="CK34" s="692"/>
      <c r="CL34" s="692"/>
      <c r="CM34" s="692"/>
      <c r="CN34" s="692"/>
      <c r="CO34" s="692"/>
      <c r="CP34" s="692"/>
      <c r="CQ34" s="692"/>
      <c r="CR34" s="692"/>
      <c r="CS34" s="692"/>
      <c r="CT34" s="692"/>
      <c r="CU34" s="692"/>
      <c r="CV34" s="692"/>
      <c r="CW34" s="692"/>
      <c r="CX34" s="692"/>
      <c r="CY34" s="692"/>
      <c r="CZ34" s="692"/>
      <c r="DA34" s="692"/>
      <c r="DB34" s="692"/>
      <c r="DC34" s="692"/>
      <c r="DD34" s="692"/>
      <c r="DE34" s="692"/>
      <c r="DF34" s="692"/>
      <c r="DG34" s="692"/>
      <c r="DH34" s="692"/>
      <c r="DI34" s="692"/>
      <c r="DJ34" s="692"/>
      <c r="DK34" s="692"/>
      <c r="DL34" s="692"/>
      <c r="DM34" s="692"/>
      <c r="DN34" s="692"/>
      <c r="DO34" s="692"/>
      <c r="DP34" s="692"/>
      <c r="DQ34" s="692"/>
      <c r="DR34" s="692"/>
      <c r="DS34" s="692"/>
      <c r="DT34" s="692"/>
      <c r="DU34" s="692"/>
      <c r="DV34" s="692"/>
      <c r="DW34" s="692"/>
      <c r="DX34" s="692"/>
      <c r="DY34" s="692"/>
      <c r="DZ34" s="692"/>
      <c r="EA34" s="692"/>
      <c r="EB34" s="692"/>
      <c r="EC34" s="692"/>
      <c r="ED34" s="692"/>
      <c r="EE34" s="692"/>
      <c r="EF34" s="692"/>
      <c r="EG34" s="692"/>
      <c r="EH34" s="692"/>
      <c r="EI34" s="692"/>
      <c r="EJ34" s="692"/>
      <c r="EK34" s="692"/>
      <c r="EL34" s="692"/>
      <c r="EM34" s="692"/>
      <c r="EN34" s="692"/>
      <c r="EO34" s="692"/>
      <c r="EP34" s="692"/>
      <c r="EQ34" s="692"/>
      <c r="ER34" s="692"/>
      <c r="ES34" s="692"/>
      <c r="ET34" s="692"/>
      <c r="EU34" s="692"/>
      <c r="EV34" s="692"/>
      <c r="EW34" s="692"/>
      <c r="EX34" s="692"/>
      <c r="EY34" s="692"/>
      <c r="EZ34" s="692"/>
      <c r="FA34" s="692"/>
      <c r="FB34" s="692"/>
      <c r="FC34" s="692"/>
      <c r="FD34" s="692"/>
      <c r="FE34" s="692"/>
      <c r="FF34" s="692"/>
      <c r="FG34" s="692"/>
      <c r="FH34" s="692"/>
      <c r="FI34" s="692"/>
      <c r="FJ34" s="692"/>
      <c r="FK34" s="692"/>
      <c r="FL34" s="692"/>
      <c r="FM34" s="692"/>
      <c r="FN34" s="692"/>
      <c r="FO34" s="692"/>
      <c r="FP34" s="692"/>
      <c r="FQ34" s="692"/>
      <c r="FR34" s="692"/>
      <c r="FS34" s="692"/>
      <c r="FT34" s="692"/>
      <c r="FU34" s="692"/>
      <c r="FV34" s="692"/>
      <c r="FW34" s="692"/>
      <c r="FX34" s="692"/>
      <c r="FY34" s="692"/>
      <c r="FZ34" s="692"/>
      <c r="GA34" s="692"/>
      <c r="GB34" s="692"/>
      <c r="GC34" s="692"/>
      <c r="GD34" s="692"/>
      <c r="GE34" s="692"/>
      <c r="GF34" s="692"/>
      <c r="GG34" s="692"/>
      <c r="GH34" s="692"/>
      <c r="GI34" s="692"/>
      <c r="GJ34" s="692"/>
      <c r="GK34" s="692"/>
      <c r="GL34" s="692"/>
      <c r="GM34" s="692"/>
      <c r="GN34" s="692"/>
      <c r="GO34" s="692"/>
      <c r="GP34" s="692"/>
      <c r="GQ34" s="692"/>
      <c r="GR34" s="692"/>
      <c r="GS34" s="692"/>
      <c r="GT34" s="692"/>
      <c r="GU34" s="692"/>
      <c r="GV34" s="692"/>
      <c r="GW34" s="692"/>
      <c r="GX34" s="692"/>
      <c r="GY34" s="692"/>
      <c r="GZ34" s="692"/>
      <c r="HA34" s="692"/>
      <c r="HB34" s="692"/>
      <c r="HC34" s="692"/>
      <c r="HD34" s="692"/>
      <c r="HE34" s="692"/>
      <c r="HF34" s="692"/>
      <c r="HG34" s="692"/>
      <c r="HH34" s="692"/>
      <c r="HI34" s="692"/>
      <c r="HJ34" s="692"/>
      <c r="HK34" s="692"/>
      <c r="HL34" s="692"/>
      <c r="HM34" s="692"/>
      <c r="HN34" s="692"/>
      <c r="HO34" s="692"/>
      <c r="HP34" s="692"/>
      <c r="HQ34" s="692"/>
      <c r="HR34" s="692"/>
      <c r="HS34" s="692"/>
      <c r="HT34" s="692"/>
      <c r="HU34" s="692"/>
      <c r="HV34" s="692"/>
      <c r="HW34" s="692"/>
      <c r="HX34" s="692"/>
      <c r="HY34" s="692"/>
      <c r="HZ34" s="692"/>
      <c r="IA34" s="692"/>
      <c r="IB34" s="692"/>
      <c r="IC34" s="692"/>
      <c r="ID34" s="692"/>
      <c r="IE34" s="692"/>
    </row>
    <row r="35" spans="1:239" customHeight="1" ht="17.4" s="701" customFormat="1">
      <c r="A35" s="728" t="s">
        <v>322</v>
      </c>
      <c r="B35" s="729" t="s">
        <v>308</v>
      </c>
      <c r="C35" s="729" t="s">
        <v>284</v>
      </c>
      <c r="D35" s="730" t="s">
        <v>321</v>
      </c>
      <c r="E35" s="730" t="s">
        <v>310</v>
      </c>
      <c r="F35" s="726">
        <f>SUM(G35:R35)</f>
        <v>15.57</v>
      </c>
      <c r="G35" s="731">
        <v>0</v>
      </c>
      <c r="H35" s="731">
        <v>0</v>
      </c>
      <c r="I35" s="731">
        <v>0</v>
      </c>
      <c r="J35" s="731">
        <v>0</v>
      </c>
      <c r="K35" s="731">
        <v>0</v>
      </c>
      <c r="L35" s="731">
        <v>0</v>
      </c>
      <c r="M35" s="731">
        <v>0</v>
      </c>
      <c r="N35" s="731">
        <v>0</v>
      </c>
      <c r="O35" s="731">
        <v>15.57</v>
      </c>
      <c r="P35" s="731">
        <v>0</v>
      </c>
      <c r="Q35" s="731">
        <v>0</v>
      </c>
      <c r="R35" s="731">
        <v>0</v>
      </c>
      <c r="S35" s="692"/>
      <c r="T35" s="692"/>
      <c r="U35" s="692"/>
      <c r="V35" s="692"/>
      <c r="W35" s="692"/>
      <c r="X35" s="692"/>
      <c r="Y35" s="692"/>
      <c r="Z35" s="692"/>
      <c r="AA35" s="692"/>
      <c r="AB35" s="692"/>
      <c r="AC35" s="692"/>
      <c r="AD35" s="692"/>
      <c r="AE35" s="692"/>
      <c r="AF35" s="692"/>
      <c r="AG35" s="692"/>
      <c r="AH35" s="692"/>
      <c r="AI35" s="692"/>
      <c r="AJ35" s="692"/>
      <c r="AK35" s="692"/>
      <c r="AL35" s="692"/>
      <c r="AM35" s="692"/>
      <c r="AN35" s="692"/>
      <c r="AO35" s="692"/>
      <c r="AP35" s="692"/>
      <c r="AQ35" s="692"/>
      <c r="AR35" s="692"/>
      <c r="AS35" s="692"/>
      <c r="AT35" s="692"/>
      <c r="AU35" s="692"/>
      <c r="AV35" s="692"/>
      <c r="AW35" s="692"/>
      <c r="AX35" s="692"/>
      <c r="AY35" s="692"/>
      <c r="AZ35" s="692"/>
      <c r="BA35" s="692"/>
      <c r="BB35" s="692"/>
      <c r="BC35" s="692"/>
      <c r="BD35" s="692"/>
      <c r="BE35" s="692"/>
      <c r="BF35" s="692"/>
      <c r="BG35" s="692"/>
      <c r="BH35" s="692"/>
      <c r="BI35" s="692"/>
      <c r="BJ35" s="692"/>
      <c r="BK35" s="692"/>
      <c r="BL35" s="692"/>
      <c r="BM35" s="692"/>
      <c r="BN35" s="692"/>
      <c r="BO35" s="692"/>
      <c r="BP35" s="692"/>
      <c r="BQ35" s="692"/>
      <c r="BR35" s="692"/>
      <c r="BS35" s="692"/>
      <c r="BT35" s="692"/>
      <c r="BU35" s="692"/>
      <c r="BV35" s="692"/>
      <c r="BW35" s="692"/>
      <c r="BX35" s="692"/>
      <c r="BY35" s="692"/>
      <c r="BZ35" s="692"/>
      <c r="CA35" s="692"/>
      <c r="CB35" s="692"/>
      <c r="CC35" s="692"/>
      <c r="CD35" s="692"/>
      <c r="CE35" s="692"/>
      <c r="CF35" s="692"/>
      <c r="CG35" s="692"/>
      <c r="CH35" s="692"/>
      <c r="CI35" s="692"/>
      <c r="CJ35" s="692"/>
      <c r="CK35" s="692"/>
      <c r="CL35" s="692"/>
      <c r="CM35" s="692"/>
      <c r="CN35" s="692"/>
      <c r="CO35" s="692"/>
      <c r="CP35" s="692"/>
      <c r="CQ35" s="692"/>
      <c r="CR35" s="692"/>
      <c r="CS35" s="692"/>
      <c r="CT35" s="692"/>
      <c r="CU35" s="692"/>
      <c r="CV35" s="692"/>
      <c r="CW35" s="692"/>
      <c r="CX35" s="692"/>
      <c r="CY35" s="692"/>
      <c r="CZ35" s="692"/>
      <c r="DA35" s="692"/>
      <c r="DB35" s="692"/>
      <c r="DC35" s="692"/>
      <c r="DD35" s="692"/>
      <c r="DE35" s="692"/>
      <c r="DF35" s="692"/>
      <c r="DG35" s="692"/>
      <c r="DH35" s="692"/>
      <c r="DI35" s="692"/>
      <c r="DJ35" s="692"/>
      <c r="DK35" s="692"/>
      <c r="DL35" s="692"/>
      <c r="DM35" s="692"/>
      <c r="DN35" s="692"/>
      <c r="DO35" s="692"/>
      <c r="DP35" s="692"/>
      <c r="DQ35" s="692"/>
      <c r="DR35" s="692"/>
      <c r="DS35" s="692"/>
      <c r="DT35" s="692"/>
      <c r="DU35" s="692"/>
      <c r="DV35" s="692"/>
      <c r="DW35" s="692"/>
      <c r="DX35" s="692"/>
      <c r="DY35" s="692"/>
      <c r="DZ35" s="692"/>
      <c r="EA35" s="692"/>
      <c r="EB35" s="692"/>
      <c r="EC35" s="692"/>
      <c r="ED35" s="692"/>
      <c r="EE35" s="692"/>
      <c r="EF35" s="692"/>
      <c r="EG35" s="692"/>
      <c r="EH35" s="692"/>
      <c r="EI35" s="692"/>
      <c r="EJ35" s="692"/>
      <c r="EK35" s="692"/>
      <c r="EL35" s="692"/>
      <c r="EM35" s="692"/>
      <c r="EN35" s="692"/>
      <c r="EO35" s="692"/>
      <c r="EP35" s="692"/>
      <c r="EQ35" s="692"/>
      <c r="ER35" s="692"/>
      <c r="ES35" s="692"/>
      <c r="ET35" s="692"/>
      <c r="EU35" s="692"/>
      <c r="EV35" s="692"/>
      <c r="EW35" s="692"/>
      <c r="EX35" s="692"/>
      <c r="EY35" s="692"/>
      <c r="EZ35" s="692"/>
      <c r="FA35" s="692"/>
      <c r="FB35" s="692"/>
      <c r="FC35" s="692"/>
      <c r="FD35" s="692"/>
      <c r="FE35" s="692"/>
      <c r="FF35" s="692"/>
      <c r="FG35" s="692"/>
      <c r="FH35" s="692"/>
      <c r="FI35" s="692"/>
      <c r="FJ35" s="692"/>
      <c r="FK35" s="692"/>
      <c r="FL35" s="692"/>
      <c r="FM35" s="692"/>
      <c r="FN35" s="692"/>
      <c r="FO35" s="692"/>
      <c r="FP35" s="692"/>
      <c r="FQ35" s="692"/>
      <c r="FR35" s="692"/>
      <c r="FS35" s="692"/>
      <c r="FT35" s="692"/>
      <c r="FU35" s="692"/>
      <c r="FV35" s="692"/>
      <c r="FW35" s="692"/>
      <c r="FX35" s="692"/>
      <c r="FY35" s="692"/>
      <c r="FZ35" s="692"/>
      <c r="GA35" s="692"/>
      <c r="GB35" s="692"/>
      <c r="GC35" s="692"/>
      <c r="GD35" s="692"/>
      <c r="GE35" s="692"/>
      <c r="GF35" s="692"/>
      <c r="GG35" s="692"/>
      <c r="GH35" s="692"/>
      <c r="GI35" s="692"/>
      <c r="GJ35" s="692"/>
      <c r="GK35" s="692"/>
      <c r="GL35" s="692"/>
      <c r="GM35" s="692"/>
      <c r="GN35" s="692"/>
      <c r="GO35" s="692"/>
      <c r="GP35" s="692"/>
      <c r="GQ35" s="692"/>
      <c r="GR35" s="692"/>
      <c r="GS35" s="692"/>
      <c r="GT35" s="692"/>
      <c r="GU35" s="692"/>
      <c r="GV35" s="692"/>
      <c r="GW35" s="692"/>
      <c r="GX35" s="692"/>
      <c r="GY35" s="692"/>
      <c r="GZ35" s="692"/>
      <c r="HA35" s="692"/>
      <c r="HB35" s="692"/>
      <c r="HC35" s="692"/>
      <c r="HD35" s="692"/>
      <c r="HE35" s="692"/>
      <c r="HF35" s="692"/>
      <c r="HG35" s="692"/>
      <c r="HH35" s="692"/>
      <c r="HI35" s="692"/>
      <c r="HJ35" s="692"/>
      <c r="HK35" s="692"/>
      <c r="HL35" s="692"/>
      <c r="HM35" s="692"/>
      <c r="HN35" s="692"/>
      <c r="HO35" s="692"/>
      <c r="HP35" s="692"/>
      <c r="HQ35" s="692"/>
      <c r="HR35" s="692"/>
      <c r="HS35" s="692"/>
      <c r="HT35" s="692"/>
      <c r="HU35" s="692"/>
      <c r="HV35" s="692"/>
      <c r="HW35" s="692"/>
      <c r="HX35" s="692"/>
      <c r="HY35" s="692"/>
      <c r="HZ35" s="692"/>
      <c r="IA35" s="692"/>
      <c r="IB35" s="692"/>
      <c r="IC35" s="692"/>
      <c r="ID35" s="692"/>
      <c r="IE35" s="692"/>
    </row>
    <row r="36" spans="1:239" customHeight="1" ht="17.4" s="701" customFormat="1">
      <c r="A36" s="728"/>
      <c r="B36" s="729"/>
      <c r="C36" s="729" t="s">
        <v>301</v>
      </c>
      <c r="D36" s="730"/>
      <c r="E36" s="730"/>
      <c r="F36" s="726">
        <f>SUM(G36:R36)</f>
        <v>0</v>
      </c>
      <c r="G36" s="731">
        <v>0</v>
      </c>
      <c r="H36" s="731">
        <v>0</v>
      </c>
      <c r="I36" s="731">
        <v>0</v>
      </c>
      <c r="J36" s="731"/>
      <c r="K36" s="731">
        <v>0</v>
      </c>
      <c r="L36" s="731">
        <v>0</v>
      </c>
      <c r="M36" s="731">
        <v>0</v>
      </c>
      <c r="N36" s="731">
        <v>0</v>
      </c>
      <c r="O36" s="731">
        <v>0</v>
      </c>
      <c r="P36" s="731">
        <v>0</v>
      </c>
      <c r="Q36" s="732">
        <v>0</v>
      </c>
      <c r="R36" s="731">
        <v>0</v>
      </c>
      <c r="S36" s="692"/>
      <c r="T36" s="692"/>
      <c r="U36" s="692"/>
      <c r="V36" s="692"/>
      <c r="W36" s="692"/>
      <c r="X36" s="692"/>
      <c r="Y36" s="692"/>
      <c r="Z36" s="692"/>
      <c r="AA36" s="692"/>
      <c r="AB36" s="692"/>
      <c r="AC36" s="692"/>
      <c r="AD36" s="692"/>
      <c r="AE36" s="692"/>
      <c r="AF36" s="692"/>
      <c r="AG36" s="692"/>
      <c r="AH36" s="692"/>
      <c r="AI36" s="692"/>
      <c r="AJ36" s="692"/>
      <c r="AK36" s="692"/>
      <c r="AL36" s="692"/>
      <c r="AM36" s="692"/>
      <c r="AN36" s="692"/>
      <c r="AO36" s="692"/>
      <c r="AP36" s="692"/>
      <c r="AQ36" s="692"/>
      <c r="AR36" s="692"/>
      <c r="AS36" s="692"/>
      <c r="AT36" s="692"/>
      <c r="AU36" s="692"/>
      <c r="AV36" s="692"/>
      <c r="AW36" s="692"/>
      <c r="AX36" s="692"/>
      <c r="AY36" s="692"/>
      <c r="AZ36" s="692"/>
      <c r="BA36" s="692"/>
      <c r="BB36" s="692"/>
      <c r="BC36" s="692"/>
      <c r="BD36" s="692"/>
      <c r="BE36" s="692"/>
      <c r="BF36" s="692"/>
      <c r="BG36" s="692"/>
      <c r="BH36" s="692"/>
      <c r="BI36" s="692"/>
      <c r="BJ36" s="692"/>
      <c r="BK36" s="692"/>
      <c r="BL36" s="692"/>
      <c r="BM36" s="692"/>
      <c r="BN36" s="692"/>
      <c r="BO36" s="692"/>
      <c r="BP36" s="692"/>
      <c r="BQ36" s="692"/>
      <c r="BR36" s="692"/>
      <c r="BS36" s="692"/>
      <c r="BT36" s="692"/>
      <c r="BU36" s="692"/>
      <c r="BV36" s="692"/>
      <c r="BW36" s="692"/>
      <c r="BX36" s="692"/>
      <c r="BY36" s="692"/>
      <c r="BZ36" s="692"/>
      <c r="CA36" s="692"/>
      <c r="CB36" s="692"/>
      <c r="CC36" s="692"/>
      <c r="CD36" s="692"/>
      <c r="CE36" s="692"/>
      <c r="CF36" s="692"/>
      <c r="CG36" s="692"/>
      <c r="CH36" s="692"/>
      <c r="CI36" s="692"/>
      <c r="CJ36" s="692"/>
      <c r="CK36" s="692"/>
      <c r="CL36" s="692"/>
      <c r="CM36" s="692"/>
      <c r="CN36" s="692"/>
      <c r="CO36" s="692"/>
      <c r="CP36" s="692"/>
      <c r="CQ36" s="692"/>
      <c r="CR36" s="692"/>
      <c r="CS36" s="692"/>
      <c r="CT36" s="692"/>
      <c r="CU36" s="692"/>
      <c r="CV36" s="692"/>
      <c r="CW36" s="692"/>
      <c r="CX36" s="692"/>
      <c r="CY36" s="692"/>
      <c r="CZ36" s="692"/>
      <c r="DA36" s="692"/>
      <c r="DB36" s="692"/>
      <c r="DC36" s="692"/>
      <c r="DD36" s="692"/>
      <c r="DE36" s="692"/>
      <c r="DF36" s="692"/>
      <c r="DG36" s="692"/>
      <c r="DH36" s="692"/>
      <c r="DI36" s="692"/>
      <c r="DJ36" s="692"/>
      <c r="DK36" s="692"/>
      <c r="DL36" s="692"/>
      <c r="DM36" s="692"/>
      <c r="DN36" s="692"/>
      <c r="DO36" s="692"/>
      <c r="DP36" s="692"/>
      <c r="DQ36" s="692"/>
      <c r="DR36" s="692"/>
      <c r="DS36" s="692"/>
      <c r="DT36" s="692"/>
      <c r="DU36" s="692"/>
      <c r="DV36" s="692"/>
      <c r="DW36" s="692"/>
      <c r="DX36" s="692"/>
      <c r="DY36" s="692"/>
      <c r="DZ36" s="692"/>
      <c r="EA36" s="692"/>
      <c r="EB36" s="692"/>
      <c r="EC36" s="692"/>
      <c r="ED36" s="692"/>
      <c r="EE36" s="692"/>
      <c r="EF36" s="692"/>
      <c r="EG36" s="692"/>
      <c r="EH36" s="692"/>
      <c r="EI36" s="692"/>
      <c r="EJ36" s="692"/>
      <c r="EK36" s="692"/>
      <c r="EL36" s="692"/>
      <c r="EM36" s="692"/>
      <c r="EN36" s="692"/>
      <c r="EO36" s="692"/>
      <c r="EP36" s="692"/>
      <c r="EQ36" s="692"/>
      <c r="ER36" s="692"/>
      <c r="ES36" s="692"/>
      <c r="ET36" s="692"/>
      <c r="EU36" s="692"/>
      <c r="EV36" s="692"/>
      <c r="EW36" s="692"/>
      <c r="EX36" s="692"/>
      <c r="EY36" s="692"/>
      <c r="EZ36" s="692"/>
      <c r="FA36" s="692"/>
      <c r="FB36" s="692"/>
      <c r="FC36" s="692"/>
      <c r="FD36" s="692"/>
      <c r="FE36" s="692"/>
      <c r="FF36" s="692"/>
      <c r="FG36" s="692"/>
      <c r="FH36" s="692"/>
      <c r="FI36" s="692"/>
      <c r="FJ36" s="692"/>
      <c r="FK36" s="692"/>
      <c r="FL36" s="692"/>
      <c r="FM36" s="692"/>
      <c r="FN36" s="692"/>
      <c r="FO36" s="692"/>
      <c r="FP36" s="692"/>
      <c r="FQ36" s="692"/>
      <c r="FR36" s="692"/>
      <c r="FS36" s="692"/>
      <c r="FT36" s="692"/>
      <c r="FU36" s="692"/>
      <c r="FV36" s="692"/>
      <c r="FW36" s="692"/>
      <c r="FX36" s="692"/>
      <c r="FY36" s="692"/>
      <c r="FZ36" s="692"/>
      <c r="GA36" s="692"/>
      <c r="GB36" s="692"/>
      <c r="GC36" s="692"/>
      <c r="GD36" s="692"/>
      <c r="GE36" s="692"/>
      <c r="GF36" s="692"/>
      <c r="GG36" s="692"/>
      <c r="GH36" s="692"/>
      <c r="GI36" s="692"/>
      <c r="GJ36" s="692"/>
      <c r="GK36" s="692"/>
      <c r="GL36" s="692"/>
      <c r="GM36" s="692"/>
      <c r="GN36" s="692"/>
      <c r="GO36" s="692"/>
      <c r="GP36" s="692"/>
      <c r="GQ36" s="692"/>
      <c r="GR36" s="692"/>
      <c r="GS36" s="692"/>
      <c r="GT36" s="692"/>
      <c r="GU36" s="692"/>
      <c r="GV36" s="692"/>
      <c r="GW36" s="692"/>
      <c r="GX36" s="692"/>
      <c r="GY36" s="692"/>
      <c r="GZ36" s="692"/>
      <c r="HA36" s="692"/>
      <c r="HB36" s="692"/>
      <c r="HC36" s="692"/>
      <c r="HD36" s="692"/>
      <c r="HE36" s="692"/>
      <c r="HF36" s="692"/>
      <c r="HG36" s="692"/>
      <c r="HH36" s="692"/>
      <c r="HI36" s="692"/>
      <c r="HJ36" s="692"/>
      <c r="HK36" s="692"/>
      <c r="HL36" s="692"/>
      <c r="HM36" s="692"/>
      <c r="HN36" s="692"/>
      <c r="HO36" s="692"/>
      <c r="HP36" s="692"/>
      <c r="HQ36" s="692"/>
      <c r="HR36" s="692"/>
      <c r="HS36" s="692"/>
      <c r="HT36" s="692"/>
      <c r="HU36" s="692"/>
      <c r="HV36" s="692"/>
      <c r="HW36" s="692"/>
      <c r="HX36" s="692"/>
      <c r="HY36" s="692"/>
      <c r="HZ36" s="692"/>
      <c r="IA36" s="692"/>
      <c r="IB36" s="692"/>
      <c r="IC36" s="692"/>
      <c r="ID36" s="692"/>
      <c r="IE36" s="692"/>
    </row>
    <row r="37" spans="1:239" customHeight="1" ht="17.4" s="701" customFormat="1">
      <c r="A37" s="728" t="s">
        <v>323</v>
      </c>
      <c r="B37" s="729" t="s">
        <v>308</v>
      </c>
      <c r="C37" s="729" t="s">
        <v>284</v>
      </c>
      <c r="D37" s="730" t="s">
        <v>321</v>
      </c>
      <c r="E37" s="730" t="s">
        <v>310</v>
      </c>
      <c r="F37" s="726">
        <f>SUM(G37:R37)</f>
        <v>69.81</v>
      </c>
      <c r="G37" s="731">
        <v>69.81</v>
      </c>
      <c r="H37" s="731">
        <v>0</v>
      </c>
      <c r="I37" s="731">
        <v>0</v>
      </c>
      <c r="J37" s="731">
        <v>0</v>
      </c>
      <c r="K37" s="731">
        <v>0</v>
      </c>
      <c r="L37" s="731">
        <v>0</v>
      </c>
      <c r="M37" s="731">
        <v>0</v>
      </c>
      <c r="N37" s="731">
        <v>0</v>
      </c>
      <c r="O37" s="731">
        <v>0</v>
      </c>
      <c r="P37" s="731">
        <v>0</v>
      </c>
      <c r="Q37" s="731">
        <v>0</v>
      </c>
      <c r="R37" s="731">
        <v>0</v>
      </c>
      <c r="S37" s="692"/>
      <c r="T37" s="692"/>
      <c r="U37" s="692"/>
      <c r="V37" s="692"/>
      <c r="W37" s="692"/>
      <c r="X37" s="692"/>
      <c r="Y37" s="692"/>
      <c r="Z37" s="692"/>
      <c r="AA37" s="692"/>
      <c r="AB37" s="692"/>
      <c r="AC37" s="692"/>
      <c r="AD37" s="692"/>
      <c r="AE37" s="692"/>
      <c r="AF37" s="692"/>
      <c r="AG37" s="692"/>
      <c r="AH37" s="692"/>
      <c r="AI37" s="692"/>
      <c r="AJ37" s="692"/>
      <c r="AK37" s="692"/>
      <c r="AL37" s="692"/>
      <c r="AM37" s="692"/>
      <c r="AN37" s="692"/>
      <c r="AO37" s="692"/>
      <c r="AP37" s="692"/>
      <c r="AQ37" s="692"/>
      <c r="AR37" s="692"/>
      <c r="AS37" s="692"/>
      <c r="AT37" s="692"/>
      <c r="AU37" s="692"/>
      <c r="AV37" s="692"/>
      <c r="AW37" s="692"/>
      <c r="AX37" s="692"/>
      <c r="AY37" s="692"/>
      <c r="AZ37" s="692"/>
      <c r="BA37" s="692"/>
      <c r="BB37" s="692"/>
      <c r="BC37" s="692"/>
      <c r="BD37" s="692"/>
      <c r="BE37" s="692"/>
      <c r="BF37" s="692"/>
      <c r="BG37" s="692"/>
      <c r="BH37" s="692"/>
      <c r="BI37" s="692"/>
      <c r="BJ37" s="692"/>
      <c r="BK37" s="692"/>
      <c r="BL37" s="692"/>
      <c r="BM37" s="692"/>
      <c r="BN37" s="692"/>
      <c r="BO37" s="692"/>
      <c r="BP37" s="692"/>
      <c r="BQ37" s="692"/>
      <c r="BR37" s="692"/>
      <c r="BS37" s="692"/>
      <c r="BT37" s="692"/>
      <c r="BU37" s="692"/>
      <c r="BV37" s="692"/>
      <c r="BW37" s="692"/>
      <c r="BX37" s="692"/>
      <c r="BY37" s="692"/>
      <c r="BZ37" s="692"/>
      <c r="CA37" s="692"/>
      <c r="CB37" s="692"/>
      <c r="CC37" s="692"/>
      <c r="CD37" s="692"/>
      <c r="CE37" s="692"/>
      <c r="CF37" s="692"/>
      <c r="CG37" s="692"/>
      <c r="CH37" s="692"/>
      <c r="CI37" s="692"/>
      <c r="CJ37" s="692"/>
      <c r="CK37" s="692"/>
      <c r="CL37" s="692"/>
      <c r="CM37" s="692"/>
      <c r="CN37" s="692"/>
      <c r="CO37" s="692"/>
      <c r="CP37" s="692"/>
      <c r="CQ37" s="692"/>
      <c r="CR37" s="692"/>
      <c r="CS37" s="692"/>
      <c r="CT37" s="692"/>
      <c r="CU37" s="692"/>
      <c r="CV37" s="692"/>
      <c r="CW37" s="692"/>
      <c r="CX37" s="692"/>
      <c r="CY37" s="692"/>
      <c r="CZ37" s="692"/>
      <c r="DA37" s="692"/>
      <c r="DB37" s="692"/>
      <c r="DC37" s="692"/>
      <c r="DD37" s="692"/>
      <c r="DE37" s="692"/>
      <c r="DF37" s="692"/>
      <c r="DG37" s="692"/>
      <c r="DH37" s="692"/>
      <c r="DI37" s="692"/>
      <c r="DJ37" s="692"/>
      <c r="DK37" s="692"/>
      <c r="DL37" s="692"/>
      <c r="DM37" s="692"/>
      <c r="DN37" s="692"/>
      <c r="DO37" s="692"/>
      <c r="DP37" s="692"/>
      <c r="DQ37" s="692"/>
      <c r="DR37" s="692"/>
      <c r="DS37" s="692"/>
      <c r="DT37" s="692"/>
      <c r="DU37" s="692"/>
      <c r="DV37" s="692"/>
      <c r="DW37" s="692"/>
      <c r="DX37" s="692"/>
      <c r="DY37" s="692"/>
      <c r="DZ37" s="692"/>
      <c r="EA37" s="692"/>
      <c r="EB37" s="692"/>
      <c r="EC37" s="692"/>
      <c r="ED37" s="692"/>
      <c r="EE37" s="692"/>
      <c r="EF37" s="692"/>
      <c r="EG37" s="692"/>
      <c r="EH37" s="692"/>
      <c r="EI37" s="692"/>
      <c r="EJ37" s="692"/>
      <c r="EK37" s="692"/>
      <c r="EL37" s="692"/>
      <c r="EM37" s="692"/>
      <c r="EN37" s="692"/>
      <c r="EO37" s="692"/>
      <c r="EP37" s="692"/>
      <c r="EQ37" s="692"/>
      <c r="ER37" s="692"/>
      <c r="ES37" s="692"/>
      <c r="ET37" s="692"/>
      <c r="EU37" s="692"/>
      <c r="EV37" s="692"/>
      <c r="EW37" s="692"/>
      <c r="EX37" s="692"/>
      <c r="EY37" s="692"/>
      <c r="EZ37" s="692"/>
      <c r="FA37" s="692"/>
      <c r="FB37" s="692"/>
      <c r="FC37" s="692"/>
      <c r="FD37" s="692"/>
      <c r="FE37" s="692"/>
      <c r="FF37" s="692"/>
      <c r="FG37" s="692"/>
      <c r="FH37" s="692"/>
      <c r="FI37" s="692"/>
      <c r="FJ37" s="692"/>
      <c r="FK37" s="692"/>
      <c r="FL37" s="692"/>
      <c r="FM37" s="692"/>
      <c r="FN37" s="692"/>
      <c r="FO37" s="692"/>
      <c r="FP37" s="692"/>
      <c r="FQ37" s="692"/>
      <c r="FR37" s="692"/>
      <c r="FS37" s="692"/>
      <c r="FT37" s="692"/>
      <c r="FU37" s="692"/>
      <c r="FV37" s="692"/>
      <c r="FW37" s="692"/>
      <c r="FX37" s="692"/>
      <c r="FY37" s="692"/>
      <c r="FZ37" s="692"/>
      <c r="GA37" s="692"/>
      <c r="GB37" s="692"/>
      <c r="GC37" s="692"/>
      <c r="GD37" s="692"/>
      <c r="GE37" s="692"/>
      <c r="GF37" s="692"/>
      <c r="GG37" s="692"/>
      <c r="GH37" s="692"/>
      <c r="GI37" s="692"/>
      <c r="GJ37" s="692"/>
      <c r="GK37" s="692"/>
      <c r="GL37" s="692"/>
      <c r="GM37" s="692"/>
      <c r="GN37" s="692"/>
      <c r="GO37" s="692"/>
      <c r="GP37" s="692"/>
      <c r="GQ37" s="692"/>
      <c r="GR37" s="692"/>
      <c r="GS37" s="692"/>
      <c r="GT37" s="692"/>
      <c r="GU37" s="692"/>
      <c r="GV37" s="692"/>
      <c r="GW37" s="692"/>
      <c r="GX37" s="692"/>
      <c r="GY37" s="692"/>
      <c r="GZ37" s="692"/>
      <c r="HA37" s="692"/>
      <c r="HB37" s="692"/>
      <c r="HC37" s="692"/>
      <c r="HD37" s="692"/>
      <c r="HE37" s="692"/>
      <c r="HF37" s="692"/>
      <c r="HG37" s="692"/>
      <c r="HH37" s="692"/>
      <c r="HI37" s="692"/>
      <c r="HJ37" s="692"/>
      <c r="HK37" s="692"/>
      <c r="HL37" s="692"/>
      <c r="HM37" s="692"/>
      <c r="HN37" s="692"/>
      <c r="HO37" s="692"/>
      <c r="HP37" s="692"/>
      <c r="HQ37" s="692"/>
      <c r="HR37" s="692"/>
      <c r="HS37" s="692"/>
      <c r="HT37" s="692"/>
      <c r="HU37" s="692"/>
      <c r="HV37" s="692"/>
      <c r="HW37" s="692"/>
      <c r="HX37" s="692"/>
      <c r="HY37" s="692"/>
      <c r="HZ37" s="692"/>
      <c r="IA37" s="692"/>
      <c r="IB37" s="692"/>
      <c r="IC37" s="692"/>
      <c r="ID37" s="692"/>
      <c r="IE37" s="692"/>
    </row>
    <row r="38" spans="1:239" customHeight="1" ht="17.4" s="701" customFormat="1">
      <c r="A38" s="728"/>
      <c r="B38" s="729"/>
      <c r="C38" s="729" t="s">
        <v>301</v>
      </c>
      <c r="D38" s="730"/>
      <c r="E38" s="730"/>
      <c r="F38" s="726">
        <f>SUM(G38:R38)</f>
        <v>0</v>
      </c>
      <c r="G38" s="731">
        <v>0</v>
      </c>
      <c r="H38" s="731">
        <v>0</v>
      </c>
      <c r="I38" s="731">
        <v>0</v>
      </c>
      <c r="J38" s="731"/>
      <c r="K38" s="731">
        <v>0</v>
      </c>
      <c r="L38" s="731">
        <v>0</v>
      </c>
      <c r="M38" s="731">
        <v>0</v>
      </c>
      <c r="N38" s="731">
        <v>0</v>
      </c>
      <c r="O38" s="731">
        <v>0</v>
      </c>
      <c r="P38" s="731">
        <v>0</v>
      </c>
      <c r="Q38" s="732">
        <v>0</v>
      </c>
      <c r="R38" s="731">
        <v>0</v>
      </c>
      <c r="S38" s="692"/>
      <c r="T38" s="692"/>
      <c r="U38" s="692"/>
      <c r="V38" s="692"/>
      <c r="W38" s="692"/>
      <c r="X38" s="692"/>
      <c r="Y38" s="692"/>
      <c r="Z38" s="692"/>
      <c r="AA38" s="692"/>
      <c r="AB38" s="692"/>
      <c r="AC38" s="692"/>
      <c r="AD38" s="692"/>
      <c r="AE38" s="692"/>
      <c r="AF38" s="692"/>
      <c r="AG38" s="692"/>
      <c r="AH38" s="692"/>
      <c r="AI38" s="692"/>
      <c r="AJ38" s="692"/>
      <c r="AK38" s="692"/>
      <c r="AL38" s="692"/>
      <c r="AM38" s="692"/>
      <c r="AN38" s="692"/>
      <c r="AO38" s="692"/>
      <c r="AP38" s="692"/>
      <c r="AQ38" s="692"/>
      <c r="AR38" s="692"/>
      <c r="AS38" s="692"/>
      <c r="AT38" s="692"/>
      <c r="AU38" s="692"/>
      <c r="AV38" s="692"/>
      <c r="AW38" s="692"/>
      <c r="AX38" s="692"/>
      <c r="AY38" s="692"/>
      <c r="AZ38" s="692"/>
      <c r="BA38" s="692"/>
      <c r="BB38" s="692"/>
      <c r="BC38" s="692"/>
      <c r="BD38" s="692"/>
      <c r="BE38" s="692"/>
      <c r="BF38" s="692"/>
      <c r="BG38" s="692"/>
      <c r="BH38" s="692"/>
      <c r="BI38" s="692"/>
      <c r="BJ38" s="692"/>
      <c r="BK38" s="692"/>
      <c r="BL38" s="692"/>
      <c r="BM38" s="692"/>
      <c r="BN38" s="692"/>
      <c r="BO38" s="692"/>
      <c r="BP38" s="692"/>
      <c r="BQ38" s="692"/>
      <c r="BR38" s="692"/>
      <c r="BS38" s="692"/>
      <c r="BT38" s="692"/>
      <c r="BU38" s="692"/>
      <c r="BV38" s="692"/>
      <c r="BW38" s="692"/>
      <c r="BX38" s="692"/>
      <c r="BY38" s="692"/>
      <c r="BZ38" s="692"/>
      <c r="CA38" s="692"/>
      <c r="CB38" s="692"/>
      <c r="CC38" s="692"/>
      <c r="CD38" s="692"/>
      <c r="CE38" s="692"/>
      <c r="CF38" s="692"/>
      <c r="CG38" s="692"/>
      <c r="CH38" s="692"/>
      <c r="CI38" s="692"/>
      <c r="CJ38" s="692"/>
      <c r="CK38" s="692"/>
      <c r="CL38" s="692"/>
      <c r="CM38" s="692"/>
      <c r="CN38" s="692"/>
      <c r="CO38" s="692"/>
      <c r="CP38" s="692"/>
      <c r="CQ38" s="692"/>
      <c r="CR38" s="692"/>
      <c r="CS38" s="692"/>
      <c r="CT38" s="692"/>
      <c r="CU38" s="692"/>
      <c r="CV38" s="692"/>
      <c r="CW38" s="692"/>
      <c r="CX38" s="692"/>
      <c r="CY38" s="692"/>
      <c r="CZ38" s="692"/>
      <c r="DA38" s="692"/>
      <c r="DB38" s="692"/>
      <c r="DC38" s="692"/>
      <c r="DD38" s="692"/>
      <c r="DE38" s="692"/>
      <c r="DF38" s="692"/>
      <c r="DG38" s="692"/>
      <c r="DH38" s="692"/>
      <c r="DI38" s="692"/>
      <c r="DJ38" s="692"/>
      <c r="DK38" s="692"/>
      <c r="DL38" s="692"/>
      <c r="DM38" s="692"/>
      <c r="DN38" s="692"/>
      <c r="DO38" s="692"/>
      <c r="DP38" s="692"/>
      <c r="DQ38" s="692"/>
      <c r="DR38" s="692"/>
      <c r="DS38" s="692"/>
      <c r="DT38" s="692"/>
      <c r="DU38" s="692"/>
      <c r="DV38" s="692"/>
      <c r="DW38" s="692"/>
      <c r="DX38" s="692"/>
      <c r="DY38" s="692"/>
      <c r="DZ38" s="692"/>
      <c r="EA38" s="692"/>
      <c r="EB38" s="692"/>
      <c r="EC38" s="692"/>
      <c r="ED38" s="692"/>
      <c r="EE38" s="692"/>
      <c r="EF38" s="692"/>
      <c r="EG38" s="692"/>
      <c r="EH38" s="692"/>
      <c r="EI38" s="692"/>
      <c r="EJ38" s="692"/>
      <c r="EK38" s="692"/>
      <c r="EL38" s="692"/>
      <c r="EM38" s="692"/>
      <c r="EN38" s="692"/>
      <c r="EO38" s="692"/>
      <c r="EP38" s="692"/>
      <c r="EQ38" s="692"/>
      <c r="ER38" s="692"/>
      <c r="ES38" s="692"/>
      <c r="ET38" s="692"/>
      <c r="EU38" s="692"/>
      <c r="EV38" s="692"/>
      <c r="EW38" s="692"/>
      <c r="EX38" s="692"/>
      <c r="EY38" s="692"/>
      <c r="EZ38" s="692"/>
      <c r="FA38" s="692"/>
      <c r="FB38" s="692"/>
      <c r="FC38" s="692"/>
      <c r="FD38" s="692"/>
      <c r="FE38" s="692"/>
      <c r="FF38" s="692"/>
      <c r="FG38" s="692"/>
      <c r="FH38" s="692"/>
      <c r="FI38" s="692"/>
      <c r="FJ38" s="692"/>
      <c r="FK38" s="692"/>
      <c r="FL38" s="692"/>
      <c r="FM38" s="692"/>
      <c r="FN38" s="692"/>
      <c r="FO38" s="692"/>
      <c r="FP38" s="692"/>
      <c r="FQ38" s="692"/>
      <c r="FR38" s="692"/>
      <c r="FS38" s="692"/>
      <c r="FT38" s="692"/>
      <c r="FU38" s="692"/>
      <c r="FV38" s="692"/>
      <c r="FW38" s="692"/>
      <c r="FX38" s="692"/>
      <c r="FY38" s="692"/>
      <c r="FZ38" s="692"/>
      <c r="GA38" s="692"/>
      <c r="GB38" s="692"/>
      <c r="GC38" s="692"/>
      <c r="GD38" s="692"/>
      <c r="GE38" s="692"/>
      <c r="GF38" s="692"/>
      <c r="GG38" s="692"/>
      <c r="GH38" s="692"/>
      <c r="GI38" s="692"/>
      <c r="GJ38" s="692"/>
      <c r="GK38" s="692"/>
      <c r="GL38" s="692"/>
      <c r="GM38" s="692"/>
      <c r="GN38" s="692"/>
      <c r="GO38" s="692"/>
      <c r="GP38" s="692"/>
      <c r="GQ38" s="692"/>
      <c r="GR38" s="692"/>
      <c r="GS38" s="692"/>
      <c r="GT38" s="692"/>
      <c r="GU38" s="692"/>
      <c r="GV38" s="692"/>
      <c r="GW38" s="692"/>
      <c r="GX38" s="692"/>
      <c r="GY38" s="692"/>
      <c r="GZ38" s="692"/>
      <c r="HA38" s="692"/>
      <c r="HB38" s="692"/>
      <c r="HC38" s="692"/>
      <c r="HD38" s="692"/>
      <c r="HE38" s="692"/>
      <c r="HF38" s="692"/>
      <c r="HG38" s="692"/>
      <c r="HH38" s="692"/>
      <c r="HI38" s="692"/>
      <c r="HJ38" s="692"/>
      <c r="HK38" s="692"/>
      <c r="HL38" s="692"/>
      <c r="HM38" s="692"/>
      <c r="HN38" s="692"/>
      <c r="HO38" s="692"/>
      <c r="HP38" s="692"/>
      <c r="HQ38" s="692"/>
      <c r="HR38" s="692"/>
      <c r="HS38" s="692"/>
      <c r="HT38" s="692"/>
      <c r="HU38" s="692"/>
      <c r="HV38" s="692"/>
      <c r="HW38" s="692"/>
      <c r="HX38" s="692"/>
      <c r="HY38" s="692"/>
      <c r="HZ38" s="692"/>
      <c r="IA38" s="692"/>
      <c r="IB38" s="692"/>
      <c r="IC38" s="692"/>
      <c r="ID38" s="692"/>
      <c r="IE38" s="692"/>
    </row>
    <row r="39" spans="1:239" customHeight="1" ht="26.4" s="701" customFormat="1">
      <c r="A39" s="702" t="s">
        <v>324</v>
      </c>
      <c r="B39" s="703" t="s">
        <v>308</v>
      </c>
      <c r="C39" s="703" t="s">
        <v>284</v>
      </c>
      <c r="D39" s="704" t="s">
        <v>325</v>
      </c>
      <c r="E39" s="704" t="s">
        <v>283</v>
      </c>
      <c r="F39" s="726">
        <f>SUM(G39:R39)</f>
        <v>1773.76999999999975</v>
      </c>
      <c r="G39" s="711">
        <v>150.94</v>
      </c>
      <c r="H39" s="711">
        <v>153.080000000000013</v>
      </c>
      <c r="I39" s="711">
        <v>160.77000000000001</v>
      </c>
      <c r="J39" s="712">
        <v>0</v>
      </c>
      <c r="K39" s="711">
        <v>172.31</v>
      </c>
      <c r="L39" s="711">
        <v>155.40000000000001</v>
      </c>
      <c r="M39" s="711">
        <v>165.37</v>
      </c>
      <c r="N39" s="711">
        <v>164.75</v>
      </c>
      <c r="O39" s="711">
        <v>323.35000000000002</v>
      </c>
      <c r="P39" s="712">
        <v>0</v>
      </c>
      <c r="Q39" s="713">
        <v>161.74000000000001</v>
      </c>
      <c r="R39" s="711">
        <v>166.060000000000002</v>
      </c>
      <c r="S39" s="692"/>
      <c r="T39" s="692"/>
      <c r="U39" s="692"/>
      <c r="V39" s="692"/>
      <c r="W39" s="692"/>
      <c r="X39" s="692"/>
      <c r="Y39" s="692"/>
      <c r="Z39" s="692"/>
      <c r="AA39" s="692"/>
      <c r="AB39" s="692"/>
      <c r="AC39" s="692"/>
      <c r="AD39" s="692"/>
      <c r="AE39" s="692"/>
      <c r="AF39" s="692"/>
      <c r="AG39" s="692"/>
      <c r="AH39" s="692"/>
      <c r="AI39" s="692"/>
      <c r="AJ39" s="692"/>
      <c r="AK39" s="692"/>
      <c r="AL39" s="692"/>
      <c r="AM39" s="692"/>
      <c r="AN39" s="692"/>
      <c r="AO39" s="692"/>
      <c r="AP39" s="692"/>
      <c r="AQ39" s="692"/>
      <c r="AR39" s="692"/>
      <c r="AS39" s="692"/>
      <c r="AT39" s="692"/>
      <c r="AU39" s="692"/>
      <c r="AV39" s="692"/>
      <c r="AW39" s="692"/>
      <c r="AX39" s="692"/>
      <c r="AY39" s="692"/>
      <c r="AZ39" s="692"/>
      <c r="BA39" s="692"/>
      <c r="BB39" s="692"/>
      <c r="BC39" s="692"/>
      <c r="BD39" s="692"/>
      <c r="BE39" s="692"/>
      <c r="BF39" s="692"/>
      <c r="BG39" s="692"/>
      <c r="BH39" s="692"/>
      <c r="BI39" s="692"/>
      <c r="BJ39" s="692"/>
      <c r="BK39" s="692"/>
      <c r="BL39" s="692"/>
      <c r="BM39" s="692"/>
      <c r="BN39" s="692"/>
      <c r="BO39" s="692"/>
      <c r="BP39" s="692"/>
      <c r="BQ39" s="692"/>
      <c r="BR39" s="692"/>
      <c r="BS39" s="692"/>
      <c r="BT39" s="692"/>
      <c r="BU39" s="692"/>
      <c r="BV39" s="692"/>
      <c r="BW39" s="692"/>
      <c r="BX39" s="692"/>
      <c r="BY39" s="692"/>
      <c r="BZ39" s="692"/>
      <c r="CA39" s="692"/>
      <c r="CB39" s="692"/>
      <c r="CC39" s="692"/>
      <c r="CD39" s="692"/>
      <c r="CE39" s="692"/>
      <c r="CF39" s="692"/>
      <c r="CG39" s="692"/>
      <c r="CH39" s="692"/>
      <c r="CI39" s="692"/>
      <c r="CJ39" s="692"/>
      <c r="CK39" s="692"/>
      <c r="CL39" s="692"/>
      <c r="CM39" s="692"/>
      <c r="CN39" s="692"/>
      <c r="CO39" s="692"/>
      <c r="CP39" s="692"/>
      <c r="CQ39" s="692"/>
      <c r="CR39" s="692"/>
      <c r="CS39" s="692"/>
      <c r="CT39" s="692"/>
      <c r="CU39" s="692"/>
      <c r="CV39" s="692"/>
      <c r="CW39" s="692"/>
      <c r="CX39" s="692"/>
      <c r="CY39" s="692"/>
      <c r="CZ39" s="692"/>
      <c r="DA39" s="692"/>
      <c r="DB39" s="692"/>
      <c r="DC39" s="692"/>
      <c r="DD39" s="692"/>
      <c r="DE39" s="692"/>
      <c r="DF39" s="692"/>
      <c r="DG39" s="692"/>
      <c r="DH39" s="692"/>
      <c r="DI39" s="692"/>
      <c r="DJ39" s="692"/>
      <c r="DK39" s="692"/>
      <c r="DL39" s="692"/>
      <c r="DM39" s="692"/>
      <c r="DN39" s="692"/>
      <c r="DO39" s="692"/>
      <c r="DP39" s="692"/>
      <c r="DQ39" s="692"/>
      <c r="DR39" s="692"/>
      <c r="DS39" s="692"/>
      <c r="DT39" s="692"/>
      <c r="DU39" s="692"/>
      <c r="DV39" s="692"/>
      <c r="DW39" s="692"/>
      <c r="DX39" s="692"/>
      <c r="DY39" s="692"/>
      <c r="DZ39" s="692"/>
      <c r="EA39" s="692"/>
      <c r="EB39" s="692"/>
      <c r="EC39" s="692"/>
      <c r="ED39" s="692"/>
      <c r="EE39" s="692"/>
      <c r="EF39" s="692"/>
      <c r="EG39" s="692"/>
      <c r="EH39" s="692"/>
      <c r="EI39" s="692"/>
      <c r="EJ39" s="692"/>
      <c r="EK39" s="692"/>
      <c r="EL39" s="692"/>
      <c r="EM39" s="692"/>
      <c r="EN39" s="692"/>
      <c r="EO39" s="692"/>
      <c r="EP39" s="692"/>
      <c r="EQ39" s="692"/>
      <c r="ER39" s="692"/>
      <c r="ES39" s="692"/>
      <c r="ET39" s="692"/>
      <c r="EU39" s="692"/>
      <c r="EV39" s="692"/>
      <c r="EW39" s="692"/>
      <c r="EX39" s="692"/>
      <c r="EY39" s="692"/>
      <c r="EZ39" s="692"/>
      <c r="FA39" s="692"/>
      <c r="FB39" s="692"/>
      <c r="FC39" s="692"/>
      <c r="FD39" s="692"/>
      <c r="FE39" s="692"/>
      <c r="FF39" s="692"/>
      <c r="FG39" s="692"/>
      <c r="FH39" s="692"/>
      <c r="FI39" s="692"/>
      <c r="FJ39" s="692"/>
      <c r="FK39" s="692"/>
      <c r="FL39" s="692"/>
      <c r="FM39" s="692"/>
      <c r="FN39" s="692"/>
      <c r="FO39" s="692"/>
      <c r="FP39" s="692"/>
      <c r="FQ39" s="692"/>
      <c r="FR39" s="692"/>
      <c r="FS39" s="692"/>
      <c r="FT39" s="692"/>
      <c r="FU39" s="692"/>
      <c r="FV39" s="692"/>
      <c r="FW39" s="692"/>
      <c r="FX39" s="692"/>
      <c r="FY39" s="692"/>
      <c r="FZ39" s="692"/>
      <c r="GA39" s="692"/>
      <c r="GB39" s="692"/>
      <c r="GC39" s="692"/>
      <c r="GD39" s="692"/>
      <c r="GE39" s="692"/>
      <c r="GF39" s="692"/>
      <c r="GG39" s="692"/>
      <c r="GH39" s="692"/>
      <c r="GI39" s="692"/>
      <c r="GJ39" s="692"/>
      <c r="GK39" s="692"/>
      <c r="GL39" s="692"/>
      <c r="GM39" s="692"/>
      <c r="GN39" s="692"/>
      <c r="GO39" s="692"/>
      <c r="GP39" s="692"/>
      <c r="GQ39" s="692"/>
      <c r="GR39" s="692"/>
      <c r="GS39" s="692"/>
      <c r="GT39" s="692"/>
      <c r="GU39" s="692"/>
      <c r="GV39" s="692"/>
      <c r="GW39" s="692"/>
      <c r="GX39" s="692"/>
      <c r="GY39" s="692"/>
      <c r="GZ39" s="692"/>
      <c r="HA39" s="692"/>
      <c r="HB39" s="692"/>
      <c r="HC39" s="692"/>
      <c r="HD39" s="692"/>
      <c r="HE39" s="692"/>
      <c r="HF39" s="692"/>
      <c r="HG39" s="692"/>
      <c r="HH39" s="692"/>
      <c r="HI39" s="692"/>
      <c r="HJ39" s="692"/>
      <c r="HK39" s="692"/>
      <c r="HL39" s="692"/>
      <c r="HM39" s="692"/>
      <c r="HN39" s="692"/>
      <c r="HO39" s="692"/>
      <c r="HP39" s="692"/>
      <c r="HQ39" s="692"/>
      <c r="HR39" s="692"/>
      <c r="HS39" s="692"/>
      <c r="HT39" s="692"/>
      <c r="HU39" s="692"/>
      <c r="HV39" s="692"/>
      <c r="HW39" s="692"/>
      <c r="HX39" s="692"/>
      <c r="HY39" s="692"/>
      <c r="HZ39" s="692"/>
      <c r="IA39" s="692"/>
      <c r="IB39" s="692"/>
      <c r="IC39" s="692"/>
      <c r="ID39" s="692"/>
      <c r="IE39" s="692"/>
    </row>
    <row r="40" spans="1:239" customHeight="1" ht="26.4" s="701" customFormat="1">
      <c r="A40" s="702"/>
      <c r="B40" s="703"/>
      <c r="C40" s="703" t="s">
        <v>301</v>
      </c>
      <c r="D40" s="704"/>
      <c r="E40" s="704"/>
      <c r="F40" s="726">
        <f>SUM(G40:R40)</f>
        <v>0</v>
      </c>
      <c r="G40" s="711">
        <v>0</v>
      </c>
      <c r="H40" s="711">
        <v>0</v>
      </c>
      <c r="I40" s="711">
        <v>0</v>
      </c>
      <c r="J40" s="712"/>
      <c r="K40" s="711">
        <v>0</v>
      </c>
      <c r="L40" s="711">
        <v>0</v>
      </c>
      <c r="M40" s="711">
        <v>0</v>
      </c>
      <c r="N40" s="711">
        <v>0</v>
      </c>
      <c r="O40" s="711">
        <v>0</v>
      </c>
      <c r="P40" s="706">
        <v>0</v>
      </c>
      <c r="Q40" s="707">
        <v>0</v>
      </c>
      <c r="R40" s="706">
        <v>0</v>
      </c>
      <c r="S40" s="692"/>
      <c r="T40" s="692"/>
      <c r="U40" s="692"/>
      <c r="V40" s="692"/>
      <c r="W40" s="692"/>
      <c r="X40" s="692"/>
      <c r="Y40" s="692"/>
      <c r="Z40" s="692"/>
      <c r="AA40" s="692"/>
      <c r="AB40" s="692"/>
      <c r="AC40" s="692"/>
      <c r="AD40" s="692"/>
      <c r="AE40" s="692"/>
      <c r="AF40" s="692"/>
      <c r="AG40" s="692"/>
      <c r="AH40" s="692"/>
      <c r="AI40" s="692"/>
      <c r="AJ40" s="692"/>
      <c r="AK40" s="692"/>
      <c r="AL40" s="692"/>
      <c r="AM40" s="692"/>
      <c r="AN40" s="692"/>
      <c r="AO40" s="692"/>
      <c r="AP40" s="692"/>
      <c r="AQ40" s="692"/>
      <c r="AR40" s="692"/>
      <c r="AS40" s="692"/>
      <c r="AT40" s="692"/>
      <c r="AU40" s="692"/>
      <c r="AV40" s="692"/>
      <c r="AW40" s="692"/>
      <c r="AX40" s="692"/>
      <c r="AY40" s="692"/>
      <c r="AZ40" s="692"/>
      <c r="BA40" s="692"/>
      <c r="BB40" s="692"/>
      <c r="BC40" s="692"/>
      <c r="BD40" s="692"/>
      <c r="BE40" s="692"/>
      <c r="BF40" s="692"/>
      <c r="BG40" s="692"/>
      <c r="BH40" s="692"/>
      <c r="BI40" s="692"/>
      <c r="BJ40" s="692"/>
      <c r="BK40" s="692"/>
      <c r="BL40" s="692"/>
      <c r="BM40" s="692"/>
      <c r="BN40" s="692"/>
      <c r="BO40" s="692"/>
      <c r="BP40" s="692"/>
      <c r="BQ40" s="692"/>
      <c r="BR40" s="692"/>
      <c r="BS40" s="692"/>
      <c r="BT40" s="692"/>
      <c r="BU40" s="692"/>
      <c r="BV40" s="692"/>
      <c r="BW40" s="692"/>
      <c r="BX40" s="692"/>
      <c r="BY40" s="692"/>
      <c r="BZ40" s="692"/>
      <c r="CA40" s="692"/>
      <c r="CB40" s="692"/>
      <c r="CC40" s="692"/>
      <c r="CD40" s="692"/>
      <c r="CE40" s="692"/>
      <c r="CF40" s="692"/>
      <c r="CG40" s="692"/>
      <c r="CH40" s="692"/>
      <c r="CI40" s="692"/>
      <c r="CJ40" s="692"/>
      <c r="CK40" s="692"/>
      <c r="CL40" s="692"/>
      <c r="CM40" s="692"/>
      <c r="CN40" s="692"/>
      <c r="CO40" s="692"/>
      <c r="CP40" s="692"/>
      <c r="CQ40" s="692"/>
      <c r="CR40" s="692"/>
      <c r="CS40" s="692"/>
      <c r="CT40" s="692"/>
      <c r="CU40" s="692"/>
      <c r="CV40" s="692"/>
      <c r="CW40" s="692"/>
      <c r="CX40" s="692"/>
      <c r="CY40" s="692"/>
      <c r="CZ40" s="692"/>
      <c r="DA40" s="692"/>
      <c r="DB40" s="692"/>
      <c r="DC40" s="692"/>
      <c r="DD40" s="692"/>
      <c r="DE40" s="692"/>
      <c r="DF40" s="692"/>
      <c r="DG40" s="692"/>
      <c r="DH40" s="692"/>
      <c r="DI40" s="692"/>
      <c r="DJ40" s="692"/>
      <c r="DK40" s="692"/>
      <c r="DL40" s="692"/>
      <c r="DM40" s="692"/>
      <c r="DN40" s="692"/>
      <c r="DO40" s="692"/>
      <c r="DP40" s="692"/>
      <c r="DQ40" s="692"/>
      <c r="DR40" s="692"/>
      <c r="DS40" s="692"/>
      <c r="DT40" s="692"/>
      <c r="DU40" s="692"/>
      <c r="DV40" s="692"/>
      <c r="DW40" s="692"/>
      <c r="DX40" s="692"/>
      <c r="DY40" s="692"/>
      <c r="DZ40" s="692"/>
      <c r="EA40" s="692"/>
      <c r="EB40" s="692"/>
      <c r="EC40" s="692"/>
      <c r="ED40" s="692"/>
      <c r="EE40" s="692"/>
      <c r="EF40" s="692"/>
      <c r="EG40" s="692"/>
      <c r="EH40" s="692"/>
      <c r="EI40" s="692"/>
      <c r="EJ40" s="692"/>
      <c r="EK40" s="692"/>
      <c r="EL40" s="692"/>
      <c r="EM40" s="692"/>
      <c r="EN40" s="692"/>
      <c r="EO40" s="692"/>
      <c r="EP40" s="692"/>
      <c r="EQ40" s="692"/>
      <c r="ER40" s="692"/>
      <c r="ES40" s="692"/>
      <c r="ET40" s="692"/>
      <c r="EU40" s="692"/>
      <c r="EV40" s="692"/>
      <c r="EW40" s="692"/>
      <c r="EX40" s="692"/>
      <c r="EY40" s="692"/>
      <c r="EZ40" s="692"/>
      <c r="FA40" s="692"/>
      <c r="FB40" s="692"/>
      <c r="FC40" s="692"/>
      <c r="FD40" s="692"/>
      <c r="FE40" s="692"/>
      <c r="FF40" s="692"/>
      <c r="FG40" s="692"/>
      <c r="FH40" s="692"/>
      <c r="FI40" s="692"/>
      <c r="FJ40" s="692"/>
      <c r="FK40" s="692"/>
      <c r="FL40" s="692"/>
      <c r="FM40" s="692"/>
      <c r="FN40" s="692"/>
      <c r="FO40" s="692"/>
      <c r="FP40" s="692"/>
      <c r="FQ40" s="692"/>
      <c r="FR40" s="692"/>
      <c r="FS40" s="692"/>
      <c r="FT40" s="692"/>
      <c r="FU40" s="692"/>
      <c r="FV40" s="692"/>
      <c r="FW40" s="692"/>
      <c r="FX40" s="692"/>
      <c r="FY40" s="692"/>
      <c r="FZ40" s="692"/>
      <c r="GA40" s="692"/>
      <c r="GB40" s="692"/>
      <c r="GC40" s="692"/>
      <c r="GD40" s="692"/>
      <c r="GE40" s="692"/>
      <c r="GF40" s="692"/>
      <c r="GG40" s="692"/>
      <c r="GH40" s="692"/>
      <c r="GI40" s="692"/>
      <c r="GJ40" s="692"/>
      <c r="GK40" s="692"/>
      <c r="GL40" s="692"/>
      <c r="GM40" s="692"/>
      <c r="GN40" s="692"/>
      <c r="GO40" s="692"/>
      <c r="GP40" s="692"/>
      <c r="GQ40" s="692"/>
      <c r="GR40" s="692"/>
      <c r="GS40" s="692"/>
      <c r="GT40" s="692"/>
      <c r="GU40" s="692"/>
      <c r="GV40" s="692"/>
      <c r="GW40" s="692"/>
      <c r="GX40" s="692"/>
      <c r="GY40" s="692"/>
      <c r="GZ40" s="692"/>
      <c r="HA40" s="692"/>
      <c r="HB40" s="692"/>
      <c r="HC40" s="692"/>
      <c r="HD40" s="692"/>
      <c r="HE40" s="692"/>
      <c r="HF40" s="692"/>
      <c r="HG40" s="692"/>
      <c r="HH40" s="692"/>
      <c r="HI40" s="692"/>
      <c r="HJ40" s="692"/>
      <c r="HK40" s="692"/>
      <c r="HL40" s="692"/>
      <c r="HM40" s="692"/>
      <c r="HN40" s="692"/>
      <c r="HO40" s="692"/>
      <c r="HP40" s="692"/>
      <c r="HQ40" s="692"/>
      <c r="HR40" s="692"/>
      <c r="HS40" s="692"/>
      <c r="HT40" s="692"/>
      <c r="HU40" s="692"/>
      <c r="HV40" s="692"/>
      <c r="HW40" s="692"/>
      <c r="HX40" s="692"/>
      <c r="HY40" s="692"/>
      <c r="HZ40" s="692"/>
      <c r="IA40" s="692"/>
      <c r="IB40" s="692"/>
      <c r="IC40" s="692"/>
      <c r="ID40" s="692"/>
      <c r="IE40" s="692"/>
    </row>
    <row r="41" spans="1:239" customHeight="1" ht="26.4" s="701" customFormat="1">
      <c r="A41" s="702" t="s">
        <v>326</v>
      </c>
      <c r="B41" s="703" t="s">
        <v>308</v>
      </c>
      <c r="C41" s="703" t="s">
        <v>284</v>
      </c>
      <c r="D41" s="704" t="s">
        <v>325</v>
      </c>
      <c r="E41" s="704" t="s">
        <v>283</v>
      </c>
      <c r="F41" s="726">
        <f>SUM(G41:R41)</f>
        <v>3000.90999999999985</v>
      </c>
      <c r="G41" s="711">
        <v>144.18000000000001</v>
      </c>
      <c r="H41" s="711">
        <v>315.31999999999999</v>
      </c>
      <c r="I41" s="711">
        <v>294.42000000000002</v>
      </c>
      <c r="J41" s="711">
        <v>149.94999999999999</v>
      </c>
      <c r="K41" s="711">
        <v>294.18000000000001</v>
      </c>
      <c r="L41" s="711">
        <v>285.57999999999998</v>
      </c>
      <c r="M41" s="711">
        <v>308.31</v>
      </c>
      <c r="N41" s="711">
        <v>310.80000000000001</v>
      </c>
      <c r="O41" s="711">
        <v>298.04000000000002</v>
      </c>
      <c r="P41" s="711">
        <v>148.44999999999999</v>
      </c>
      <c r="Q41" s="713">
        <v>152.77000000000001</v>
      </c>
      <c r="R41" s="711">
        <v>298.91000000000003</v>
      </c>
      <c r="S41" s="692"/>
      <c r="T41" s="692"/>
      <c r="U41" s="692"/>
      <c r="V41" s="692"/>
      <c r="W41" s="692"/>
      <c r="X41" s="692"/>
      <c r="Y41" s="692"/>
      <c r="Z41" s="692"/>
      <c r="AA41" s="692"/>
      <c r="AB41" s="692"/>
      <c r="AC41" s="692"/>
      <c r="AD41" s="692"/>
      <c r="AE41" s="692"/>
      <c r="AF41" s="692"/>
      <c r="AG41" s="692"/>
      <c r="AH41" s="692"/>
      <c r="AI41" s="692"/>
      <c r="AJ41" s="692"/>
      <c r="AK41" s="692"/>
      <c r="AL41" s="692"/>
      <c r="AM41" s="692"/>
      <c r="AN41" s="692"/>
      <c r="AO41" s="692"/>
      <c r="AP41" s="692"/>
      <c r="AQ41" s="692"/>
      <c r="AR41" s="692"/>
      <c r="AS41" s="692"/>
      <c r="AT41" s="692"/>
      <c r="AU41" s="692"/>
      <c r="AV41" s="692"/>
      <c r="AW41" s="692"/>
      <c r="AX41" s="692"/>
      <c r="AY41" s="692"/>
      <c r="AZ41" s="692"/>
      <c r="BA41" s="692"/>
      <c r="BB41" s="692"/>
      <c r="BC41" s="692"/>
      <c r="BD41" s="692"/>
      <c r="BE41" s="692"/>
      <c r="BF41" s="692"/>
      <c r="BG41" s="692"/>
      <c r="BH41" s="692"/>
      <c r="BI41" s="692"/>
      <c r="BJ41" s="692"/>
      <c r="BK41" s="692"/>
      <c r="BL41" s="692"/>
      <c r="BM41" s="692"/>
      <c r="BN41" s="692"/>
      <c r="BO41" s="692"/>
      <c r="BP41" s="692"/>
      <c r="BQ41" s="692"/>
      <c r="BR41" s="692"/>
      <c r="BS41" s="692"/>
      <c r="BT41" s="692"/>
      <c r="BU41" s="692"/>
      <c r="BV41" s="692"/>
      <c r="BW41" s="692"/>
      <c r="BX41" s="692"/>
      <c r="BY41" s="692"/>
      <c r="BZ41" s="692"/>
      <c r="CA41" s="692"/>
      <c r="CB41" s="692"/>
      <c r="CC41" s="692"/>
      <c r="CD41" s="692"/>
      <c r="CE41" s="692"/>
      <c r="CF41" s="692"/>
      <c r="CG41" s="692"/>
      <c r="CH41" s="692"/>
      <c r="CI41" s="692"/>
      <c r="CJ41" s="692"/>
      <c r="CK41" s="692"/>
      <c r="CL41" s="692"/>
      <c r="CM41" s="692"/>
      <c r="CN41" s="692"/>
      <c r="CO41" s="692"/>
      <c r="CP41" s="692"/>
      <c r="CQ41" s="692"/>
      <c r="CR41" s="692"/>
      <c r="CS41" s="692"/>
      <c r="CT41" s="692"/>
      <c r="CU41" s="692"/>
      <c r="CV41" s="692"/>
      <c r="CW41" s="692"/>
      <c r="CX41" s="692"/>
      <c r="CY41" s="692"/>
      <c r="CZ41" s="692"/>
      <c r="DA41" s="692"/>
      <c r="DB41" s="692"/>
      <c r="DC41" s="692"/>
      <c r="DD41" s="692"/>
      <c r="DE41" s="692"/>
      <c r="DF41" s="692"/>
      <c r="DG41" s="692"/>
      <c r="DH41" s="692"/>
      <c r="DI41" s="692"/>
      <c r="DJ41" s="692"/>
      <c r="DK41" s="692"/>
      <c r="DL41" s="692"/>
      <c r="DM41" s="692"/>
      <c r="DN41" s="692"/>
      <c r="DO41" s="692"/>
      <c r="DP41" s="692"/>
      <c r="DQ41" s="692"/>
      <c r="DR41" s="692"/>
      <c r="DS41" s="692"/>
      <c r="DT41" s="692"/>
      <c r="DU41" s="692"/>
      <c r="DV41" s="692"/>
      <c r="DW41" s="692"/>
      <c r="DX41" s="692"/>
      <c r="DY41" s="692"/>
      <c r="DZ41" s="692"/>
      <c r="EA41" s="692"/>
      <c r="EB41" s="692"/>
      <c r="EC41" s="692"/>
      <c r="ED41" s="692"/>
      <c r="EE41" s="692"/>
      <c r="EF41" s="692"/>
      <c r="EG41" s="692"/>
      <c r="EH41" s="692"/>
      <c r="EI41" s="692"/>
      <c r="EJ41" s="692"/>
      <c r="EK41" s="692"/>
      <c r="EL41" s="692"/>
      <c r="EM41" s="692"/>
      <c r="EN41" s="692"/>
      <c r="EO41" s="692"/>
      <c r="EP41" s="692"/>
      <c r="EQ41" s="692"/>
      <c r="ER41" s="692"/>
      <c r="ES41" s="692"/>
      <c r="ET41" s="692"/>
      <c r="EU41" s="692"/>
      <c r="EV41" s="692"/>
      <c r="EW41" s="692"/>
      <c r="EX41" s="692"/>
      <c r="EY41" s="692"/>
      <c r="EZ41" s="692"/>
      <c r="FA41" s="692"/>
      <c r="FB41" s="692"/>
      <c r="FC41" s="692"/>
      <c r="FD41" s="692"/>
      <c r="FE41" s="692"/>
      <c r="FF41" s="692"/>
      <c r="FG41" s="692"/>
      <c r="FH41" s="692"/>
      <c r="FI41" s="692"/>
      <c r="FJ41" s="692"/>
      <c r="FK41" s="692"/>
      <c r="FL41" s="692"/>
      <c r="FM41" s="692"/>
      <c r="FN41" s="692"/>
      <c r="FO41" s="692"/>
      <c r="FP41" s="692"/>
      <c r="FQ41" s="692"/>
      <c r="FR41" s="692"/>
      <c r="FS41" s="692"/>
      <c r="FT41" s="692"/>
      <c r="FU41" s="692"/>
      <c r="FV41" s="692"/>
      <c r="FW41" s="692"/>
      <c r="FX41" s="692"/>
      <c r="FY41" s="692"/>
      <c r="FZ41" s="692"/>
      <c r="GA41" s="692"/>
      <c r="GB41" s="692"/>
      <c r="GC41" s="692"/>
      <c r="GD41" s="692"/>
      <c r="GE41" s="692"/>
      <c r="GF41" s="692"/>
      <c r="GG41" s="692"/>
      <c r="GH41" s="692"/>
      <c r="GI41" s="692"/>
      <c r="GJ41" s="692"/>
      <c r="GK41" s="692"/>
      <c r="GL41" s="692"/>
      <c r="GM41" s="692"/>
      <c r="GN41" s="692"/>
      <c r="GO41" s="692"/>
      <c r="GP41" s="692"/>
      <c r="GQ41" s="692"/>
      <c r="GR41" s="692"/>
      <c r="GS41" s="692"/>
      <c r="GT41" s="692"/>
      <c r="GU41" s="692"/>
      <c r="GV41" s="692"/>
      <c r="GW41" s="692"/>
      <c r="GX41" s="692"/>
      <c r="GY41" s="692"/>
      <c r="GZ41" s="692"/>
      <c r="HA41" s="692"/>
      <c r="HB41" s="692"/>
      <c r="HC41" s="692"/>
      <c r="HD41" s="692"/>
      <c r="HE41" s="692"/>
      <c r="HF41" s="692"/>
      <c r="HG41" s="692"/>
      <c r="HH41" s="692"/>
      <c r="HI41" s="692"/>
      <c r="HJ41" s="692"/>
      <c r="HK41" s="692"/>
      <c r="HL41" s="692"/>
      <c r="HM41" s="692"/>
      <c r="HN41" s="692"/>
      <c r="HO41" s="692"/>
      <c r="HP41" s="692"/>
      <c r="HQ41" s="692"/>
      <c r="HR41" s="692"/>
      <c r="HS41" s="692"/>
      <c r="HT41" s="692"/>
      <c r="HU41" s="692"/>
      <c r="HV41" s="692"/>
      <c r="HW41" s="692"/>
      <c r="HX41" s="692"/>
      <c r="HY41" s="692"/>
      <c r="HZ41" s="692"/>
      <c r="IA41" s="692"/>
      <c r="IB41" s="692"/>
      <c r="IC41" s="692"/>
      <c r="ID41" s="692"/>
      <c r="IE41" s="692"/>
    </row>
    <row r="42" spans="1:239" customHeight="1" ht="26.4" s="701" customFormat="1">
      <c r="A42" s="702"/>
      <c r="B42" s="703"/>
      <c r="C42" s="703" t="s">
        <v>301</v>
      </c>
      <c r="D42" s="704"/>
      <c r="E42" s="704"/>
      <c r="F42" s="726">
        <f>SUM(G42:R42)</f>
        <v>0</v>
      </c>
      <c r="G42" s="711">
        <v>0</v>
      </c>
      <c r="H42" s="711">
        <v>0</v>
      </c>
      <c r="I42" s="711">
        <v>0</v>
      </c>
      <c r="J42" s="711">
        <v>0</v>
      </c>
      <c r="K42" s="711">
        <v>0</v>
      </c>
      <c r="L42" s="711">
        <v>0</v>
      </c>
      <c r="M42" s="711">
        <v>0</v>
      </c>
      <c r="N42" s="711">
        <v>0</v>
      </c>
      <c r="O42" s="711">
        <v>0</v>
      </c>
      <c r="P42" s="706">
        <v>0</v>
      </c>
      <c r="Q42" s="707">
        <v>0</v>
      </c>
      <c r="R42" s="706">
        <v>0</v>
      </c>
      <c r="S42" s="692"/>
      <c r="T42" s="692"/>
      <c r="U42" s="692"/>
      <c r="V42" s="692"/>
      <c r="W42" s="692"/>
      <c r="X42" s="692"/>
      <c r="Y42" s="692"/>
      <c r="Z42" s="692"/>
      <c r="AA42" s="692"/>
      <c r="AB42" s="692"/>
      <c r="AC42" s="692"/>
      <c r="AD42" s="692"/>
      <c r="AE42" s="692"/>
      <c r="AF42" s="692"/>
      <c r="AG42" s="692"/>
      <c r="AH42" s="692"/>
      <c r="AI42" s="692"/>
      <c r="AJ42" s="692"/>
      <c r="AK42" s="692"/>
      <c r="AL42" s="692"/>
      <c r="AM42" s="692"/>
      <c r="AN42" s="692"/>
      <c r="AO42" s="692"/>
      <c r="AP42" s="692"/>
      <c r="AQ42" s="692"/>
      <c r="AR42" s="692"/>
      <c r="AS42" s="692"/>
      <c r="AT42" s="692"/>
      <c r="AU42" s="692"/>
      <c r="AV42" s="692"/>
      <c r="AW42" s="692"/>
      <c r="AX42" s="692"/>
      <c r="AY42" s="692"/>
      <c r="AZ42" s="692"/>
      <c r="BA42" s="692"/>
      <c r="BB42" s="692"/>
      <c r="BC42" s="692"/>
      <c r="BD42" s="692"/>
      <c r="BE42" s="692"/>
      <c r="BF42" s="692"/>
      <c r="BG42" s="692"/>
      <c r="BH42" s="692"/>
      <c r="BI42" s="692"/>
      <c r="BJ42" s="692"/>
      <c r="BK42" s="692"/>
      <c r="BL42" s="692"/>
      <c r="BM42" s="692"/>
      <c r="BN42" s="692"/>
      <c r="BO42" s="692"/>
      <c r="BP42" s="692"/>
      <c r="BQ42" s="692"/>
      <c r="BR42" s="692"/>
      <c r="BS42" s="692"/>
      <c r="BT42" s="692"/>
      <c r="BU42" s="692"/>
      <c r="BV42" s="692"/>
      <c r="BW42" s="692"/>
      <c r="BX42" s="692"/>
      <c r="BY42" s="692"/>
      <c r="BZ42" s="692"/>
      <c r="CA42" s="692"/>
      <c r="CB42" s="692"/>
      <c r="CC42" s="692"/>
      <c r="CD42" s="692"/>
      <c r="CE42" s="692"/>
      <c r="CF42" s="692"/>
      <c r="CG42" s="692"/>
      <c r="CH42" s="692"/>
      <c r="CI42" s="692"/>
      <c r="CJ42" s="692"/>
      <c r="CK42" s="692"/>
      <c r="CL42" s="692"/>
      <c r="CM42" s="692"/>
      <c r="CN42" s="692"/>
      <c r="CO42" s="692"/>
      <c r="CP42" s="692"/>
      <c r="CQ42" s="692"/>
      <c r="CR42" s="692"/>
      <c r="CS42" s="692"/>
      <c r="CT42" s="692"/>
      <c r="CU42" s="692"/>
      <c r="CV42" s="692"/>
      <c r="CW42" s="692"/>
      <c r="CX42" s="692"/>
      <c r="CY42" s="692"/>
      <c r="CZ42" s="692"/>
      <c r="DA42" s="692"/>
      <c r="DB42" s="692"/>
      <c r="DC42" s="692"/>
      <c r="DD42" s="692"/>
      <c r="DE42" s="692"/>
      <c r="DF42" s="692"/>
      <c r="DG42" s="692"/>
      <c r="DH42" s="692"/>
      <c r="DI42" s="692"/>
      <c r="DJ42" s="692"/>
      <c r="DK42" s="692"/>
      <c r="DL42" s="692"/>
      <c r="DM42" s="692"/>
      <c r="DN42" s="692"/>
      <c r="DO42" s="692"/>
      <c r="DP42" s="692"/>
      <c r="DQ42" s="692"/>
      <c r="DR42" s="692"/>
      <c r="DS42" s="692"/>
      <c r="DT42" s="692"/>
      <c r="DU42" s="692"/>
      <c r="DV42" s="692"/>
      <c r="DW42" s="692"/>
      <c r="DX42" s="692"/>
      <c r="DY42" s="692"/>
      <c r="DZ42" s="692"/>
      <c r="EA42" s="692"/>
      <c r="EB42" s="692"/>
      <c r="EC42" s="692"/>
      <c r="ED42" s="692"/>
      <c r="EE42" s="692"/>
      <c r="EF42" s="692"/>
      <c r="EG42" s="692"/>
      <c r="EH42" s="692"/>
      <c r="EI42" s="692"/>
      <c r="EJ42" s="692"/>
      <c r="EK42" s="692"/>
      <c r="EL42" s="692"/>
      <c r="EM42" s="692"/>
      <c r="EN42" s="692"/>
      <c r="EO42" s="692"/>
      <c r="EP42" s="692"/>
      <c r="EQ42" s="692"/>
      <c r="ER42" s="692"/>
      <c r="ES42" s="692"/>
      <c r="ET42" s="692"/>
      <c r="EU42" s="692"/>
      <c r="EV42" s="692"/>
      <c r="EW42" s="692"/>
      <c r="EX42" s="692"/>
      <c r="EY42" s="692"/>
      <c r="EZ42" s="692"/>
      <c r="FA42" s="692"/>
      <c r="FB42" s="692"/>
      <c r="FC42" s="692"/>
      <c r="FD42" s="692"/>
      <c r="FE42" s="692"/>
      <c r="FF42" s="692"/>
      <c r="FG42" s="692"/>
      <c r="FH42" s="692"/>
      <c r="FI42" s="692"/>
      <c r="FJ42" s="692"/>
      <c r="FK42" s="692"/>
      <c r="FL42" s="692"/>
      <c r="FM42" s="692"/>
      <c r="FN42" s="692"/>
      <c r="FO42" s="692"/>
      <c r="FP42" s="692"/>
      <c r="FQ42" s="692"/>
      <c r="FR42" s="692"/>
      <c r="FS42" s="692"/>
      <c r="FT42" s="692"/>
      <c r="FU42" s="692"/>
      <c r="FV42" s="692"/>
      <c r="FW42" s="692"/>
      <c r="FX42" s="692"/>
      <c r="FY42" s="692"/>
      <c r="FZ42" s="692"/>
      <c r="GA42" s="692"/>
      <c r="GB42" s="692"/>
      <c r="GC42" s="692"/>
      <c r="GD42" s="692"/>
      <c r="GE42" s="692"/>
      <c r="GF42" s="692"/>
      <c r="GG42" s="692"/>
      <c r="GH42" s="692"/>
      <c r="GI42" s="692"/>
      <c r="GJ42" s="692"/>
      <c r="GK42" s="692"/>
      <c r="GL42" s="692"/>
      <c r="GM42" s="692"/>
      <c r="GN42" s="692"/>
      <c r="GO42" s="692"/>
      <c r="GP42" s="692"/>
      <c r="GQ42" s="692"/>
      <c r="GR42" s="692"/>
      <c r="GS42" s="692"/>
      <c r="GT42" s="692"/>
      <c r="GU42" s="692"/>
      <c r="GV42" s="692"/>
      <c r="GW42" s="692"/>
      <c r="GX42" s="692"/>
      <c r="GY42" s="692"/>
      <c r="GZ42" s="692"/>
      <c r="HA42" s="692"/>
      <c r="HB42" s="692"/>
      <c r="HC42" s="692"/>
      <c r="HD42" s="692"/>
      <c r="HE42" s="692"/>
      <c r="HF42" s="692"/>
      <c r="HG42" s="692"/>
      <c r="HH42" s="692"/>
      <c r="HI42" s="692"/>
      <c r="HJ42" s="692"/>
      <c r="HK42" s="692"/>
      <c r="HL42" s="692"/>
      <c r="HM42" s="692"/>
      <c r="HN42" s="692"/>
      <c r="HO42" s="692"/>
      <c r="HP42" s="692"/>
      <c r="HQ42" s="692"/>
      <c r="HR42" s="692"/>
      <c r="HS42" s="692"/>
      <c r="HT42" s="692"/>
      <c r="HU42" s="692"/>
      <c r="HV42" s="692"/>
      <c r="HW42" s="692"/>
      <c r="HX42" s="692"/>
      <c r="HY42" s="692"/>
      <c r="HZ42" s="692"/>
      <c r="IA42" s="692"/>
      <c r="IB42" s="692"/>
      <c r="IC42" s="692"/>
      <c r="ID42" s="692"/>
      <c r="IE42" s="692"/>
    </row>
    <row r="43" spans="1:239" customHeight="1" ht="23.4" s="701" customFormat="1">
      <c r="A43" s="722" t="s">
        <v>327</v>
      </c>
      <c r="B43" s="723"/>
      <c r="C43" s="723"/>
      <c r="D43" s="724" t="s">
        <v>305</v>
      </c>
      <c r="E43" s="716" t="s">
        <v>283</v>
      </c>
      <c r="F43" s="725">
        <f>F45+F47+F49+F51+F53+F55</f>
        <v>4190.029999999999745</v>
      </c>
      <c r="G43" s="708"/>
      <c r="H43" s="708"/>
      <c r="I43" s="708"/>
      <c r="J43" s="708"/>
      <c r="K43" s="708"/>
      <c r="L43" s="708"/>
      <c r="M43" s="708"/>
      <c r="N43" s="708"/>
      <c r="O43" s="708"/>
      <c r="P43" s="706"/>
      <c r="Q43" s="707"/>
      <c r="R43" s="706"/>
      <c r="S43" s="692"/>
      <c r="T43" s="692"/>
      <c r="U43" s="692"/>
      <c r="V43" s="692"/>
      <c r="W43" s="692"/>
      <c r="X43" s="692"/>
      <c r="Y43" s="692"/>
      <c r="Z43" s="692"/>
      <c r="AA43" s="692"/>
      <c r="AB43" s="692"/>
      <c r="AC43" s="692"/>
      <c r="AD43" s="692"/>
      <c r="AE43" s="692"/>
      <c r="AF43" s="692"/>
      <c r="AG43" s="692"/>
      <c r="AH43" s="692"/>
      <c r="AI43" s="692"/>
      <c r="AJ43" s="692"/>
      <c r="AK43" s="692"/>
      <c r="AL43" s="692"/>
      <c r="AM43" s="692"/>
      <c r="AN43" s="692"/>
      <c r="AO43" s="692"/>
      <c r="AP43" s="692"/>
      <c r="AQ43" s="692"/>
      <c r="AR43" s="692"/>
      <c r="AS43" s="692"/>
      <c r="AT43" s="692"/>
      <c r="AU43" s="692"/>
      <c r="AV43" s="692"/>
      <c r="AW43" s="692"/>
      <c r="AX43" s="692"/>
      <c r="AY43" s="692"/>
      <c r="AZ43" s="692"/>
      <c r="BA43" s="692"/>
      <c r="BB43" s="692"/>
      <c r="BC43" s="692"/>
      <c r="BD43" s="692"/>
      <c r="BE43" s="692"/>
      <c r="BF43" s="692"/>
      <c r="BG43" s="692"/>
      <c r="BH43" s="692"/>
      <c r="BI43" s="692"/>
      <c r="BJ43" s="692"/>
      <c r="BK43" s="692"/>
      <c r="BL43" s="692"/>
      <c r="BM43" s="692"/>
      <c r="BN43" s="692"/>
      <c r="BO43" s="692"/>
      <c r="BP43" s="692"/>
      <c r="BQ43" s="692"/>
      <c r="BR43" s="692"/>
      <c r="BS43" s="692"/>
      <c r="BT43" s="692"/>
      <c r="BU43" s="692"/>
      <c r="BV43" s="692"/>
      <c r="BW43" s="692"/>
      <c r="BX43" s="692"/>
      <c r="BY43" s="692"/>
      <c r="BZ43" s="692"/>
      <c r="CA43" s="692"/>
      <c r="CB43" s="692"/>
      <c r="CC43" s="692"/>
      <c r="CD43" s="692"/>
      <c r="CE43" s="692"/>
      <c r="CF43" s="692"/>
      <c r="CG43" s="692"/>
      <c r="CH43" s="692"/>
      <c r="CI43" s="692"/>
      <c r="CJ43" s="692"/>
      <c r="CK43" s="692"/>
      <c r="CL43" s="692"/>
      <c r="CM43" s="692"/>
      <c r="CN43" s="692"/>
      <c r="CO43" s="692"/>
      <c r="CP43" s="692"/>
      <c r="CQ43" s="692"/>
      <c r="CR43" s="692"/>
      <c r="CS43" s="692"/>
      <c r="CT43" s="692"/>
      <c r="CU43" s="692"/>
      <c r="CV43" s="692"/>
      <c r="CW43" s="692"/>
      <c r="CX43" s="692"/>
      <c r="CY43" s="692"/>
      <c r="CZ43" s="692"/>
      <c r="DA43" s="692"/>
      <c r="DB43" s="692"/>
      <c r="DC43" s="692"/>
      <c r="DD43" s="692"/>
      <c r="DE43" s="692"/>
      <c r="DF43" s="692"/>
      <c r="DG43" s="692"/>
      <c r="DH43" s="692"/>
      <c r="DI43" s="692"/>
      <c r="DJ43" s="692"/>
      <c r="DK43" s="692"/>
      <c r="DL43" s="692"/>
      <c r="DM43" s="692"/>
      <c r="DN43" s="692"/>
      <c r="DO43" s="692"/>
      <c r="DP43" s="692"/>
      <c r="DQ43" s="692"/>
      <c r="DR43" s="692"/>
      <c r="DS43" s="692"/>
      <c r="DT43" s="692"/>
      <c r="DU43" s="692"/>
      <c r="DV43" s="692"/>
      <c r="DW43" s="692"/>
      <c r="DX43" s="692"/>
      <c r="DY43" s="692"/>
      <c r="DZ43" s="692"/>
      <c r="EA43" s="692"/>
      <c r="EB43" s="692"/>
      <c r="EC43" s="692"/>
      <c r="ED43" s="692"/>
      <c r="EE43" s="692"/>
      <c r="EF43" s="692"/>
      <c r="EG43" s="692"/>
      <c r="EH43" s="692"/>
      <c r="EI43" s="692"/>
      <c r="EJ43" s="692"/>
      <c r="EK43" s="692"/>
      <c r="EL43" s="692"/>
      <c r="EM43" s="692"/>
      <c r="EN43" s="692"/>
      <c r="EO43" s="692"/>
      <c r="EP43" s="692"/>
      <c r="EQ43" s="692"/>
      <c r="ER43" s="692"/>
      <c r="ES43" s="692"/>
      <c r="ET43" s="692"/>
      <c r="EU43" s="692"/>
      <c r="EV43" s="692"/>
      <c r="EW43" s="692"/>
      <c r="EX43" s="692"/>
      <c r="EY43" s="692"/>
      <c r="EZ43" s="692"/>
      <c r="FA43" s="692"/>
      <c r="FB43" s="692"/>
      <c r="FC43" s="692"/>
      <c r="FD43" s="692"/>
      <c r="FE43" s="692"/>
      <c r="FF43" s="692"/>
      <c r="FG43" s="692"/>
      <c r="FH43" s="692"/>
      <c r="FI43" s="692"/>
      <c r="FJ43" s="692"/>
      <c r="FK43" s="692"/>
      <c r="FL43" s="692"/>
      <c r="FM43" s="692"/>
      <c r="FN43" s="692"/>
      <c r="FO43" s="692"/>
      <c r="FP43" s="692"/>
      <c r="FQ43" s="692"/>
      <c r="FR43" s="692"/>
      <c r="FS43" s="692"/>
      <c r="FT43" s="692"/>
      <c r="FU43" s="692"/>
      <c r="FV43" s="692"/>
      <c r="FW43" s="692"/>
      <c r="FX43" s="692"/>
      <c r="FY43" s="692"/>
      <c r="FZ43" s="692"/>
      <c r="GA43" s="692"/>
      <c r="GB43" s="692"/>
      <c r="GC43" s="692"/>
      <c r="GD43" s="692"/>
      <c r="GE43" s="692"/>
      <c r="GF43" s="692"/>
      <c r="GG43" s="692"/>
      <c r="GH43" s="692"/>
      <c r="GI43" s="692"/>
      <c r="GJ43" s="692"/>
      <c r="GK43" s="692"/>
      <c r="GL43" s="692"/>
      <c r="GM43" s="692"/>
      <c r="GN43" s="692"/>
      <c r="GO43" s="692"/>
      <c r="GP43" s="692"/>
      <c r="GQ43" s="692"/>
      <c r="GR43" s="692"/>
      <c r="GS43" s="692"/>
      <c r="GT43" s="692"/>
      <c r="GU43" s="692"/>
      <c r="GV43" s="692"/>
      <c r="GW43" s="692"/>
      <c r="GX43" s="692"/>
      <c r="GY43" s="692"/>
      <c r="GZ43" s="692"/>
      <c r="HA43" s="692"/>
      <c r="HB43" s="692"/>
      <c r="HC43" s="692"/>
      <c r="HD43" s="692"/>
      <c r="HE43" s="692"/>
      <c r="HF43" s="692"/>
      <c r="HG43" s="692"/>
      <c r="HH43" s="692"/>
      <c r="HI43" s="692"/>
      <c r="HJ43" s="692"/>
      <c r="HK43" s="692"/>
      <c r="HL43" s="692"/>
      <c r="HM43" s="692"/>
      <c r="HN43" s="692"/>
      <c r="HO43" s="692"/>
      <c r="HP43" s="692"/>
      <c r="HQ43" s="692"/>
      <c r="HR43" s="692"/>
      <c r="HS43" s="692"/>
      <c r="HT43" s="692"/>
      <c r="HU43" s="692"/>
      <c r="HV43" s="692"/>
      <c r="HW43" s="692"/>
      <c r="HX43" s="692"/>
      <c r="HY43" s="692"/>
      <c r="HZ43" s="692"/>
      <c r="IA43" s="692"/>
      <c r="IB43" s="692"/>
      <c r="IC43" s="692"/>
      <c r="ID43" s="692"/>
      <c r="IE43" s="692"/>
    </row>
    <row r="44" spans="1:239" customHeight="1" ht="23.4" s="701" customFormat="1">
      <c r="A44" s="722" t="s">
        <v>328</v>
      </c>
      <c r="B44" s="723"/>
      <c r="C44" s="723"/>
      <c r="D44" s="724" t="s">
        <v>305</v>
      </c>
      <c r="E44" s="716" t="s">
        <v>283</v>
      </c>
      <c r="F44" s="725">
        <f>F46+F48+F50+F52+F54+F56</f>
        <v>151.090000000000003</v>
      </c>
      <c r="G44" s="708"/>
      <c r="H44" s="708"/>
      <c r="I44" s="708"/>
      <c r="J44" s="708"/>
      <c r="K44" s="708"/>
      <c r="L44" s="708"/>
      <c r="M44" s="708"/>
      <c r="N44" s="708"/>
      <c r="O44" s="708"/>
      <c r="P44" s="706"/>
      <c r="Q44" s="707"/>
      <c r="R44" s="706"/>
      <c r="S44" s="692"/>
      <c r="T44" s="692"/>
      <c r="U44" s="692"/>
      <c r="V44" s="692"/>
      <c r="W44" s="692"/>
      <c r="X44" s="692"/>
      <c r="Y44" s="692"/>
      <c r="Z44" s="692"/>
      <c r="AA44" s="692"/>
      <c r="AB44" s="692"/>
      <c r="AC44" s="692"/>
      <c r="AD44" s="692"/>
      <c r="AE44" s="692"/>
      <c r="AF44" s="692"/>
      <c r="AG44" s="692"/>
      <c r="AH44" s="692"/>
      <c r="AI44" s="692"/>
      <c r="AJ44" s="692"/>
      <c r="AK44" s="692"/>
      <c r="AL44" s="692"/>
      <c r="AM44" s="692"/>
      <c r="AN44" s="692"/>
      <c r="AO44" s="692"/>
      <c r="AP44" s="692"/>
      <c r="AQ44" s="692"/>
      <c r="AR44" s="692"/>
      <c r="AS44" s="692"/>
      <c r="AT44" s="692"/>
      <c r="AU44" s="692"/>
      <c r="AV44" s="692"/>
      <c r="AW44" s="692"/>
      <c r="AX44" s="692"/>
      <c r="AY44" s="692"/>
      <c r="AZ44" s="692"/>
      <c r="BA44" s="692"/>
      <c r="BB44" s="692"/>
      <c r="BC44" s="692"/>
      <c r="BD44" s="692"/>
      <c r="BE44" s="692"/>
      <c r="BF44" s="692"/>
      <c r="BG44" s="692"/>
      <c r="BH44" s="692"/>
      <c r="BI44" s="692"/>
      <c r="BJ44" s="692"/>
      <c r="BK44" s="692"/>
      <c r="BL44" s="692"/>
      <c r="BM44" s="692"/>
      <c r="BN44" s="692"/>
      <c r="BO44" s="692"/>
      <c r="BP44" s="692"/>
      <c r="BQ44" s="692"/>
      <c r="BR44" s="692"/>
      <c r="BS44" s="692"/>
      <c r="BT44" s="692"/>
      <c r="BU44" s="692"/>
      <c r="BV44" s="692"/>
      <c r="BW44" s="692"/>
      <c r="BX44" s="692"/>
      <c r="BY44" s="692"/>
      <c r="BZ44" s="692"/>
      <c r="CA44" s="692"/>
      <c r="CB44" s="692"/>
      <c r="CC44" s="692"/>
      <c r="CD44" s="692"/>
      <c r="CE44" s="692"/>
      <c r="CF44" s="692"/>
      <c r="CG44" s="692"/>
      <c r="CH44" s="692"/>
      <c r="CI44" s="692"/>
      <c r="CJ44" s="692"/>
      <c r="CK44" s="692"/>
      <c r="CL44" s="692"/>
      <c r="CM44" s="692"/>
      <c r="CN44" s="692"/>
      <c r="CO44" s="692"/>
      <c r="CP44" s="692"/>
      <c r="CQ44" s="692"/>
      <c r="CR44" s="692"/>
      <c r="CS44" s="692"/>
      <c r="CT44" s="692"/>
      <c r="CU44" s="692"/>
      <c r="CV44" s="692"/>
      <c r="CW44" s="692"/>
      <c r="CX44" s="692"/>
      <c r="CY44" s="692"/>
      <c r="CZ44" s="692"/>
      <c r="DA44" s="692"/>
      <c r="DB44" s="692"/>
      <c r="DC44" s="692"/>
      <c r="DD44" s="692"/>
      <c r="DE44" s="692"/>
      <c r="DF44" s="692"/>
      <c r="DG44" s="692"/>
      <c r="DH44" s="692"/>
      <c r="DI44" s="692"/>
      <c r="DJ44" s="692"/>
      <c r="DK44" s="692"/>
      <c r="DL44" s="692"/>
      <c r="DM44" s="692"/>
      <c r="DN44" s="692"/>
      <c r="DO44" s="692"/>
      <c r="DP44" s="692"/>
      <c r="DQ44" s="692"/>
      <c r="DR44" s="692"/>
      <c r="DS44" s="692"/>
      <c r="DT44" s="692"/>
      <c r="DU44" s="692"/>
      <c r="DV44" s="692"/>
      <c r="DW44" s="692"/>
      <c r="DX44" s="692"/>
      <c r="DY44" s="692"/>
      <c r="DZ44" s="692"/>
      <c r="EA44" s="692"/>
      <c r="EB44" s="692"/>
      <c r="EC44" s="692"/>
      <c r="ED44" s="692"/>
      <c r="EE44" s="692"/>
      <c r="EF44" s="692"/>
      <c r="EG44" s="692"/>
      <c r="EH44" s="692"/>
      <c r="EI44" s="692"/>
      <c r="EJ44" s="692"/>
      <c r="EK44" s="692"/>
      <c r="EL44" s="692"/>
      <c r="EM44" s="692"/>
      <c r="EN44" s="692"/>
      <c r="EO44" s="692"/>
      <c r="EP44" s="692"/>
      <c r="EQ44" s="692"/>
      <c r="ER44" s="692"/>
      <c r="ES44" s="692"/>
      <c r="ET44" s="692"/>
      <c r="EU44" s="692"/>
      <c r="EV44" s="692"/>
      <c r="EW44" s="692"/>
      <c r="EX44" s="692"/>
      <c r="EY44" s="692"/>
      <c r="EZ44" s="692"/>
      <c r="FA44" s="692"/>
      <c r="FB44" s="692"/>
      <c r="FC44" s="692"/>
      <c r="FD44" s="692"/>
      <c r="FE44" s="692"/>
      <c r="FF44" s="692"/>
      <c r="FG44" s="692"/>
      <c r="FH44" s="692"/>
      <c r="FI44" s="692"/>
      <c r="FJ44" s="692"/>
      <c r="FK44" s="692"/>
      <c r="FL44" s="692"/>
      <c r="FM44" s="692"/>
      <c r="FN44" s="692"/>
      <c r="FO44" s="692"/>
      <c r="FP44" s="692"/>
      <c r="FQ44" s="692"/>
      <c r="FR44" s="692"/>
      <c r="FS44" s="692"/>
      <c r="FT44" s="692"/>
      <c r="FU44" s="692"/>
      <c r="FV44" s="692"/>
      <c r="FW44" s="692"/>
      <c r="FX44" s="692"/>
      <c r="FY44" s="692"/>
      <c r="FZ44" s="692"/>
      <c r="GA44" s="692"/>
      <c r="GB44" s="692"/>
      <c r="GC44" s="692"/>
      <c r="GD44" s="692"/>
      <c r="GE44" s="692"/>
      <c r="GF44" s="692"/>
      <c r="GG44" s="692"/>
      <c r="GH44" s="692"/>
      <c r="GI44" s="692"/>
      <c r="GJ44" s="692"/>
      <c r="GK44" s="692"/>
      <c r="GL44" s="692"/>
      <c r="GM44" s="692"/>
      <c r="GN44" s="692"/>
      <c r="GO44" s="692"/>
      <c r="GP44" s="692"/>
      <c r="GQ44" s="692"/>
      <c r="GR44" s="692"/>
      <c r="GS44" s="692"/>
      <c r="GT44" s="692"/>
      <c r="GU44" s="692"/>
      <c r="GV44" s="692"/>
      <c r="GW44" s="692"/>
      <c r="GX44" s="692"/>
      <c r="GY44" s="692"/>
      <c r="GZ44" s="692"/>
      <c r="HA44" s="692"/>
      <c r="HB44" s="692"/>
      <c r="HC44" s="692"/>
      <c r="HD44" s="692"/>
      <c r="HE44" s="692"/>
      <c r="HF44" s="692"/>
      <c r="HG44" s="692"/>
      <c r="HH44" s="692"/>
      <c r="HI44" s="692"/>
      <c r="HJ44" s="692"/>
      <c r="HK44" s="692"/>
      <c r="HL44" s="692"/>
      <c r="HM44" s="692"/>
      <c r="HN44" s="692"/>
      <c r="HO44" s="692"/>
      <c r="HP44" s="692"/>
      <c r="HQ44" s="692"/>
      <c r="HR44" s="692"/>
      <c r="HS44" s="692"/>
      <c r="HT44" s="692"/>
      <c r="HU44" s="692"/>
      <c r="HV44" s="692"/>
      <c r="HW44" s="692"/>
      <c r="HX44" s="692"/>
      <c r="HY44" s="692"/>
      <c r="HZ44" s="692"/>
      <c r="IA44" s="692"/>
      <c r="IB44" s="692"/>
      <c r="IC44" s="692"/>
      <c r="ID44" s="692"/>
      <c r="IE44" s="692"/>
    </row>
    <row r="45" spans="1:239" customHeight="1" ht="17.4" s="701" customFormat="1">
      <c r="A45" s="702" t="s">
        <v>329</v>
      </c>
      <c r="B45" s="703" t="s">
        <v>308</v>
      </c>
      <c r="C45" s="703" t="s">
        <v>285</v>
      </c>
      <c r="D45" s="704" t="s">
        <v>309</v>
      </c>
      <c r="E45" s="704" t="s">
        <v>310</v>
      </c>
      <c r="F45" s="727">
        <f>SUM(G45:R45)</f>
        <v>723.95999999999992</v>
      </c>
      <c r="G45" s="706">
        <v>188.77000000000001</v>
      </c>
      <c r="H45" s="706">
        <v>270.87</v>
      </c>
      <c r="I45" s="706">
        <v>210.78</v>
      </c>
      <c r="J45" s="706">
        <v>53.54</v>
      </c>
      <c r="K45" s="706">
        <v>0</v>
      </c>
      <c r="L45" s="706">
        <v>0</v>
      </c>
      <c r="M45" s="706">
        <v>0</v>
      </c>
      <c r="N45" s="706">
        <v>0</v>
      </c>
      <c r="O45" s="706">
        <v>0</v>
      </c>
      <c r="P45" s="706">
        <v>0</v>
      </c>
      <c r="Q45" s="707">
        <v>0</v>
      </c>
      <c r="R45" s="706">
        <v>0</v>
      </c>
      <c r="S45" s="692"/>
      <c r="T45" s="692"/>
      <c r="U45" s="692"/>
      <c r="V45" s="692"/>
      <c r="W45" s="692"/>
      <c r="X45" s="692"/>
      <c r="Y45" s="692"/>
      <c r="Z45" s="692"/>
      <c r="AA45" s="692"/>
      <c r="AB45" s="692"/>
      <c r="AC45" s="692"/>
      <c r="AD45" s="692"/>
      <c r="AE45" s="692"/>
      <c r="AF45" s="692"/>
      <c r="AG45" s="692"/>
      <c r="AH45" s="692"/>
      <c r="AI45" s="692"/>
      <c r="AJ45" s="692"/>
      <c r="AK45" s="692"/>
      <c r="AL45" s="692"/>
      <c r="AM45" s="692"/>
      <c r="AN45" s="692"/>
      <c r="AO45" s="692"/>
      <c r="AP45" s="692"/>
      <c r="AQ45" s="692"/>
      <c r="AR45" s="692"/>
      <c r="AS45" s="692"/>
      <c r="AT45" s="692"/>
      <c r="AU45" s="692"/>
      <c r="AV45" s="692"/>
      <c r="AW45" s="692"/>
      <c r="AX45" s="692"/>
      <c r="AY45" s="692"/>
      <c r="AZ45" s="692"/>
      <c r="BA45" s="692"/>
      <c r="BB45" s="692"/>
      <c r="BC45" s="692"/>
      <c r="BD45" s="692"/>
      <c r="BE45" s="692"/>
      <c r="BF45" s="692"/>
      <c r="BG45" s="692"/>
      <c r="BH45" s="692"/>
      <c r="BI45" s="692"/>
      <c r="BJ45" s="692"/>
      <c r="BK45" s="692"/>
      <c r="BL45" s="692"/>
      <c r="BM45" s="692"/>
      <c r="BN45" s="692"/>
      <c r="BO45" s="692"/>
      <c r="BP45" s="692"/>
      <c r="BQ45" s="692"/>
      <c r="BR45" s="692"/>
      <c r="BS45" s="692"/>
      <c r="BT45" s="692"/>
      <c r="BU45" s="692"/>
      <c r="BV45" s="692"/>
      <c r="BW45" s="692"/>
      <c r="BX45" s="692"/>
      <c r="BY45" s="692"/>
      <c r="BZ45" s="692"/>
      <c r="CA45" s="692"/>
      <c r="CB45" s="692"/>
      <c r="CC45" s="692"/>
      <c r="CD45" s="692"/>
      <c r="CE45" s="692"/>
      <c r="CF45" s="692"/>
      <c r="CG45" s="692"/>
      <c r="CH45" s="692"/>
      <c r="CI45" s="692"/>
      <c r="CJ45" s="692"/>
      <c r="CK45" s="692"/>
      <c r="CL45" s="692"/>
      <c r="CM45" s="692"/>
      <c r="CN45" s="692"/>
      <c r="CO45" s="692"/>
      <c r="CP45" s="692"/>
      <c r="CQ45" s="692"/>
      <c r="CR45" s="692"/>
      <c r="CS45" s="692"/>
      <c r="CT45" s="692"/>
      <c r="CU45" s="692"/>
      <c r="CV45" s="692"/>
      <c r="CW45" s="692"/>
      <c r="CX45" s="692"/>
      <c r="CY45" s="692"/>
      <c r="CZ45" s="692"/>
      <c r="DA45" s="692"/>
      <c r="DB45" s="692"/>
      <c r="DC45" s="692"/>
      <c r="DD45" s="692"/>
      <c r="DE45" s="692"/>
      <c r="DF45" s="692"/>
      <c r="DG45" s="692"/>
      <c r="DH45" s="692"/>
      <c r="DI45" s="692"/>
      <c r="DJ45" s="692"/>
      <c r="DK45" s="692"/>
      <c r="DL45" s="692"/>
      <c r="DM45" s="692"/>
      <c r="DN45" s="692"/>
      <c r="DO45" s="692"/>
      <c r="DP45" s="692"/>
      <c r="DQ45" s="692"/>
      <c r="DR45" s="692"/>
      <c r="DS45" s="692"/>
      <c r="DT45" s="692"/>
      <c r="DU45" s="692"/>
      <c r="DV45" s="692"/>
      <c r="DW45" s="692"/>
      <c r="DX45" s="692"/>
      <c r="DY45" s="692"/>
      <c r="DZ45" s="692"/>
      <c r="EA45" s="692"/>
      <c r="EB45" s="692"/>
      <c r="EC45" s="692"/>
      <c r="ED45" s="692"/>
      <c r="EE45" s="692"/>
      <c r="EF45" s="692"/>
      <c r="EG45" s="692"/>
      <c r="EH45" s="692"/>
      <c r="EI45" s="692"/>
      <c r="EJ45" s="692"/>
      <c r="EK45" s="692"/>
      <c r="EL45" s="692"/>
      <c r="EM45" s="692"/>
      <c r="EN45" s="692"/>
      <c r="EO45" s="692"/>
      <c r="EP45" s="692"/>
      <c r="EQ45" s="692"/>
      <c r="ER45" s="692"/>
      <c r="ES45" s="692"/>
      <c r="ET45" s="692"/>
      <c r="EU45" s="692"/>
      <c r="EV45" s="692"/>
      <c r="EW45" s="692"/>
      <c r="EX45" s="692"/>
      <c r="EY45" s="692"/>
      <c r="EZ45" s="692"/>
      <c r="FA45" s="692"/>
      <c r="FB45" s="692"/>
      <c r="FC45" s="692"/>
      <c r="FD45" s="692"/>
      <c r="FE45" s="692"/>
      <c r="FF45" s="692"/>
      <c r="FG45" s="692"/>
      <c r="FH45" s="692"/>
      <c r="FI45" s="692"/>
      <c r="FJ45" s="692"/>
      <c r="FK45" s="692"/>
      <c r="FL45" s="692"/>
      <c r="FM45" s="692"/>
      <c r="FN45" s="692"/>
      <c r="FO45" s="692"/>
      <c r="FP45" s="692"/>
      <c r="FQ45" s="692"/>
      <c r="FR45" s="692"/>
      <c r="FS45" s="692"/>
      <c r="FT45" s="692"/>
      <c r="FU45" s="692"/>
      <c r="FV45" s="692"/>
      <c r="FW45" s="692"/>
      <c r="FX45" s="692"/>
      <c r="FY45" s="692"/>
      <c r="FZ45" s="692"/>
      <c r="GA45" s="692"/>
      <c r="GB45" s="692"/>
      <c r="GC45" s="692"/>
      <c r="GD45" s="692"/>
      <c r="GE45" s="692"/>
      <c r="GF45" s="692"/>
      <c r="GG45" s="692"/>
      <c r="GH45" s="692"/>
      <c r="GI45" s="692"/>
      <c r="GJ45" s="692"/>
      <c r="GK45" s="692"/>
      <c r="GL45" s="692"/>
      <c r="GM45" s="692"/>
      <c r="GN45" s="692"/>
      <c r="GO45" s="692"/>
      <c r="GP45" s="692"/>
      <c r="GQ45" s="692"/>
      <c r="GR45" s="692"/>
      <c r="GS45" s="692"/>
      <c r="GT45" s="692"/>
      <c r="GU45" s="692"/>
      <c r="GV45" s="692"/>
      <c r="GW45" s="692"/>
      <c r="GX45" s="692"/>
      <c r="GY45" s="692"/>
      <c r="GZ45" s="692"/>
      <c r="HA45" s="692"/>
      <c r="HB45" s="692"/>
      <c r="HC45" s="692"/>
      <c r="HD45" s="692"/>
      <c r="HE45" s="692"/>
      <c r="HF45" s="692"/>
      <c r="HG45" s="692"/>
      <c r="HH45" s="692"/>
      <c r="HI45" s="692"/>
      <c r="HJ45" s="692"/>
      <c r="HK45" s="692"/>
      <c r="HL45" s="692"/>
      <c r="HM45" s="692"/>
      <c r="HN45" s="692"/>
      <c r="HO45" s="692"/>
      <c r="HP45" s="692"/>
      <c r="HQ45" s="692"/>
      <c r="HR45" s="692"/>
      <c r="HS45" s="692"/>
      <c r="HT45" s="692"/>
      <c r="HU45" s="692"/>
      <c r="HV45" s="692"/>
      <c r="HW45" s="692"/>
      <c r="HX45" s="692"/>
      <c r="HY45" s="692"/>
      <c r="HZ45" s="692"/>
      <c r="IA45" s="692"/>
      <c r="IB45" s="692"/>
      <c r="IC45" s="692"/>
      <c r="ID45" s="692"/>
      <c r="IE45" s="692"/>
    </row>
    <row r="46" spans="1:239" customHeight="1" ht="17.4" s="701" customFormat="1">
      <c r="A46" s="702"/>
      <c r="B46" s="703"/>
      <c r="C46" s="703" t="s">
        <v>302</v>
      </c>
      <c r="D46" s="704"/>
      <c r="E46" s="704"/>
      <c r="F46" s="727">
        <f>SUM(G46:R46)</f>
        <v>151.090000000000003</v>
      </c>
      <c r="G46" s="706">
        <v>119.70999999999999</v>
      </c>
      <c r="H46" s="706">
        <v>31.38</v>
      </c>
      <c r="I46" s="706">
        <v>0</v>
      </c>
      <c r="J46" s="706">
        <v>0</v>
      </c>
      <c r="K46" s="706">
        <v>0</v>
      </c>
      <c r="L46" s="706">
        <v>0</v>
      </c>
      <c r="M46" s="706">
        <v>0</v>
      </c>
      <c r="N46" s="706"/>
      <c r="O46" s="706">
        <v>0</v>
      </c>
      <c r="P46" s="706">
        <v>0</v>
      </c>
      <c r="Q46" s="707">
        <v>0</v>
      </c>
      <c r="R46" s="706">
        <v>0</v>
      </c>
      <c r="S46" s="692"/>
      <c r="T46" s="692"/>
      <c r="U46" s="692"/>
      <c r="V46" s="692"/>
      <c r="W46" s="692"/>
      <c r="X46" s="692"/>
      <c r="Y46" s="692"/>
      <c r="Z46" s="692"/>
      <c r="AA46" s="692"/>
      <c r="AB46" s="692"/>
      <c r="AC46" s="692"/>
      <c r="AD46" s="692"/>
      <c r="AE46" s="692"/>
      <c r="AF46" s="692"/>
      <c r="AG46" s="692"/>
      <c r="AH46" s="692"/>
      <c r="AI46" s="692"/>
      <c r="AJ46" s="692"/>
      <c r="AK46" s="692"/>
      <c r="AL46" s="692"/>
      <c r="AM46" s="692"/>
      <c r="AN46" s="692"/>
      <c r="AO46" s="692"/>
      <c r="AP46" s="692"/>
      <c r="AQ46" s="692"/>
      <c r="AR46" s="692"/>
      <c r="AS46" s="692"/>
      <c r="AT46" s="692"/>
      <c r="AU46" s="692"/>
      <c r="AV46" s="692"/>
      <c r="AW46" s="692"/>
      <c r="AX46" s="692"/>
      <c r="AY46" s="692"/>
      <c r="AZ46" s="692"/>
      <c r="BA46" s="692"/>
      <c r="BB46" s="692"/>
      <c r="BC46" s="692"/>
      <c r="BD46" s="692"/>
      <c r="BE46" s="692"/>
      <c r="BF46" s="692"/>
      <c r="BG46" s="692"/>
      <c r="BH46" s="692"/>
      <c r="BI46" s="692"/>
      <c r="BJ46" s="692"/>
      <c r="BK46" s="692"/>
      <c r="BL46" s="692"/>
      <c r="BM46" s="692"/>
      <c r="BN46" s="692"/>
      <c r="BO46" s="692"/>
      <c r="BP46" s="692"/>
      <c r="BQ46" s="692"/>
      <c r="BR46" s="692"/>
      <c r="BS46" s="692"/>
      <c r="BT46" s="692"/>
      <c r="BU46" s="692"/>
      <c r="BV46" s="692"/>
      <c r="BW46" s="692"/>
      <c r="BX46" s="692"/>
      <c r="BY46" s="692"/>
      <c r="BZ46" s="692"/>
      <c r="CA46" s="692"/>
      <c r="CB46" s="692"/>
      <c r="CC46" s="692"/>
      <c r="CD46" s="692"/>
      <c r="CE46" s="692"/>
      <c r="CF46" s="692"/>
      <c r="CG46" s="692"/>
      <c r="CH46" s="692"/>
      <c r="CI46" s="692"/>
      <c r="CJ46" s="692"/>
      <c r="CK46" s="692"/>
      <c r="CL46" s="692"/>
      <c r="CM46" s="692"/>
      <c r="CN46" s="692"/>
      <c r="CO46" s="692"/>
      <c r="CP46" s="692"/>
      <c r="CQ46" s="692"/>
      <c r="CR46" s="692"/>
      <c r="CS46" s="692"/>
      <c r="CT46" s="692"/>
      <c r="CU46" s="692"/>
      <c r="CV46" s="692"/>
      <c r="CW46" s="692"/>
      <c r="CX46" s="692"/>
      <c r="CY46" s="692"/>
      <c r="CZ46" s="692"/>
      <c r="DA46" s="692"/>
      <c r="DB46" s="692"/>
      <c r="DC46" s="692"/>
      <c r="DD46" s="692"/>
      <c r="DE46" s="692"/>
      <c r="DF46" s="692"/>
      <c r="DG46" s="692"/>
      <c r="DH46" s="692"/>
      <c r="DI46" s="692"/>
      <c r="DJ46" s="692"/>
      <c r="DK46" s="692"/>
      <c r="DL46" s="692"/>
      <c r="DM46" s="692"/>
      <c r="DN46" s="692"/>
      <c r="DO46" s="692"/>
      <c r="DP46" s="692"/>
      <c r="DQ46" s="692"/>
      <c r="DR46" s="692"/>
      <c r="DS46" s="692"/>
      <c r="DT46" s="692"/>
      <c r="DU46" s="692"/>
      <c r="DV46" s="692"/>
      <c r="DW46" s="692"/>
      <c r="DX46" s="692"/>
      <c r="DY46" s="692"/>
      <c r="DZ46" s="692"/>
      <c r="EA46" s="692"/>
      <c r="EB46" s="692"/>
      <c r="EC46" s="692"/>
      <c r="ED46" s="692"/>
      <c r="EE46" s="692"/>
      <c r="EF46" s="692"/>
      <c r="EG46" s="692"/>
      <c r="EH46" s="692"/>
      <c r="EI46" s="692"/>
      <c r="EJ46" s="692"/>
      <c r="EK46" s="692"/>
      <c r="EL46" s="692"/>
      <c r="EM46" s="692"/>
      <c r="EN46" s="692"/>
      <c r="EO46" s="692"/>
      <c r="EP46" s="692"/>
      <c r="EQ46" s="692"/>
      <c r="ER46" s="692"/>
      <c r="ES46" s="692"/>
      <c r="ET46" s="692"/>
      <c r="EU46" s="692"/>
      <c r="EV46" s="692"/>
      <c r="EW46" s="692"/>
      <c r="EX46" s="692"/>
      <c r="EY46" s="692"/>
      <c r="EZ46" s="692"/>
      <c r="FA46" s="692"/>
      <c r="FB46" s="692"/>
      <c r="FC46" s="692"/>
      <c r="FD46" s="692"/>
      <c r="FE46" s="692"/>
      <c r="FF46" s="692"/>
      <c r="FG46" s="692"/>
      <c r="FH46" s="692"/>
      <c r="FI46" s="692"/>
      <c r="FJ46" s="692"/>
      <c r="FK46" s="692"/>
      <c r="FL46" s="692"/>
      <c r="FM46" s="692"/>
      <c r="FN46" s="692"/>
      <c r="FO46" s="692"/>
      <c r="FP46" s="692"/>
      <c r="FQ46" s="692"/>
      <c r="FR46" s="692"/>
      <c r="FS46" s="692"/>
      <c r="FT46" s="692"/>
      <c r="FU46" s="692"/>
      <c r="FV46" s="692"/>
      <c r="FW46" s="692"/>
      <c r="FX46" s="692"/>
      <c r="FY46" s="692"/>
      <c r="FZ46" s="692"/>
      <c r="GA46" s="692"/>
      <c r="GB46" s="692"/>
      <c r="GC46" s="692"/>
      <c r="GD46" s="692"/>
      <c r="GE46" s="692"/>
      <c r="GF46" s="692"/>
      <c r="GG46" s="692"/>
      <c r="GH46" s="692"/>
      <c r="GI46" s="692"/>
      <c r="GJ46" s="692"/>
      <c r="GK46" s="692"/>
      <c r="GL46" s="692"/>
      <c r="GM46" s="692"/>
      <c r="GN46" s="692"/>
      <c r="GO46" s="692"/>
      <c r="GP46" s="692"/>
      <c r="GQ46" s="692"/>
      <c r="GR46" s="692"/>
      <c r="GS46" s="692"/>
      <c r="GT46" s="692"/>
      <c r="GU46" s="692"/>
      <c r="GV46" s="692"/>
      <c r="GW46" s="692"/>
      <c r="GX46" s="692"/>
      <c r="GY46" s="692"/>
      <c r="GZ46" s="692"/>
      <c r="HA46" s="692"/>
      <c r="HB46" s="692"/>
      <c r="HC46" s="692"/>
      <c r="HD46" s="692"/>
      <c r="HE46" s="692"/>
      <c r="HF46" s="692"/>
      <c r="HG46" s="692"/>
      <c r="HH46" s="692"/>
      <c r="HI46" s="692"/>
      <c r="HJ46" s="692"/>
      <c r="HK46" s="692"/>
      <c r="HL46" s="692"/>
      <c r="HM46" s="692"/>
      <c r="HN46" s="692"/>
      <c r="HO46" s="692"/>
      <c r="HP46" s="692"/>
      <c r="HQ46" s="692"/>
      <c r="HR46" s="692"/>
      <c r="HS46" s="692"/>
      <c r="HT46" s="692"/>
      <c r="HU46" s="692"/>
      <c r="HV46" s="692"/>
      <c r="HW46" s="692"/>
      <c r="HX46" s="692"/>
      <c r="HY46" s="692"/>
      <c r="HZ46" s="692"/>
      <c r="IA46" s="692"/>
      <c r="IB46" s="692"/>
      <c r="IC46" s="692"/>
      <c r="ID46" s="692"/>
      <c r="IE46" s="692"/>
    </row>
    <row r="47" spans="1:239" customHeight="1" ht="17.4" s="701" customFormat="1">
      <c r="A47" s="702" t="s">
        <v>330</v>
      </c>
      <c r="B47" s="703" t="s">
        <v>308</v>
      </c>
      <c r="C47" s="703" t="s">
        <v>285</v>
      </c>
      <c r="D47" s="704" t="s">
        <v>309</v>
      </c>
      <c r="E47" s="704" t="s">
        <v>310</v>
      </c>
      <c r="F47" s="727">
        <f>SUM(G47:R47)</f>
        <v>741.11000000000001</v>
      </c>
      <c r="G47" s="706">
        <v>0</v>
      </c>
      <c r="H47" s="706">
        <v>108.40000000000001</v>
      </c>
      <c r="I47" s="706">
        <v>93.15000000000001</v>
      </c>
      <c r="J47" s="706">
        <v>67.45999999999999</v>
      </c>
      <c r="K47" s="706">
        <v>70.5</v>
      </c>
      <c r="L47" s="706">
        <v>63.12</v>
      </c>
      <c r="M47" s="706">
        <v>80.37</v>
      </c>
      <c r="N47" s="706">
        <v>52.49</v>
      </c>
      <c r="O47" s="706">
        <v>114.88</v>
      </c>
      <c r="P47" s="706">
        <v>26.11</v>
      </c>
      <c r="Q47" s="707">
        <v>64.63</v>
      </c>
      <c r="R47" s="706">
        <v>0</v>
      </c>
      <c r="S47" s="692"/>
      <c r="T47" s="692"/>
      <c r="U47" s="692"/>
      <c r="V47" s="692"/>
      <c r="W47" s="692"/>
      <c r="X47" s="692"/>
      <c r="Y47" s="692"/>
      <c r="Z47" s="692"/>
      <c r="AA47" s="692"/>
      <c r="AB47" s="692"/>
      <c r="AC47" s="692"/>
      <c r="AD47" s="692"/>
      <c r="AE47" s="692"/>
      <c r="AF47" s="692"/>
      <c r="AG47" s="692"/>
      <c r="AH47" s="692"/>
      <c r="AI47" s="692"/>
      <c r="AJ47" s="692"/>
      <c r="AK47" s="692"/>
      <c r="AL47" s="692"/>
      <c r="AM47" s="692"/>
      <c r="AN47" s="692"/>
      <c r="AO47" s="692"/>
      <c r="AP47" s="692"/>
      <c r="AQ47" s="692"/>
      <c r="AR47" s="692"/>
      <c r="AS47" s="692"/>
      <c r="AT47" s="692"/>
      <c r="AU47" s="692"/>
      <c r="AV47" s="692"/>
      <c r="AW47" s="692"/>
      <c r="AX47" s="692"/>
      <c r="AY47" s="692"/>
      <c r="AZ47" s="692"/>
      <c r="BA47" s="692"/>
      <c r="BB47" s="692"/>
      <c r="BC47" s="692"/>
      <c r="BD47" s="692"/>
      <c r="BE47" s="692"/>
      <c r="BF47" s="692"/>
      <c r="BG47" s="692"/>
      <c r="BH47" s="692"/>
      <c r="BI47" s="692"/>
      <c r="BJ47" s="692"/>
      <c r="BK47" s="692"/>
      <c r="BL47" s="692"/>
      <c r="BM47" s="692"/>
      <c r="BN47" s="692"/>
      <c r="BO47" s="692"/>
      <c r="BP47" s="692"/>
      <c r="BQ47" s="692"/>
      <c r="BR47" s="692"/>
      <c r="BS47" s="692"/>
      <c r="BT47" s="692"/>
      <c r="BU47" s="692"/>
      <c r="BV47" s="692"/>
      <c r="BW47" s="692"/>
      <c r="BX47" s="692"/>
      <c r="BY47" s="692"/>
      <c r="BZ47" s="692"/>
      <c r="CA47" s="692"/>
      <c r="CB47" s="692"/>
      <c r="CC47" s="692"/>
      <c r="CD47" s="692"/>
      <c r="CE47" s="692"/>
      <c r="CF47" s="692"/>
      <c r="CG47" s="692"/>
      <c r="CH47" s="692"/>
      <c r="CI47" s="692"/>
      <c r="CJ47" s="692"/>
      <c r="CK47" s="692"/>
      <c r="CL47" s="692"/>
      <c r="CM47" s="692"/>
      <c r="CN47" s="692"/>
      <c r="CO47" s="692"/>
      <c r="CP47" s="692"/>
      <c r="CQ47" s="692"/>
      <c r="CR47" s="692"/>
      <c r="CS47" s="692"/>
      <c r="CT47" s="692"/>
      <c r="CU47" s="692"/>
      <c r="CV47" s="692"/>
      <c r="CW47" s="692"/>
      <c r="CX47" s="692"/>
      <c r="CY47" s="692"/>
      <c r="CZ47" s="692"/>
      <c r="DA47" s="692"/>
      <c r="DB47" s="692"/>
      <c r="DC47" s="692"/>
      <c r="DD47" s="692"/>
      <c r="DE47" s="692"/>
      <c r="DF47" s="692"/>
      <c r="DG47" s="692"/>
      <c r="DH47" s="692"/>
      <c r="DI47" s="692"/>
      <c r="DJ47" s="692"/>
      <c r="DK47" s="692"/>
      <c r="DL47" s="692"/>
      <c r="DM47" s="692"/>
      <c r="DN47" s="692"/>
      <c r="DO47" s="692"/>
      <c r="DP47" s="692"/>
      <c r="DQ47" s="692"/>
      <c r="DR47" s="692"/>
      <c r="DS47" s="692"/>
      <c r="DT47" s="692"/>
      <c r="DU47" s="692"/>
      <c r="DV47" s="692"/>
      <c r="DW47" s="692"/>
      <c r="DX47" s="692"/>
      <c r="DY47" s="692"/>
      <c r="DZ47" s="692"/>
      <c r="EA47" s="692"/>
      <c r="EB47" s="692"/>
      <c r="EC47" s="692"/>
      <c r="ED47" s="692"/>
      <c r="EE47" s="692"/>
      <c r="EF47" s="692"/>
      <c r="EG47" s="692"/>
      <c r="EH47" s="692"/>
      <c r="EI47" s="692"/>
      <c r="EJ47" s="692"/>
      <c r="EK47" s="692"/>
      <c r="EL47" s="692"/>
      <c r="EM47" s="692"/>
      <c r="EN47" s="692"/>
      <c r="EO47" s="692"/>
      <c r="EP47" s="692"/>
      <c r="EQ47" s="692"/>
      <c r="ER47" s="692"/>
      <c r="ES47" s="692"/>
      <c r="ET47" s="692"/>
      <c r="EU47" s="692"/>
      <c r="EV47" s="692"/>
      <c r="EW47" s="692"/>
      <c r="EX47" s="692"/>
      <c r="EY47" s="692"/>
      <c r="EZ47" s="692"/>
      <c r="FA47" s="692"/>
      <c r="FB47" s="692"/>
      <c r="FC47" s="692"/>
      <c r="FD47" s="692"/>
      <c r="FE47" s="692"/>
      <c r="FF47" s="692"/>
      <c r="FG47" s="692"/>
      <c r="FH47" s="692"/>
      <c r="FI47" s="692"/>
      <c r="FJ47" s="692"/>
      <c r="FK47" s="692"/>
      <c r="FL47" s="692"/>
      <c r="FM47" s="692"/>
      <c r="FN47" s="692"/>
      <c r="FO47" s="692"/>
      <c r="FP47" s="692"/>
      <c r="FQ47" s="692"/>
      <c r="FR47" s="692"/>
      <c r="FS47" s="692"/>
      <c r="FT47" s="692"/>
      <c r="FU47" s="692"/>
      <c r="FV47" s="692"/>
      <c r="FW47" s="692"/>
      <c r="FX47" s="692"/>
      <c r="FY47" s="692"/>
      <c r="FZ47" s="692"/>
      <c r="GA47" s="692"/>
      <c r="GB47" s="692"/>
      <c r="GC47" s="692"/>
      <c r="GD47" s="692"/>
      <c r="GE47" s="692"/>
      <c r="GF47" s="692"/>
      <c r="GG47" s="692"/>
      <c r="GH47" s="692"/>
      <c r="GI47" s="692"/>
      <c r="GJ47" s="692"/>
      <c r="GK47" s="692"/>
      <c r="GL47" s="692"/>
      <c r="GM47" s="692"/>
      <c r="GN47" s="692"/>
      <c r="GO47" s="692"/>
      <c r="GP47" s="692"/>
      <c r="GQ47" s="692"/>
      <c r="GR47" s="692"/>
      <c r="GS47" s="692"/>
      <c r="GT47" s="692"/>
      <c r="GU47" s="692"/>
      <c r="GV47" s="692"/>
      <c r="GW47" s="692"/>
      <c r="GX47" s="692"/>
      <c r="GY47" s="692"/>
      <c r="GZ47" s="692"/>
      <c r="HA47" s="692"/>
      <c r="HB47" s="692"/>
      <c r="HC47" s="692"/>
      <c r="HD47" s="692"/>
      <c r="HE47" s="692"/>
      <c r="HF47" s="692"/>
      <c r="HG47" s="692"/>
      <c r="HH47" s="692"/>
      <c r="HI47" s="692"/>
      <c r="HJ47" s="692"/>
      <c r="HK47" s="692"/>
      <c r="HL47" s="692"/>
      <c r="HM47" s="692"/>
      <c r="HN47" s="692"/>
      <c r="HO47" s="692"/>
      <c r="HP47" s="692"/>
      <c r="HQ47" s="692"/>
      <c r="HR47" s="692"/>
      <c r="HS47" s="692"/>
      <c r="HT47" s="692"/>
      <c r="HU47" s="692"/>
      <c r="HV47" s="692"/>
      <c r="HW47" s="692"/>
      <c r="HX47" s="692"/>
      <c r="HY47" s="692"/>
      <c r="HZ47" s="692"/>
      <c r="IA47" s="692"/>
      <c r="IB47" s="692"/>
      <c r="IC47" s="692"/>
      <c r="ID47" s="692"/>
      <c r="IE47" s="692"/>
    </row>
    <row r="48" spans="1:239" customHeight="1" ht="17.4" s="701" customFormat="1">
      <c r="A48" s="702"/>
      <c r="B48" s="703"/>
      <c r="C48" s="703" t="s">
        <v>302</v>
      </c>
      <c r="D48" s="704"/>
      <c r="E48" s="704"/>
      <c r="F48" s="727">
        <f>SUM(G48:R48)</f>
        <v>0</v>
      </c>
      <c r="G48" s="706">
        <v>0</v>
      </c>
      <c r="H48" s="706">
        <v>0</v>
      </c>
      <c r="I48" s="706">
        <v>0</v>
      </c>
      <c r="J48" s="706">
        <v>0</v>
      </c>
      <c r="K48" s="706">
        <v>0</v>
      </c>
      <c r="L48" s="706">
        <v>0</v>
      </c>
      <c r="M48" s="706">
        <v>0</v>
      </c>
      <c r="N48" s="706">
        <v>0</v>
      </c>
      <c r="O48" s="706">
        <v>0</v>
      </c>
      <c r="P48" s="706">
        <v>0</v>
      </c>
      <c r="Q48" s="707">
        <v>0</v>
      </c>
      <c r="R48" s="706">
        <v>0</v>
      </c>
      <c r="S48" s="692"/>
      <c r="T48" s="692"/>
      <c r="U48" s="692"/>
      <c r="V48" s="692"/>
      <c r="W48" s="692"/>
      <c r="X48" s="692"/>
      <c r="Y48" s="692"/>
      <c r="Z48" s="692"/>
      <c r="AA48" s="692"/>
      <c r="AB48" s="692"/>
      <c r="AC48" s="692"/>
      <c r="AD48" s="692"/>
      <c r="AE48" s="692"/>
      <c r="AF48" s="692"/>
      <c r="AG48" s="692"/>
      <c r="AH48" s="692"/>
      <c r="AI48" s="692"/>
      <c r="AJ48" s="692"/>
      <c r="AK48" s="692"/>
      <c r="AL48" s="692"/>
      <c r="AM48" s="692"/>
      <c r="AN48" s="692"/>
      <c r="AO48" s="692"/>
      <c r="AP48" s="692"/>
      <c r="AQ48" s="692"/>
      <c r="AR48" s="692"/>
      <c r="AS48" s="692"/>
      <c r="AT48" s="692"/>
      <c r="AU48" s="692"/>
      <c r="AV48" s="692"/>
      <c r="AW48" s="692"/>
      <c r="AX48" s="692"/>
      <c r="AY48" s="692"/>
      <c r="AZ48" s="692"/>
      <c r="BA48" s="692"/>
      <c r="BB48" s="692"/>
      <c r="BC48" s="692"/>
      <c r="BD48" s="692"/>
      <c r="BE48" s="692"/>
      <c r="BF48" s="692"/>
      <c r="BG48" s="692"/>
      <c r="BH48" s="692"/>
      <c r="BI48" s="692"/>
      <c r="BJ48" s="692"/>
      <c r="BK48" s="692"/>
      <c r="BL48" s="692"/>
      <c r="BM48" s="692"/>
      <c r="BN48" s="692"/>
      <c r="BO48" s="692"/>
      <c r="BP48" s="692"/>
      <c r="BQ48" s="692"/>
      <c r="BR48" s="692"/>
      <c r="BS48" s="692"/>
      <c r="BT48" s="692"/>
      <c r="BU48" s="692"/>
      <c r="BV48" s="692"/>
      <c r="BW48" s="692"/>
      <c r="BX48" s="692"/>
      <c r="BY48" s="692"/>
      <c r="BZ48" s="692"/>
      <c r="CA48" s="692"/>
      <c r="CB48" s="692"/>
      <c r="CC48" s="692"/>
      <c r="CD48" s="692"/>
      <c r="CE48" s="692"/>
      <c r="CF48" s="692"/>
      <c r="CG48" s="692"/>
      <c r="CH48" s="692"/>
      <c r="CI48" s="692"/>
      <c r="CJ48" s="692"/>
      <c r="CK48" s="692"/>
      <c r="CL48" s="692"/>
      <c r="CM48" s="692"/>
      <c r="CN48" s="692"/>
      <c r="CO48" s="692"/>
      <c r="CP48" s="692"/>
      <c r="CQ48" s="692"/>
      <c r="CR48" s="692"/>
      <c r="CS48" s="692"/>
      <c r="CT48" s="692"/>
      <c r="CU48" s="692"/>
      <c r="CV48" s="692"/>
      <c r="CW48" s="692"/>
      <c r="CX48" s="692"/>
      <c r="CY48" s="692"/>
      <c r="CZ48" s="692"/>
      <c r="DA48" s="692"/>
      <c r="DB48" s="692"/>
      <c r="DC48" s="692"/>
      <c r="DD48" s="692"/>
      <c r="DE48" s="692"/>
      <c r="DF48" s="692"/>
      <c r="DG48" s="692"/>
      <c r="DH48" s="692"/>
      <c r="DI48" s="692"/>
      <c r="DJ48" s="692"/>
      <c r="DK48" s="692"/>
      <c r="DL48" s="692"/>
      <c r="DM48" s="692"/>
      <c r="DN48" s="692"/>
      <c r="DO48" s="692"/>
      <c r="DP48" s="692"/>
      <c r="DQ48" s="692"/>
      <c r="DR48" s="692"/>
      <c r="DS48" s="692"/>
      <c r="DT48" s="692"/>
      <c r="DU48" s="692"/>
      <c r="DV48" s="692"/>
      <c r="DW48" s="692"/>
      <c r="DX48" s="692"/>
      <c r="DY48" s="692"/>
      <c r="DZ48" s="692"/>
      <c r="EA48" s="692"/>
      <c r="EB48" s="692"/>
      <c r="EC48" s="692"/>
      <c r="ED48" s="692"/>
      <c r="EE48" s="692"/>
      <c r="EF48" s="692"/>
      <c r="EG48" s="692"/>
      <c r="EH48" s="692"/>
      <c r="EI48" s="692"/>
      <c r="EJ48" s="692"/>
      <c r="EK48" s="692"/>
      <c r="EL48" s="692"/>
      <c r="EM48" s="692"/>
      <c r="EN48" s="692"/>
      <c r="EO48" s="692"/>
      <c r="EP48" s="692"/>
      <c r="EQ48" s="692"/>
      <c r="ER48" s="692"/>
      <c r="ES48" s="692"/>
      <c r="ET48" s="692"/>
      <c r="EU48" s="692"/>
      <c r="EV48" s="692"/>
      <c r="EW48" s="692"/>
      <c r="EX48" s="692"/>
      <c r="EY48" s="692"/>
      <c r="EZ48" s="692"/>
      <c r="FA48" s="692"/>
      <c r="FB48" s="692"/>
      <c r="FC48" s="692"/>
      <c r="FD48" s="692"/>
      <c r="FE48" s="692"/>
      <c r="FF48" s="692"/>
      <c r="FG48" s="692"/>
      <c r="FH48" s="692"/>
      <c r="FI48" s="692"/>
      <c r="FJ48" s="692"/>
      <c r="FK48" s="692"/>
      <c r="FL48" s="692"/>
      <c r="FM48" s="692"/>
      <c r="FN48" s="692"/>
      <c r="FO48" s="692"/>
      <c r="FP48" s="692"/>
      <c r="FQ48" s="692"/>
      <c r="FR48" s="692"/>
      <c r="FS48" s="692"/>
      <c r="FT48" s="692"/>
      <c r="FU48" s="692"/>
      <c r="FV48" s="692"/>
      <c r="FW48" s="692"/>
      <c r="FX48" s="692"/>
      <c r="FY48" s="692"/>
      <c r="FZ48" s="692"/>
      <c r="GA48" s="692"/>
      <c r="GB48" s="692"/>
      <c r="GC48" s="692"/>
      <c r="GD48" s="692"/>
      <c r="GE48" s="692"/>
      <c r="GF48" s="692"/>
      <c r="GG48" s="692"/>
      <c r="GH48" s="692"/>
      <c r="GI48" s="692"/>
      <c r="GJ48" s="692"/>
      <c r="GK48" s="692"/>
      <c r="GL48" s="692"/>
      <c r="GM48" s="692"/>
      <c r="GN48" s="692"/>
      <c r="GO48" s="692"/>
      <c r="GP48" s="692"/>
      <c r="GQ48" s="692"/>
      <c r="GR48" s="692"/>
      <c r="GS48" s="692"/>
      <c r="GT48" s="692"/>
      <c r="GU48" s="692"/>
      <c r="GV48" s="692"/>
      <c r="GW48" s="692"/>
      <c r="GX48" s="692"/>
      <c r="GY48" s="692"/>
      <c r="GZ48" s="692"/>
      <c r="HA48" s="692"/>
      <c r="HB48" s="692"/>
      <c r="HC48" s="692"/>
      <c r="HD48" s="692"/>
      <c r="HE48" s="692"/>
      <c r="HF48" s="692"/>
      <c r="HG48" s="692"/>
      <c r="HH48" s="692"/>
      <c r="HI48" s="692"/>
      <c r="HJ48" s="692"/>
      <c r="HK48" s="692"/>
      <c r="HL48" s="692"/>
      <c r="HM48" s="692"/>
      <c r="HN48" s="692"/>
      <c r="HO48" s="692"/>
      <c r="HP48" s="692"/>
      <c r="HQ48" s="692"/>
      <c r="HR48" s="692"/>
      <c r="HS48" s="692"/>
      <c r="HT48" s="692"/>
      <c r="HU48" s="692"/>
      <c r="HV48" s="692"/>
      <c r="HW48" s="692"/>
      <c r="HX48" s="692"/>
      <c r="HY48" s="692"/>
      <c r="HZ48" s="692"/>
      <c r="IA48" s="692"/>
      <c r="IB48" s="692"/>
      <c r="IC48" s="692"/>
      <c r="ID48" s="692"/>
      <c r="IE48" s="692"/>
    </row>
    <row r="49" spans="1:239" customHeight="1" ht="17.4" s="701" customFormat="1">
      <c r="A49" s="702" t="s">
        <v>331</v>
      </c>
      <c r="B49" s="703" t="s">
        <v>316</v>
      </c>
      <c r="C49" s="703" t="s">
        <v>285</v>
      </c>
      <c r="D49" s="704" t="s">
        <v>309</v>
      </c>
      <c r="E49" s="704" t="s">
        <v>310</v>
      </c>
      <c r="F49" s="727">
        <f>SUM(G49:R49)</f>
        <v>277.24000000000001</v>
      </c>
      <c r="G49" s="706">
        <v>112.94</v>
      </c>
      <c r="H49" s="706">
        <v>47.24</v>
      </c>
      <c r="I49" s="706">
        <v>93.049999999999997</v>
      </c>
      <c r="J49" s="706">
        <v>24.010000000000002</v>
      </c>
      <c r="K49" s="706">
        <v>0</v>
      </c>
      <c r="L49" s="706">
        <v>0</v>
      </c>
      <c r="M49" s="706">
        <v>0</v>
      </c>
      <c r="N49" s="706">
        <v>0</v>
      </c>
      <c r="O49" s="706">
        <v>0</v>
      </c>
      <c r="P49" s="706">
        <v>0</v>
      </c>
      <c r="Q49" s="707">
        <v>0</v>
      </c>
      <c r="R49" s="706">
        <v>0</v>
      </c>
      <c r="S49" s="692"/>
      <c r="T49" s="692"/>
      <c r="U49" s="692"/>
      <c r="V49" s="692"/>
      <c r="W49" s="692"/>
      <c r="X49" s="692"/>
      <c r="Y49" s="692"/>
      <c r="Z49" s="692"/>
      <c r="AA49" s="692"/>
      <c r="AB49" s="692"/>
      <c r="AC49" s="692"/>
      <c r="AD49" s="692"/>
      <c r="AE49" s="692"/>
      <c r="AF49" s="692"/>
      <c r="AG49" s="692"/>
      <c r="AH49" s="692"/>
      <c r="AI49" s="692"/>
      <c r="AJ49" s="692"/>
      <c r="AK49" s="692"/>
      <c r="AL49" s="692"/>
      <c r="AM49" s="692"/>
      <c r="AN49" s="692"/>
      <c r="AO49" s="692"/>
      <c r="AP49" s="692"/>
      <c r="AQ49" s="692"/>
      <c r="AR49" s="692"/>
      <c r="AS49" s="692"/>
      <c r="AT49" s="692"/>
      <c r="AU49" s="692"/>
      <c r="AV49" s="692"/>
      <c r="AW49" s="692"/>
      <c r="AX49" s="692"/>
      <c r="AY49" s="692"/>
      <c r="AZ49" s="692"/>
      <c r="BA49" s="692"/>
      <c r="BB49" s="692"/>
      <c r="BC49" s="692"/>
      <c r="BD49" s="692"/>
      <c r="BE49" s="692"/>
      <c r="BF49" s="692"/>
      <c r="BG49" s="692"/>
      <c r="BH49" s="692"/>
      <c r="BI49" s="692"/>
      <c r="BJ49" s="692"/>
      <c r="BK49" s="692"/>
      <c r="BL49" s="692"/>
      <c r="BM49" s="692"/>
      <c r="BN49" s="692"/>
      <c r="BO49" s="692"/>
      <c r="BP49" s="692"/>
      <c r="BQ49" s="692"/>
      <c r="BR49" s="692"/>
      <c r="BS49" s="692"/>
      <c r="BT49" s="692"/>
      <c r="BU49" s="692"/>
      <c r="BV49" s="692"/>
      <c r="BW49" s="692"/>
      <c r="BX49" s="692"/>
      <c r="BY49" s="692"/>
      <c r="BZ49" s="692"/>
      <c r="CA49" s="692"/>
      <c r="CB49" s="692"/>
      <c r="CC49" s="692"/>
      <c r="CD49" s="692"/>
      <c r="CE49" s="692"/>
      <c r="CF49" s="692"/>
      <c r="CG49" s="692"/>
      <c r="CH49" s="692"/>
      <c r="CI49" s="692"/>
      <c r="CJ49" s="692"/>
      <c r="CK49" s="692"/>
      <c r="CL49" s="692"/>
      <c r="CM49" s="692"/>
      <c r="CN49" s="692"/>
      <c r="CO49" s="692"/>
      <c r="CP49" s="692"/>
      <c r="CQ49" s="692"/>
      <c r="CR49" s="692"/>
      <c r="CS49" s="692"/>
      <c r="CT49" s="692"/>
      <c r="CU49" s="692"/>
      <c r="CV49" s="692"/>
      <c r="CW49" s="692"/>
      <c r="CX49" s="692"/>
      <c r="CY49" s="692"/>
      <c r="CZ49" s="692"/>
      <c r="DA49" s="692"/>
      <c r="DB49" s="692"/>
      <c r="DC49" s="692"/>
      <c r="DD49" s="692"/>
      <c r="DE49" s="692"/>
      <c r="DF49" s="692"/>
      <c r="DG49" s="692"/>
      <c r="DH49" s="692"/>
      <c r="DI49" s="692"/>
      <c r="DJ49" s="692"/>
      <c r="DK49" s="692"/>
      <c r="DL49" s="692"/>
      <c r="DM49" s="692"/>
      <c r="DN49" s="692"/>
      <c r="DO49" s="692"/>
      <c r="DP49" s="692"/>
      <c r="DQ49" s="692"/>
      <c r="DR49" s="692"/>
      <c r="DS49" s="692"/>
      <c r="DT49" s="692"/>
      <c r="DU49" s="692"/>
      <c r="DV49" s="692"/>
      <c r="DW49" s="692"/>
      <c r="DX49" s="692"/>
      <c r="DY49" s="692"/>
      <c r="DZ49" s="692"/>
      <c r="EA49" s="692"/>
      <c r="EB49" s="692"/>
      <c r="EC49" s="692"/>
      <c r="ED49" s="692"/>
      <c r="EE49" s="692"/>
      <c r="EF49" s="692"/>
      <c r="EG49" s="692"/>
      <c r="EH49" s="692"/>
      <c r="EI49" s="692"/>
      <c r="EJ49" s="692"/>
      <c r="EK49" s="692"/>
      <c r="EL49" s="692"/>
      <c r="EM49" s="692"/>
      <c r="EN49" s="692"/>
      <c r="EO49" s="692"/>
      <c r="EP49" s="692"/>
      <c r="EQ49" s="692"/>
      <c r="ER49" s="692"/>
      <c r="ES49" s="692"/>
      <c r="ET49" s="692"/>
      <c r="EU49" s="692"/>
      <c r="EV49" s="692"/>
      <c r="EW49" s="692"/>
      <c r="EX49" s="692"/>
      <c r="EY49" s="692"/>
      <c r="EZ49" s="692"/>
      <c r="FA49" s="692"/>
      <c r="FB49" s="692"/>
      <c r="FC49" s="692"/>
      <c r="FD49" s="692"/>
      <c r="FE49" s="692"/>
      <c r="FF49" s="692"/>
      <c r="FG49" s="692"/>
      <c r="FH49" s="692"/>
      <c r="FI49" s="692"/>
      <c r="FJ49" s="692"/>
      <c r="FK49" s="692"/>
      <c r="FL49" s="692"/>
      <c r="FM49" s="692"/>
      <c r="FN49" s="692"/>
      <c r="FO49" s="692"/>
      <c r="FP49" s="692"/>
      <c r="FQ49" s="692"/>
      <c r="FR49" s="692"/>
      <c r="FS49" s="692"/>
      <c r="FT49" s="692"/>
      <c r="FU49" s="692"/>
      <c r="FV49" s="692"/>
      <c r="FW49" s="692"/>
      <c r="FX49" s="692"/>
      <c r="FY49" s="692"/>
      <c r="FZ49" s="692"/>
      <c r="GA49" s="692"/>
      <c r="GB49" s="692"/>
      <c r="GC49" s="692"/>
      <c r="GD49" s="692"/>
      <c r="GE49" s="692"/>
      <c r="GF49" s="692"/>
      <c r="GG49" s="692"/>
      <c r="GH49" s="692"/>
      <c r="GI49" s="692"/>
      <c r="GJ49" s="692"/>
      <c r="GK49" s="692"/>
      <c r="GL49" s="692"/>
      <c r="GM49" s="692"/>
      <c r="GN49" s="692"/>
      <c r="GO49" s="692"/>
      <c r="GP49" s="692"/>
      <c r="GQ49" s="692"/>
      <c r="GR49" s="692"/>
      <c r="GS49" s="692"/>
      <c r="GT49" s="692"/>
      <c r="GU49" s="692"/>
      <c r="GV49" s="692"/>
      <c r="GW49" s="692"/>
      <c r="GX49" s="692"/>
      <c r="GY49" s="692"/>
      <c r="GZ49" s="692"/>
      <c r="HA49" s="692"/>
      <c r="HB49" s="692"/>
      <c r="HC49" s="692"/>
      <c r="HD49" s="692"/>
      <c r="HE49" s="692"/>
      <c r="HF49" s="692"/>
      <c r="HG49" s="692"/>
      <c r="HH49" s="692"/>
      <c r="HI49" s="692"/>
      <c r="HJ49" s="692"/>
      <c r="HK49" s="692"/>
      <c r="HL49" s="692"/>
      <c r="HM49" s="692"/>
      <c r="HN49" s="692"/>
      <c r="HO49" s="692"/>
      <c r="HP49" s="692"/>
      <c r="HQ49" s="692"/>
      <c r="HR49" s="692"/>
      <c r="HS49" s="692"/>
      <c r="HT49" s="692"/>
      <c r="HU49" s="692"/>
      <c r="HV49" s="692"/>
      <c r="HW49" s="692"/>
      <c r="HX49" s="692"/>
      <c r="HY49" s="692"/>
      <c r="HZ49" s="692"/>
      <c r="IA49" s="692"/>
      <c r="IB49" s="692"/>
      <c r="IC49" s="692"/>
      <c r="ID49" s="692"/>
      <c r="IE49" s="692"/>
    </row>
    <row r="50" spans="1:239" customHeight="1" ht="17.4" s="701" customFormat="1">
      <c r="A50" s="702"/>
      <c r="B50" s="703"/>
      <c r="C50" s="703" t="s">
        <v>302</v>
      </c>
      <c r="D50" s="704"/>
      <c r="E50" s="704"/>
      <c r="F50" s="727">
        <f>SUM(G50:R50)</f>
        <v>0</v>
      </c>
      <c r="G50" s="706">
        <v>0</v>
      </c>
      <c r="H50" s="706">
        <v>0</v>
      </c>
      <c r="I50" s="706">
        <v>0</v>
      </c>
      <c r="J50" s="706">
        <v>0</v>
      </c>
      <c r="K50" s="706">
        <v>0</v>
      </c>
      <c r="L50" s="706">
        <v>0</v>
      </c>
      <c r="M50" s="706">
        <v>0</v>
      </c>
      <c r="N50" s="706"/>
      <c r="O50" s="706">
        <v>0</v>
      </c>
      <c r="P50" s="706">
        <v>0</v>
      </c>
      <c r="Q50" s="707">
        <v>0</v>
      </c>
      <c r="R50" s="706">
        <v>0</v>
      </c>
      <c r="S50" s="692"/>
      <c r="T50" s="692"/>
      <c r="U50" s="692"/>
      <c r="V50" s="692"/>
      <c r="W50" s="692"/>
      <c r="X50" s="692"/>
      <c r="Y50" s="692"/>
      <c r="Z50" s="692"/>
      <c r="AA50" s="692"/>
      <c r="AB50" s="692"/>
      <c r="AC50" s="692"/>
      <c r="AD50" s="692"/>
      <c r="AE50" s="692"/>
      <c r="AF50" s="692"/>
      <c r="AG50" s="692"/>
      <c r="AH50" s="692"/>
      <c r="AI50" s="692"/>
      <c r="AJ50" s="692"/>
      <c r="AK50" s="692"/>
      <c r="AL50" s="692"/>
      <c r="AM50" s="692"/>
      <c r="AN50" s="692"/>
      <c r="AO50" s="692"/>
      <c r="AP50" s="692"/>
      <c r="AQ50" s="692"/>
      <c r="AR50" s="692"/>
      <c r="AS50" s="692"/>
      <c r="AT50" s="692"/>
      <c r="AU50" s="692"/>
      <c r="AV50" s="692"/>
      <c r="AW50" s="692"/>
      <c r="AX50" s="692"/>
      <c r="AY50" s="692"/>
      <c r="AZ50" s="692"/>
      <c r="BA50" s="692"/>
      <c r="BB50" s="692"/>
      <c r="BC50" s="692"/>
      <c r="BD50" s="692"/>
      <c r="BE50" s="692"/>
      <c r="BF50" s="692"/>
      <c r="BG50" s="692"/>
      <c r="BH50" s="692"/>
      <c r="BI50" s="692"/>
      <c r="BJ50" s="692"/>
      <c r="BK50" s="692"/>
      <c r="BL50" s="692"/>
      <c r="BM50" s="692"/>
      <c r="BN50" s="692"/>
      <c r="BO50" s="692"/>
      <c r="BP50" s="692"/>
      <c r="BQ50" s="692"/>
      <c r="BR50" s="692"/>
      <c r="BS50" s="692"/>
      <c r="BT50" s="692"/>
      <c r="BU50" s="692"/>
      <c r="BV50" s="692"/>
      <c r="BW50" s="692"/>
      <c r="BX50" s="692"/>
      <c r="BY50" s="692"/>
      <c r="BZ50" s="692"/>
      <c r="CA50" s="692"/>
      <c r="CB50" s="692"/>
      <c r="CC50" s="692"/>
      <c r="CD50" s="692"/>
      <c r="CE50" s="692"/>
      <c r="CF50" s="692"/>
      <c r="CG50" s="692"/>
      <c r="CH50" s="692"/>
      <c r="CI50" s="692"/>
      <c r="CJ50" s="692"/>
      <c r="CK50" s="692"/>
      <c r="CL50" s="692"/>
      <c r="CM50" s="692"/>
      <c r="CN50" s="692"/>
      <c r="CO50" s="692"/>
      <c r="CP50" s="692"/>
      <c r="CQ50" s="692"/>
      <c r="CR50" s="692"/>
      <c r="CS50" s="692"/>
      <c r="CT50" s="692"/>
      <c r="CU50" s="692"/>
      <c r="CV50" s="692"/>
      <c r="CW50" s="692"/>
      <c r="CX50" s="692"/>
      <c r="CY50" s="692"/>
      <c r="CZ50" s="692"/>
      <c r="DA50" s="692"/>
      <c r="DB50" s="692"/>
      <c r="DC50" s="692"/>
      <c r="DD50" s="692"/>
      <c r="DE50" s="692"/>
      <c r="DF50" s="692"/>
      <c r="DG50" s="692"/>
      <c r="DH50" s="692"/>
      <c r="DI50" s="692"/>
      <c r="DJ50" s="692"/>
      <c r="DK50" s="692"/>
      <c r="DL50" s="692"/>
      <c r="DM50" s="692"/>
      <c r="DN50" s="692"/>
      <c r="DO50" s="692"/>
      <c r="DP50" s="692"/>
      <c r="DQ50" s="692"/>
      <c r="DR50" s="692"/>
      <c r="DS50" s="692"/>
      <c r="DT50" s="692"/>
      <c r="DU50" s="692"/>
      <c r="DV50" s="692"/>
      <c r="DW50" s="692"/>
      <c r="DX50" s="692"/>
      <c r="DY50" s="692"/>
      <c r="DZ50" s="692"/>
      <c r="EA50" s="692"/>
      <c r="EB50" s="692"/>
      <c r="EC50" s="692"/>
      <c r="ED50" s="692"/>
      <c r="EE50" s="692"/>
      <c r="EF50" s="692"/>
      <c r="EG50" s="692"/>
      <c r="EH50" s="692"/>
      <c r="EI50" s="692"/>
      <c r="EJ50" s="692"/>
      <c r="EK50" s="692"/>
      <c r="EL50" s="692"/>
      <c r="EM50" s="692"/>
      <c r="EN50" s="692"/>
      <c r="EO50" s="692"/>
      <c r="EP50" s="692"/>
      <c r="EQ50" s="692"/>
      <c r="ER50" s="692"/>
      <c r="ES50" s="692"/>
      <c r="ET50" s="692"/>
      <c r="EU50" s="692"/>
      <c r="EV50" s="692"/>
      <c r="EW50" s="692"/>
      <c r="EX50" s="692"/>
      <c r="EY50" s="692"/>
      <c r="EZ50" s="692"/>
      <c r="FA50" s="692"/>
      <c r="FB50" s="692"/>
      <c r="FC50" s="692"/>
      <c r="FD50" s="692"/>
      <c r="FE50" s="692"/>
      <c r="FF50" s="692"/>
      <c r="FG50" s="692"/>
      <c r="FH50" s="692"/>
      <c r="FI50" s="692"/>
      <c r="FJ50" s="692"/>
      <c r="FK50" s="692"/>
      <c r="FL50" s="692"/>
      <c r="FM50" s="692"/>
      <c r="FN50" s="692"/>
      <c r="FO50" s="692"/>
      <c r="FP50" s="692"/>
      <c r="FQ50" s="692"/>
      <c r="FR50" s="692"/>
      <c r="FS50" s="692"/>
      <c r="FT50" s="692"/>
      <c r="FU50" s="692"/>
      <c r="FV50" s="692"/>
      <c r="FW50" s="692"/>
      <c r="FX50" s="692"/>
      <c r="FY50" s="692"/>
      <c r="FZ50" s="692"/>
      <c r="GA50" s="692"/>
      <c r="GB50" s="692"/>
      <c r="GC50" s="692"/>
      <c r="GD50" s="692"/>
      <c r="GE50" s="692"/>
      <c r="GF50" s="692"/>
      <c r="GG50" s="692"/>
      <c r="GH50" s="692"/>
      <c r="GI50" s="692"/>
      <c r="GJ50" s="692"/>
      <c r="GK50" s="692"/>
      <c r="GL50" s="692"/>
      <c r="GM50" s="692"/>
      <c r="GN50" s="692"/>
      <c r="GO50" s="692"/>
      <c r="GP50" s="692"/>
      <c r="GQ50" s="692"/>
      <c r="GR50" s="692"/>
      <c r="GS50" s="692"/>
      <c r="GT50" s="692"/>
      <c r="GU50" s="692"/>
      <c r="GV50" s="692"/>
      <c r="GW50" s="692"/>
      <c r="GX50" s="692"/>
      <c r="GY50" s="692"/>
      <c r="GZ50" s="692"/>
      <c r="HA50" s="692"/>
      <c r="HB50" s="692"/>
      <c r="HC50" s="692"/>
      <c r="HD50" s="692"/>
      <c r="HE50" s="692"/>
      <c r="HF50" s="692"/>
      <c r="HG50" s="692"/>
      <c r="HH50" s="692"/>
      <c r="HI50" s="692"/>
      <c r="HJ50" s="692"/>
      <c r="HK50" s="692"/>
      <c r="HL50" s="692"/>
      <c r="HM50" s="692"/>
      <c r="HN50" s="692"/>
      <c r="HO50" s="692"/>
      <c r="HP50" s="692"/>
      <c r="HQ50" s="692"/>
      <c r="HR50" s="692"/>
      <c r="HS50" s="692"/>
      <c r="HT50" s="692"/>
      <c r="HU50" s="692"/>
      <c r="HV50" s="692"/>
      <c r="HW50" s="692"/>
      <c r="HX50" s="692"/>
      <c r="HY50" s="692"/>
      <c r="HZ50" s="692"/>
      <c r="IA50" s="692"/>
      <c r="IB50" s="692"/>
      <c r="IC50" s="692"/>
      <c r="ID50" s="692"/>
      <c r="IE50" s="692"/>
    </row>
    <row r="51" spans="1:239" customHeight="1" ht="17.4" s="701" customFormat="1">
      <c r="A51" s="702" t="s">
        <v>332</v>
      </c>
      <c r="B51" s="703" t="s">
        <v>316</v>
      </c>
      <c r="C51" s="703" t="s">
        <v>285</v>
      </c>
      <c r="D51" s="704" t="s">
        <v>309</v>
      </c>
      <c r="E51" s="704" t="s">
        <v>310</v>
      </c>
      <c r="F51" s="727">
        <f>SUM(G51:R51)</f>
        <v>1211.67000000000007</v>
      </c>
      <c r="G51" s="706">
        <v>79.2</v>
      </c>
      <c r="H51" s="706">
        <v>141.25999999999999</v>
      </c>
      <c r="I51" s="706">
        <v>104.73999999999999</v>
      </c>
      <c r="J51" s="706">
        <v>60.07</v>
      </c>
      <c r="K51" s="706">
        <v>89.98999999999999</v>
      </c>
      <c r="L51" s="706">
        <v>95.23</v>
      </c>
      <c r="M51" s="706">
        <v>138.12</v>
      </c>
      <c r="N51" s="706">
        <v>51.64</v>
      </c>
      <c r="O51" s="706">
        <v>79.060000000000002</v>
      </c>
      <c r="P51" s="706">
        <v>132.34999999999999</v>
      </c>
      <c r="Q51" s="707">
        <v>149.24000000000001</v>
      </c>
      <c r="R51" s="706">
        <v>90.77</v>
      </c>
      <c r="S51" s="692"/>
      <c r="T51" s="692"/>
      <c r="U51" s="692"/>
      <c r="V51" s="692"/>
      <c r="W51" s="692"/>
      <c r="X51" s="692"/>
      <c r="Y51" s="692"/>
      <c r="Z51" s="692"/>
      <c r="AA51" s="692"/>
      <c r="AB51" s="692"/>
      <c r="AC51" s="692"/>
      <c r="AD51" s="692"/>
      <c r="AE51" s="692"/>
      <c r="AF51" s="692"/>
      <c r="AG51" s="692"/>
      <c r="AH51" s="692"/>
      <c r="AI51" s="692"/>
      <c r="AJ51" s="692"/>
      <c r="AK51" s="692"/>
      <c r="AL51" s="692"/>
      <c r="AM51" s="692"/>
      <c r="AN51" s="692"/>
      <c r="AO51" s="692"/>
      <c r="AP51" s="692"/>
      <c r="AQ51" s="692"/>
      <c r="AR51" s="692"/>
      <c r="AS51" s="692"/>
      <c r="AT51" s="692"/>
      <c r="AU51" s="692"/>
      <c r="AV51" s="692"/>
      <c r="AW51" s="692"/>
      <c r="AX51" s="692"/>
      <c r="AY51" s="692"/>
      <c r="AZ51" s="692"/>
      <c r="BA51" s="692"/>
      <c r="BB51" s="692"/>
      <c r="BC51" s="692"/>
      <c r="BD51" s="692"/>
      <c r="BE51" s="692"/>
      <c r="BF51" s="692"/>
      <c r="BG51" s="692"/>
      <c r="BH51" s="692"/>
      <c r="BI51" s="692"/>
      <c r="BJ51" s="692"/>
      <c r="BK51" s="692"/>
      <c r="BL51" s="692"/>
      <c r="BM51" s="692"/>
      <c r="BN51" s="692"/>
      <c r="BO51" s="692"/>
      <c r="BP51" s="692"/>
      <c r="BQ51" s="692"/>
      <c r="BR51" s="692"/>
      <c r="BS51" s="692"/>
      <c r="BT51" s="692"/>
      <c r="BU51" s="692"/>
      <c r="BV51" s="692"/>
      <c r="BW51" s="692"/>
      <c r="BX51" s="692"/>
      <c r="BY51" s="692"/>
      <c r="BZ51" s="692"/>
      <c r="CA51" s="692"/>
      <c r="CB51" s="692"/>
      <c r="CC51" s="692"/>
      <c r="CD51" s="692"/>
      <c r="CE51" s="692"/>
      <c r="CF51" s="692"/>
      <c r="CG51" s="692"/>
      <c r="CH51" s="692"/>
      <c r="CI51" s="692"/>
      <c r="CJ51" s="692"/>
      <c r="CK51" s="692"/>
      <c r="CL51" s="692"/>
      <c r="CM51" s="692"/>
      <c r="CN51" s="692"/>
      <c r="CO51" s="692"/>
      <c r="CP51" s="692"/>
      <c r="CQ51" s="692"/>
      <c r="CR51" s="692"/>
      <c r="CS51" s="692"/>
      <c r="CT51" s="692"/>
      <c r="CU51" s="692"/>
      <c r="CV51" s="692"/>
      <c r="CW51" s="692"/>
      <c r="CX51" s="692"/>
      <c r="CY51" s="692"/>
      <c r="CZ51" s="692"/>
      <c r="DA51" s="692"/>
      <c r="DB51" s="692"/>
      <c r="DC51" s="692"/>
      <c r="DD51" s="692"/>
      <c r="DE51" s="692"/>
      <c r="DF51" s="692"/>
      <c r="DG51" s="692"/>
      <c r="DH51" s="692"/>
      <c r="DI51" s="692"/>
      <c r="DJ51" s="692"/>
      <c r="DK51" s="692"/>
      <c r="DL51" s="692"/>
      <c r="DM51" s="692"/>
      <c r="DN51" s="692"/>
      <c r="DO51" s="692"/>
      <c r="DP51" s="692"/>
      <c r="DQ51" s="692"/>
      <c r="DR51" s="692"/>
      <c r="DS51" s="692"/>
      <c r="DT51" s="692"/>
      <c r="DU51" s="692"/>
      <c r="DV51" s="692"/>
      <c r="DW51" s="692"/>
      <c r="DX51" s="692"/>
      <c r="DY51" s="692"/>
      <c r="DZ51" s="692"/>
      <c r="EA51" s="692"/>
      <c r="EB51" s="692"/>
      <c r="EC51" s="692"/>
      <c r="ED51" s="692"/>
      <c r="EE51" s="692"/>
      <c r="EF51" s="692"/>
      <c r="EG51" s="692"/>
      <c r="EH51" s="692"/>
      <c r="EI51" s="692"/>
      <c r="EJ51" s="692"/>
      <c r="EK51" s="692"/>
      <c r="EL51" s="692"/>
      <c r="EM51" s="692"/>
      <c r="EN51" s="692"/>
      <c r="EO51" s="692"/>
      <c r="EP51" s="692"/>
      <c r="EQ51" s="692"/>
      <c r="ER51" s="692"/>
      <c r="ES51" s="692"/>
      <c r="ET51" s="692"/>
      <c r="EU51" s="692"/>
      <c r="EV51" s="692"/>
      <c r="EW51" s="692"/>
      <c r="EX51" s="692"/>
      <c r="EY51" s="692"/>
      <c r="EZ51" s="692"/>
      <c r="FA51" s="692"/>
      <c r="FB51" s="692"/>
      <c r="FC51" s="692"/>
      <c r="FD51" s="692"/>
      <c r="FE51" s="692"/>
      <c r="FF51" s="692"/>
      <c r="FG51" s="692"/>
      <c r="FH51" s="692"/>
      <c r="FI51" s="692"/>
      <c r="FJ51" s="692"/>
      <c r="FK51" s="692"/>
      <c r="FL51" s="692"/>
      <c r="FM51" s="692"/>
      <c r="FN51" s="692"/>
      <c r="FO51" s="692"/>
      <c r="FP51" s="692"/>
      <c r="FQ51" s="692"/>
      <c r="FR51" s="692"/>
      <c r="FS51" s="692"/>
      <c r="FT51" s="692"/>
      <c r="FU51" s="692"/>
      <c r="FV51" s="692"/>
      <c r="FW51" s="692"/>
      <c r="FX51" s="692"/>
      <c r="FY51" s="692"/>
      <c r="FZ51" s="692"/>
      <c r="GA51" s="692"/>
      <c r="GB51" s="692"/>
      <c r="GC51" s="692"/>
      <c r="GD51" s="692"/>
      <c r="GE51" s="692"/>
      <c r="GF51" s="692"/>
      <c r="GG51" s="692"/>
      <c r="GH51" s="692"/>
      <c r="GI51" s="692"/>
      <c r="GJ51" s="692"/>
      <c r="GK51" s="692"/>
      <c r="GL51" s="692"/>
      <c r="GM51" s="692"/>
      <c r="GN51" s="692"/>
      <c r="GO51" s="692"/>
      <c r="GP51" s="692"/>
      <c r="GQ51" s="692"/>
      <c r="GR51" s="692"/>
      <c r="GS51" s="692"/>
      <c r="GT51" s="692"/>
      <c r="GU51" s="692"/>
      <c r="GV51" s="692"/>
      <c r="GW51" s="692"/>
      <c r="GX51" s="692"/>
      <c r="GY51" s="692"/>
      <c r="GZ51" s="692"/>
      <c r="HA51" s="692"/>
      <c r="HB51" s="692"/>
      <c r="HC51" s="692"/>
      <c r="HD51" s="692"/>
      <c r="HE51" s="692"/>
      <c r="HF51" s="692"/>
      <c r="HG51" s="692"/>
      <c r="HH51" s="692"/>
      <c r="HI51" s="692"/>
      <c r="HJ51" s="692"/>
      <c r="HK51" s="692"/>
      <c r="HL51" s="692"/>
      <c r="HM51" s="692"/>
      <c r="HN51" s="692"/>
      <c r="HO51" s="692"/>
      <c r="HP51" s="692"/>
      <c r="HQ51" s="692"/>
      <c r="HR51" s="692"/>
      <c r="HS51" s="692"/>
      <c r="HT51" s="692"/>
      <c r="HU51" s="692"/>
      <c r="HV51" s="692"/>
      <c r="HW51" s="692"/>
      <c r="HX51" s="692"/>
      <c r="HY51" s="692"/>
      <c r="HZ51" s="692"/>
      <c r="IA51" s="692"/>
      <c r="IB51" s="692"/>
      <c r="IC51" s="692"/>
      <c r="ID51" s="692"/>
      <c r="IE51" s="692"/>
    </row>
    <row r="52" spans="1:239" customHeight="1" ht="17.4" s="701" customFormat="1">
      <c r="A52" s="702"/>
      <c r="B52" s="703"/>
      <c r="C52" s="703" t="s">
        <v>302</v>
      </c>
      <c r="D52" s="704"/>
      <c r="E52" s="704"/>
      <c r="F52" s="727">
        <f>SUM(G52:R52)</f>
        <v>0</v>
      </c>
      <c r="G52" s="706">
        <v>0</v>
      </c>
      <c r="H52" s="706">
        <v>0</v>
      </c>
      <c r="I52" s="706">
        <v>0</v>
      </c>
      <c r="J52" s="706">
        <v>0</v>
      </c>
      <c r="K52" s="706">
        <v>0</v>
      </c>
      <c r="L52" s="706">
        <v>0</v>
      </c>
      <c r="M52" s="706">
        <v>0</v>
      </c>
      <c r="N52" s="706">
        <v>0</v>
      </c>
      <c r="O52" s="706">
        <v>0</v>
      </c>
      <c r="P52" s="706">
        <v>0</v>
      </c>
      <c r="Q52" s="707">
        <v>0</v>
      </c>
      <c r="R52" s="706">
        <v>0</v>
      </c>
      <c r="S52" s="692"/>
      <c r="T52" s="692"/>
      <c r="U52" s="692"/>
      <c r="V52" s="692"/>
      <c r="W52" s="692"/>
      <c r="X52" s="692"/>
      <c r="Y52" s="692"/>
      <c r="Z52" s="692"/>
      <c r="AA52" s="692"/>
      <c r="AB52" s="692"/>
      <c r="AC52" s="692"/>
      <c r="AD52" s="692"/>
      <c r="AE52" s="692"/>
      <c r="AF52" s="692"/>
      <c r="AG52" s="692"/>
      <c r="AH52" s="692"/>
      <c r="AI52" s="692"/>
      <c r="AJ52" s="692"/>
      <c r="AK52" s="692"/>
      <c r="AL52" s="692"/>
      <c r="AM52" s="692"/>
      <c r="AN52" s="692"/>
      <c r="AO52" s="692"/>
      <c r="AP52" s="692"/>
      <c r="AQ52" s="692"/>
      <c r="AR52" s="692"/>
      <c r="AS52" s="692"/>
      <c r="AT52" s="692"/>
      <c r="AU52" s="692"/>
      <c r="AV52" s="692"/>
      <c r="AW52" s="692"/>
      <c r="AX52" s="692"/>
      <c r="AY52" s="692"/>
      <c r="AZ52" s="692"/>
      <c r="BA52" s="692"/>
      <c r="BB52" s="692"/>
      <c r="BC52" s="692"/>
      <c r="BD52" s="692"/>
      <c r="BE52" s="692"/>
      <c r="BF52" s="692"/>
      <c r="BG52" s="692"/>
      <c r="BH52" s="692"/>
      <c r="BI52" s="692"/>
      <c r="BJ52" s="692"/>
      <c r="BK52" s="692"/>
      <c r="BL52" s="692"/>
      <c r="BM52" s="692"/>
      <c r="BN52" s="692"/>
      <c r="BO52" s="692"/>
      <c r="BP52" s="692"/>
      <c r="BQ52" s="692"/>
      <c r="BR52" s="692"/>
      <c r="BS52" s="692"/>
      <c r="BT52" s="692"/>
      <c r="BU52" s="692"/>
      <c r="BV52" s="692"/>
      <c r="BW52" s="692"/>
      <c r="BX52" s="692"/>
      <c r="BY52" s="692"/>
      <c r="BZ52" s="692"/>
      <c r="CA52" s="692"/>
      <c r="CB52" s="692"/>
      <c r="CC52" s="692"/>
      <c r="CD52" s="692"/>
      <c r="CE52" s="692"/>
      <c r="CF52" s="692"/>
      <c r="CG52" s="692"/>
      <c r="CH52" s="692"/>
      <c r="CI52" s="692"/>
      <c r="CJ52" s="692"/>
      <c r="CK52" s="692"/>
      <c r="CL52" s="692"/>
      <c r="CM52" s="692"/>
      <c r="CN52" s="692"/>
      <c r="CO52" s="692"/>
      <c r="CP52" s="692"/>
      <c r="CQ52" s="692"/>
      <c r="CR52" s="692"/>
      <c r="CS52" s="692"/>
      <c r="CT52" s="692"/>
      <c r="CU52" s="692"/>
      <c r="CV52" s="692"/>
      <c r="CW52" s="692"/>
      <c r="CX52" s="692"/>
      <c r="CY52" s="692"/>
      <c r="CZ52" s="692"/>
      <c r="DA52" s="692"/>
      <c r="DB52" s="692"/>
      <c r="DC52" s="692"/>
      <c r="DD52" s="692"/>
      <c r="DE52" s="692"/>
      <c r="DF52" s="692"/>
      <c r="DG52" s="692"/>
      <c r="DH52" s="692"/>
      <c r="DI52" s="692"/>
      <c r="DJ52" s="692"/>
      <c r="DK52" s="692"/>
      <c r="DL52" s="692"/>
      <c r="DM52" s="692"/>
      <c r="DN52" s="692"/>
      <c r="DO52" s="692"/>
      <c r="DP52" s="692"/>
      <c r="DQ52" s="692"/>
      <c r="DR52" s="692"/>
      <c r="DS52" s="692"/>
      <c r="DT52" s="692"/>
      <c r="DU52" s="692"/>
      <c r="DV52" s="692"/>
      <c r="DW52" s="692"/>
      <c r="DX52" s="692"/>
      <c r="DY52" s="692"/>
      <c r="DZ52" s="692"/>
      <c r="EA52" s="692"/>
      <c r="EB52" s="692"/>
      <c r="EC52" s="692"/>
      <c r="ED52" s="692"/>
      <c r="EE52" s="692"/>
      <c r="EF52" s="692"/>
      <c r="EG52" s="692"/>
      <c r="EH52" s="692"/>
      <c r="EI52" s="692"/>
      <c r="EJ52" s="692"/>
      <c r="EK52" s="692"/>
      <c r="EL52" s="692"/>
      <c r="EM52" s="692"/>
      <c r="EN52" s="692"/>
      <c r="EO52" s="692"/>
      <c r="EP52" s="692"/>
      <c r="EQ52" s="692"/>
      <c r="ER52" s="692"/>
      <c r="ES52" s="692"/>
      <c r="ET52" s="692"/>
      <c r="EU52" s="692"/>
      <c r="EV52" s="692"/>
      <c r="EW52" s="692"/>
      <c r="EX52" s="692"/>
      <c r="EY52" s="692"/>
      <c r="EZ52" s="692"/>
      <c r="FA52" s="692"/>
      <c r="FB52" s="692"/>
      <c r="FC52" s="692"/>
      <c r="FD52" s="692"/>
      <c r="FE52" s="692"/>
      <c r="FF52" s="692"/>
      <c r="FG52" s="692"/>
      <c r="FH52" s="692"/>
      <c r="FI52" s="692"/>
      <c r="FJ52" s="692"/>
      <c r="FK52" s="692"/>
      <c r="FL52" s="692"/>
      <c r="FM52" s="692"/>
      <c r="FN52" s="692"/>
      <c r="FO52" s="692"/>
      <c r="FP52" s="692"/>
      <c r="FQ52" s="692"/>
      <c r="FR52" s="692"/>
      <c r="FS52" s="692"/>
      <c r="FT52" s="692"/>
      <c r="FU52" s="692"/>
      <c r="FV52" s="692"/>
      <c r="FW52" s="692"/>
      <c r="FX52" s="692"/>
      <c r="FY52" s="692"/>
      <c r="FZ52" s="692"/>
      <c r="GA52" s="692"/>
      <c r="GB52" s="692"/>
      <c r="GC52" s="692"/>
      <c r="GD52" s="692"/>
      <c r="GE52" s="692"/>
      <c r="GF52" s="692"/>
      <c r="GG52" s="692"/>
      <c r="GH52" s="692"/>
      <c r="GI52" s="692"/>
      <c r="GJ52" s="692"/>
      <c r="GK52" s="692"/>
      <c r="GL52" s="692"/>
      <c r="GM52" s="692"/>
      <c r="GN52" s="692"/>
      <c r="GO52" s="692"/>
      <c r="GP52" s="692"/>
      <c r="GQ52" s="692"/>
      <c r="GR52" s="692"/>
      <c r="GS52" s="692"/>
      <c r="GT52" s="692"/>
      <c r="GU52" s="692"/>
      <c r="GV52" s="692"/>
      <c r="GW52" s="692"/>
      <c r="GX52" s="692"/>
      <c r="GY52" s="692"/>
      <c r="GZ52" s="692"/>
      <c r="HA52" s="692"/>
      <c r="HB52" s="692"/>
      <c r="HC52" s="692"/>
      <c r="HD52" s="692"/>
      <c r="HE52" s="692"/>
      <c r="HF52" s="692"/>
      <c r="HG52" s="692"/>
      <c r="HH52" s="692"/>
      <c r="HI52" s="692"/>
      <c r="HJ52" s="692"/>
      <c r="HK52" s="692"/>
      <c r="HL52" s="692"/>
      <c r="HM52" s="692"/>
      <c r="HN52" s="692"/>
      <c r="HO52" s="692"/>
      <c r="HP52" s="692"/>
      <c r="HQ52" s="692"/>
      <c r="HR52" s="692"/>
      <c r="HS52" s="692"/>
      <c r="HT52" s="692"/>
      <c r="HU52" s="692"/>
      <c r="HV52" s="692"/>
      <c r="HW52" s="692"/>
      <c r="HX52" s="692"/>
      <c r="HY52" s="692"/>
      <c r="HZ52" s="692"/>
      <c r="IA52" s="692"/>
      <c r="IB52" s="692"/>
      <c r="IC52" s="692"/>
      <c r="ID52" s="692"/>
      <c r="IE52" s="692"/>
    </row>
    <row r="53" spans="1:239" customHeight="1" ht="17.4" s="701" customFormat="1">
      <c r="A53" s="702" t="s">
        <v>333</v>
      </c>
      <c r="B53" s="703" t="s">
        <v>316</v>
      </c>
      <c r="C53" s="703" t="s">
        <v>285</v>
      </c>
      <c r="D53" s="704" t="s">
        <v>309</v>
      </c>
      <c r="E53" s="704" t="s">
        <v>310</v>
      </c>
      <c r="F53" s="727">
        <f>SUM(G53:R53)</f>
        <v>824.35000000000002</v>
      </c>
      <c r="G53" s="706">
        <v>306.98000000000002</v>
      </c>
      <c r="H53" s="706">
        <v>0</v>
      </c>
      <c r="I53" s="706">
        <v>48.9</v>
      </c>
      <c r="J53" s="706">
        <v>46.060000000000002</v>
      </c>
      <c r="K53" s="706">
        <v>39.88</v>
      </c>
      <c r="L53" s="706">
        <v>131.12</v>
      </c>
      <c r="M53" s="706">
        <v>38.52</v>
      </c>
      <c r="N53" s="706">
        <v>80.16</v>
      </c>
      <c r="O53" s="706">
        <v>66.090000000000003</v>
      </c>
      <c r="P53" s="706">
        <v>0</v>
      </c>
      <c r="Q53" s="707">
        <v>66.64</v>
      </c>
      <c r="R53" s="706">
        <v>0</v>
      </c>
      <c r="S53" s="692"/>
      <c r="T53" s="692"/>
      <c r="U53" s="692"/>
      <c r="V53" s="692"/>
      <c r="W53" s="692"/>
      <c r="X53" s="692"/>
      <c r="Y53" s="692"/>
      <c r="Z53" s="692"/>
      <c r="AA53" s="692"/>
      <c r="AB53" s="692"/>
      <c r="AC53" s="692"/>
      <c r="AD53" s="692"/>
      <c r="AE53" s="692"/>
      <c r="AF53" s="692"/>
      <c r="AG53" s="692"/>
      <c r="AH53" s="692"/>
      <c r="AI53" s="692"/>
      <c r="AJ53" s="692"/>
      <c r="AK53" s="692"/>
      <c r="AL53" s="692"/>
      <c r="AM53" s="692"/>
      <c r="AN53" s="692"/>
      <c r="AO53" s="692"/>
      <c r="AP53" s="692"/>
      <c r="AQ53" s="692"/>
      <c r="AR53" s="692"/>
      <c r="AS53" s="692"/>
      <c r="AT53" s="692"/>
      <c r="AU53" s="692"/>
      <c r="AV53" s="692"/>
      <c r="AW53" s="692"/>
      <c r="AX53" s="692"/>
      <c r="AY53" s="692"/>
      <c r="AZ53" s="692"/>
      <c r="BA53" s="692"/>
      <c r="BB53" s="692"/>
      <c r="BC53" s="692"/>
      <c r="BD53" s="692"/>
      <c r="BE53" s="692"/>
      <c r="BF53" s="692"/>
      <c r="BG53" s="692"/>
      <c r="BH53" s="692"/>
      <c r="BI53" s="692"/>
      <c r="BJ53" s="692"/>
      <c r="BK53" s="692"/>
      <c r="BL53" s="692"/>
      <c r="BM53" s="692"/>
      <c r="BN53" s="692"/>
      <c r="BO53" s="692"/>
      <c r="BP53" s="692"/>
      <c r="BQ53" s="692"/>
      <c r="BR53" s="692"/>
      <c r="BS53" s="692"/>
      <c r="BT53" s="692"/>
      <c r="BU53" s="692"/>
      <c r="BV53" s="692"/>
      <c r="BW53" s="692"/>
      <c r="BX53" s="692"/>
      <c r="BY53" s="692"/>
      <c r="BZ53" s="692"/>
      <c r="CA53" s="692"/>
      <c r="CB53" s="692"/>
      <c r="CC53" s="692"/>
      <c r="CD53" s="692"/>
      <c r="CE53" s="692"/>
      <c r="CF53" s="692"/>
      <c r="CG53" s="692"/>
      <c r="CH53" s="692"/>
      <c r="CI53" s="692"/>
      <c r="CJ53" s="692"/>
      <c r="CK53" s="692"/>
      <c r="CL53" s="692"/>
      <c r="CM53" s="692"/>
      <c r="CN53" s="692"/>
      <c r="CO53" s="692"/>
      <c r="CP53" s="692"/>
      <c r="CQ53" s="692"/>
      <c r="CR53" s="692"/>
      <c r="CS53" s="692"/>
      <c r="CT53" s="692"/>
      <c r="CU53" s="692"/>
      <c r="CV53" s="692"/>
      <c r="CW53" s="692"/>
      <c r="CX53" s="692"/>
      <c r="CY53" s="692"/>
      <c r="CZ53" s="692"/>
      <c r="DA53" s="692"/>
      <c r="DB53" s="692"/>
      <c r="DC53" s="692"/>
      <c r="DD53" s="692"/>
      <c r="DE53" s="692"/>
      <c r="DF53" s="692"/>
      <c r="DG53" s="692"/>
      <c r="DH53" s="692"/>
      <c r="DI53" s="692"/>
      <c r="DJ53" s="692"/>
      <c r="DK53" s="692"/>
      <c r="DL53" s="692"/>
      <c r="DM53" s="692"/>
      <c r="DN53" s="692"/>
      <c r="DO53" s="692"/>
      <c r="DP53" s="692"/>
      <c r="DQ53" s="692"/>
      <c r="DR53" s="692"/>
      <c r="DS53" s="692"/>
      <c r="DT53" s="692"/>
      <c r="DU53" s="692"/>
      <c r="DV53" s="692"/>
      <c r="DW53" s="692"/>
      <c r="DX53" s="692"/>
      <c r="DY53" s="692"/>
      <c r="DZ53" s="692"/>
      <c r="EA53" s="692"/>
      <c r="EB53" s="692"/>
      <c r="EC53" s="692"/>
      <c r="ED53" s="692"/>
      <c r="EE53" s="692"/>
      <c r="EF53" s="692"/>
      <c r="EG53" s="692"/>
      <c r="EH53" s="692"/>
      <c r="EI53" s="692"/>
      <c r="EJ53" s="692"/>
      <c r="EK53" s="692"/>
      <c r="EL53" s="692"/>
      <c r="EM53" s="692"/>
      <c r="EN53" s="692"/>
      <c r="EO53" s="692"/>
      <c r="EP53" s="692"/>
      <c r="EQ53" s="692"/>
      <c r="ER53" s="692"/>
      <c r="ES53" s="692"/>
      <c r="ET53" s="692"/>
      <c r="EU53" s="692"/>
      <c r="EV53" s="692"/>
      <c r="EW53" s="692"/>
      <c r="EX53" s="692"/>
      <c r="EY53" s="692"/>
      <c r="EZ53" s="692"/>
      <c r="FA53" s="692"/>
      <c r="FB53" s="692"/>
      <c r="FC53" s="692"/>
      <c r="FD53" s="692"/>
      <c r="FE53" s="692"/>
      <c r="FF53" s="692"/>
      <c r="FG53" s="692"/>
      <c r="FH53" s="692"/>
      <c r="FI53" s="692"/>
      <c r="FJ53" s="692"/>
      <c r="FK53" s="692"/>
      <c r="FL53" s="692"/>
      <c r="FM53" s="692"/>
      <c r="FN53" s="692"/>
      <c r="FO53" s="692"/>
      <c r="FP53" s="692"/>
      <c r="FQ53" s="692"/>
      <c r="FR53" s="692"/>
      <c r="FS53" s="692"/>
      <c r="FT53" s="692"/>
      <c r="FU53" s="692"/>
      <c r="FV53" s="692"/>
      <c r="FW53" s="692"/>
      <c r="FX53" s="692"/>
      <c r="FY53" s="692"/>
      <c r="FZ53" s="692"/>
      <c r="GA53" s="692"/>
      <c r="GB53" s="692"/>
      <c r="GC53" s="692"/>
      <c r="GD53" s="692"/>
      <c r="GE53" s="692"/>
      <c r="GF53" s="692"/>
      <c r="GG53" s="692"/>
      <c r="GH53" s="692"/>
      <c r="GI53" s="692"/>
      <c r="GJ53" s="692"/>
      <c r="GK53" s="692"/>
      <c r="GL53" s="692"/>
      <c r="GM53" s="692"/>
      <c r="GN53" s="692"/>
      <c r="GO53" s="692"/>
      <c r="GP53" s="692"/>
      <c r="GQ53" s="692"/>
      <c r="GR53" s="692"/>
      <c r="GS53" s="692"/>
      <c r="GT53" s="692"/>
      <c r="GU53" s="692"/>
      <c r="GV53" s="692"/>
      <c r="GW53" s="692"/>
      <c r="GX53" s="692"/>
      <c r="GY53" s="692"/>
      <c r="GZ53" s="692"/>
      <c r="HA53" s="692"/>
      <c r="HB53" s="692"/>
      <c r="HC53" s="692"/>
      <c r="HD53" s="692"/>
      <c r="HE53" s="692"/>
      <c r="HF53" s="692"/>
      <c r="HG53" s="692"/>
      <c r="HH53" s="692"/>
      <c r="HI53" s="692"/>
      <c r="HJ53" s="692"/>
      <c r="HK53" s="692"/>
      <c r="HL53" s="692"/>
      <c r="HM53" s="692"/>
      <c r="HN53" s="692"/>
      <c r="HO53" s="692"/>
      <c r="HP53" s="692"/>
      <c r="HQ53" s="692"/>
      <c r="HR53" s="692"/>
      <c r="HS53" s="692"/>
      <c r="HT53" s="692"/>
      <c r="HU53" s="692"/>
      <c r="HV53" s="692"/>
      <c r="HW53" s="692"/>
      <c r="HX53" s="692"/>
      <c r="HY53" s="692"/>
      <c r="HZ53" s="692"/>
      <c r="IA53" s="692"/>
      <c r="IB53" s="692"/>
      <c r="IC53" s="692"/>
      <c r="ID53" s="692"/>
      <c r="IE53" s="692"/>
    </row>
    <row r="54" spans="1:239" customHeight="1" ht="17.4" s="701" customFormat="1">
      <c r="A54" s="702"/>
      <c r="B54" s="703"/>
      <c r="C54" s="703" t="s">
        <v>302</v>
      </c>
      <c r="D54" s="704"/>
      <c r="E54" s="704"/>
      <c r="F54" s="727">
        <f>SUM(G54:R54)</f>
        <v>0</v>
      </c>
      <c r="G54" s="706">
        <v>0</v>
      </c>
      <c r="H54" s="706">
        <v>0</v>
      </c>
      <c r="I54" s="706">
        <v>0</v>
      </c>
      <c r="J54" s="706">
        <v>0</v>
      </c>
      <c r="K54" s="706">
        <v>0</v>
      </c>
      <c r="L54" s="706">
        <v>0</v>
      </c>
      <c r="M54" s="706">
        <v>0</v>
      </c>
      <c r="N54" s="706">
        <v>0</v>
      </c>
      <c r="O54" s="706">
        <v>0</v>
      </c>
      <c r="P54" s="706">
        <v>0</v>
      </c>
      <c r="Q54" s="707">
        <v>0</v>
      </c>
      <c r="R54" s="706">
        <v>0</v>
      </c>
      <c r="S54" s="692"/>
      <c r="T54" s="692"/>
      <c r="U54" s="692"/>
      <c r="V54" s="692"/>
      <c r="W54" s="692"/>
      <c r="X54" s="692"/>
      <c r="Y54" s="692"/>
      <c r="Z54" s="692"/>
      <c r="AA54" s="692"/>
      <c r="AB54" s="692"/>
      <c r="AC54" s="692"/>
      <c r="AD54" s="692"/>
      <c r="AE54" s="692"/>
      <c r="AF54" s="692"/>
      <c r="AG54" s="692"/>
      <c r="AH54" s="692"/>
      <c r="AI54" s="692"/>
      <c r="AJ54" s="692"/>
      <c r="AK54" s="692"/>
      <c r="AL54" s="692"/>
      <c r="AM54" s="692"/>
      <c r="AN54" s="692"/>
      <c r="AO54" s="692"/>
      <c r="AP54" s="692"/>
      <c r="AQ54" s="692"/>
      <c r="AR54" s="692"/>
      <c r="AS54" s="692"/>
      <c r="AT54" s="692"/>
      <c r="AU54" s="692"/>
      <c r="AV54" s="692"/>
      <c r="AW54" s="692"/>
      <c r="AX54" s="692"/>
      <c r="AY54" s="692"/>
      <c r="AZ54" s="692"/>
      <c r="BA54" s="692"/>
      <c r="BB54" s="692"/>
      <c r="BC54" s="692"/>
      <c r="BD54" s="692"/>
      <c r="BE54" s="692"/>
      <c r="BF54" s="692"/>
      <c r="BG54" s="692"/>
      <c r="BH54" s="692"/>
      <c r="BI54" s="692"/>
      <c r="BJ54" s="692"/>
      <c r="BK54" s="692"/>
      <c r="BL54" s="692"/>
      <c r="BM54" s="692"/>
      <c r="BN54" s="692"/>
      <c r="BO54" s="692"/>
      <c r="BP54" s="692"/>
      <c r="BQ54" s="692"/>
      <c r="BR54" s="692"/>
      <c r="BS54" s="692"/>
      <c r="BT54" s="692"/>
      <c r="BU54" s="692"/>
      <c r="BV54" s="692"/>
      <c r="BW54" s="692"/>
      <c r="BX54" s="692"/>
      <c r="BY54" s="692"/>
      <c r="BZ54" s="692"/>
      <c r="CA54" s="692"/>
      <c r="CB54" s="692"/>
      <c r="CC54" s="692"/>
      <c r="CD54" s="692"/>
      <c r="CE54" s="692"/>
      <c r="CF54" s="692"/>
      <c r="CG54" s="692"/>
      <c r="CH54" s="692"/>
      <c r="CI54" s="692"/>
      <c r="CJ54" s="692"/>
      <c r="CK54" s="692"/>
      <c r="CL54" s="692"/>
      <c r="CM54" s="692"/>
      <c r="CN54" s="692"/>
      <c r="CO54" s="692"/>
      <c r="CP54" s="692"/>
      <c r="CQ54" s="692"/>
      <c r="CR54" s="692"/>
      <c r="CS54" s="692"/>
      <c r="CT54" s="692"/>
      <c r="CU54" s="692"/>
      <c r="CV54" s="692"/>
      <c r="CW54" s="692"/>
      <c r="CX54" s="692"/>
      <c r="CY54" s="692"/>
      <c r="CZ54" s="692"/>
      <c r="DA54" s="692"/>
      <c r="DB54" s="692"/>
      <c r="DC54" s="692"/>
      <c r="DD54" s="692"/>
      <c r="DE54" s="692"/>
      <c r="DF54" s="692"/>
      <c r="DG54" s="692"/>
      <c r="DH54" s="692"/>
      <c r="DI54" s="692"/>
      <c r="DJ54" s="692"/>
      <c r="DK54" s="692"/>
      <c r="DL54" s="692"/>
      <c r="DM54" s="692"/>
      <c r="DN54" s="692"/>
      <c r="DO54" s="692"/>
      <c r="DP54" s="692"/>
      <c r="DQ54" s="692"/>
      <c r="DR54" s="692"/>
      <c r="DS54" s="692"/>
      <c r="DT54" s="692"/>
      <c r="DU54" s="692"/>
      <c r="DV54" s="692"/>
      <c r="DW54" s="692"/>
      <c r="DX54" s="692"/>
      <c r="DY54" s="692"/>
      <c r="DZ54" s="692"/>
      <c r="EA54" s="692"/>
      <c r="EB54" s="692"/>
      <c r="EC54" s="692"/>
      <c r="ED54" s="692"/>
      <c r="EE54" s="692"/>
      <c r="EF54" s="692"/>
      <c r="EG54" s="692"/>
      <c r="EH54" s="692"/>
      <c r="EI54" s="692"/>
      <c r="EJ54" s="692"/>
      <c r="EK54" s="692"/>
      <c r="EL54" s="692"/>
      <c r="EM54" s="692"/>
      <c r="EN54" s="692"/>
      <c r="EO54" s="692"/>
      <c r="EP54" s="692"/>
      <c r="EQ54" s="692"/>
      <c r="ER54" s="692"/>
      <c r="ES54" s="692"/>
      <c r="ET54" s="692"/>
      <c r="EU54" s="692"/>
      <c r="EV54" s="692"/>
      <c r="EW54" s="692"/>
      <c r="EX54" s="692"/>
      <c r="EY54" s="692"/>
      <c r="EZ54" s="692"/>
      <c r="FA54" s="692"/>
      <c r="FB54" s="692"/>
      <c r="FC54" s="692"/>
      <c r="FD54" s="692"/>
      <c r="FE54" s="692"/>
      <c r="FF54" s="692"/>
      <c r="FG54" s="692"/>
      <c r="FH54" s="692"/>
      <c r="FI54" s="692"/>
      <c r="FJ54" s="692"/>
      <c r="FK54" s="692"/>
      <c r="FL54" s="692"/>
      <c r="FM54" s="692"/>
      <c r="FN54" s="692"/>
      <c r="FO54" s="692"/>
      <c r="FP54" s="692"/>
      <c r="FQ54" s="692"/>
      <c r="FR54" s="692"/>
      <c r="FS54" s="692"/>
      <c r="FT54" s="692"/>
      <c r="FU54" s="692"/>
      <c r="FV54" s="692"/>
      <c r="FW54" s="692"/>
      <c r="FX54" s="692"/>
      <c r="FY54" s="692"/>
      <c r="FZ54" s="692"/>
      <c r="GA54" s="692"/>
      <c r="GB54" s="692"/>
      <c r="GC54" s="692"/>
      <c r="GD54" s="692"/>
      <c r="GE54" s="692"/>
      <c r="GF54" s="692"/>
      <c r="GG54" s="692"/>
      <c r="GH54" s="692"/>
      <c r="GI54" s="692"/>
      <c r="GJ54" s="692"/>
      <c r="GK54" s="692"/>
      <c r="GL54" s="692"/>
      <c r="GM54" s="692"/>
      <c r="GN54" s="692"/>
      <c r="GO54" s="692"/>
      <c r="GP54" s="692"/>
      <c r="GQ54" s="692"/>
      <c r="GR54" s="692"/>
      <c r="GS54" s="692"/>
      <c r="GT54" s="692"/>
      <c r="GU54" s="692"/>
      <c r="GV54" s="692"/>
      <c r="GW54" s="692"/>
      <c r="GX54" s="692"/>
      <c r="GY54" s="692"/>
      <c r="GZ54" s="692"/>
      <c r="HA54" s="692"/>
      <c r="HB54" s="692"/>
      <c r="HC54" s="692"/>
      <c r="HD54" s="692"/>
      <c r="HE54" s="692"/>
      <c r="HF54" s="692"/>
      <c r="HG54" s="692"/>
      <c r="HH54" s="692"/>
      <c r="HI54" s="692"/>
      <c r="HJ54" s="692"/>
      <c r="HK54" s="692"/>
      <c r="HL54" s="692"/>
      <c r="HM54" s="692"/>
      <c r="HN54" s="692"/>
      <c r="HO54" s="692"/>
      <c r="HP54" s="692"/>
      <c r="HQ54" s="692"/>
      <c r="HR54" s="692"/>
      <c r="HS54" s="692"/>
      <c r="HT54" s="692"/>
      <c r="HU54" s="692"/>
      <c r="HV54" s="692"/>
      <c r="HW54" s="692"/>
      <c r="HX54" s="692"/>
      <c r="HY54" s="692"/>
      <c r="HZ54" s="692"/>
      <c r="IA54" s="692"/>
      <c r="IB54" s="692"/>
      <c r="IC54" s="692"/>
      <c r="ID54" s="692"/>
      <c r="IE54" s="692"/>
    </row>
    <row r="55" spans="1:239" customHeight="1" ht="17.4" s="701" customFormat="1">
      <c r="A55" s="702" t="s">
        <v>334</v>
      </c>
      <c r="B55" s="703" t="s">
        <v>316</v>
      </c>
      <c r="C55" s="703" t="s">
        <v>285</v>
      </c>
      <c r="D55" s="704" t="s">
        <v>309</v>
      </c>
      <c r="E55" s="704" t="s">
        <v>310</v>
      </c>
      <c r="F55" s="727">
        <f>SUM(G55:R55)</f>
        <v>411.70000000000005</v>
      </c>
      <c r="G55" s="706">
        <v>175.81</v>
      </c>
      <c r="H55" s="706">
        <v>154.16999999999999</v>
      </c>
      <c r="I55" s="706">
        <v>81.72</v>
      </c>
      <c r="J55" s="706">
        <v>0</v>
      </c>
      <c r="K55" s="706">
        <v>0</v>
      </c>
      <c r="L55" s="706">
        <v>0</v>
      </c>
      <c r="M55" s="706">
        <v>0</v>
      </c>
      <c r="N55" s="706">
        <v>0</v>
      </c>
      <c r="O55" s="706">
        <v>0</v>
      </c>
      <c r="P55" s="706">
        <v>0</v>
      </c>
      <c r="Q55" s="707">
        <v>0</v>
      </c>
      <c r="R55" s="706">
        <v>0</v>
      </c>
      <c r="S55" s="692"/>
      <c r="T55" s="692"/>
      <c r="U55" s="692"/>
      <c r="V55" s="692"/>
      <c r="W55" s="692"/>
      <c r="X55" s="692"/>
      <c r="Y55" s="692"/>
      <c r="Z55" s="692"/>
      <c r="AA55" s="692"/>
      <c r="AB55" s="692"/>
      <c r="AC55" s="692"/>
      <c r="AD55" s="692"/>
      <c r="AE55" s="692"/>
      <c r="AF55" s="692"/>
      <c r="AG55" s="692"/>
      <c r="AH55" s="692"/>
      <c r="AI55" s="692"/>
      <c r="AJ55" s="692"/>
      <c r="AK55" s="692"/>
      <c r="AL55" s="692"/>
      <c r="AM55" s="692"/>
      <c r="AN55" s="692"/>
      <c r="AO55" s="692"/>
      <c r="AP55" s="692"/>
      <c r="AQ55" s="692"/>
      <c r="AR55" s="692"/>
      <c r="AS55" s="692"/>
      <c r="AT55" s="692"/>
      <c r="AU55" s="692"/>
      <c r="AV55" s="692"/>
      <c r="AW55" s="692"/>
      <c r="AX55" s="692"/>
      <c r="AY55" s="692"/>
      <c r="AZ55" s="692"/>
      <c r="BA55" s="692"/>
      <c r="BB55" s="692"/>
      <c r="BC55" s="692"/>
      <c r="BD55" s="692"/>
      <c r="BE55" s="692"/>
      <c r="BF55" s="692"/>
      <c r="BG55" s="692"/>
      <c r="BH55" s="692"/>
      <c r="BI55" s="692"/>
      <c r="BJ55" s="692"/>
      <c r="BK55" s="692"/>
      <c r="BL55" s="692"/>
      <c r="BM55" s="692"/>
      <c r="BN55" s="692"/>
      <c r="BO55" s="692"/>
      <c r="BP55" s="692"/>
      <c r="BQ55" s="692"/>
      <c r="BR55" s="692"/>
      <c r="BS55" s="692"/>
      <c r="BT55" s="692"/>
      <c r="BU55" s="692"/>
      <c r="BV55" s="692"/>
      <c r="BW55" s="692"/>
      <c r="BX55" s="692"/>
      <c r="BY55" s="692"/>
      <c r="BZ55" s="692"/>
      <c r="CA55" s="692"/>
      <c r="CB55" s="692"/>
      <c r="CC55" s="692"/>
      <c r="CD55" s="692"/>
      <c r="CE55" s="692"/>
      <c r="CF55" s="692"/>
      <c r="CG55" s="692"/>
      <c r="CH55" s="692"/>
      <c r="CI55" s="692"/>
      <c r="CJ55" s="692"/>
      <c r="CK55" s="692"/>
      <c r="CL55" s="692"/>
      <c r="CM55" s="692"/>
      <c r="CN55" s="692"/>
      <c r="CO55" s="692"/>
      <c r="CP55" s="692"/>
      <c r="CQ55" s="692"/>
      <c r="CR55" s="692"/>
      <c r="CS55" s="692"/>
      <c r="CT55" s="692"/>
      <c r="CU55" s="692"/>
      <c r="CV55" s="692"/>
      <c r="CW55" s="692"/>
      <c r="CX55" s="692"/>
      <c r="CY55" s="692"/>
      <c r="CZ55" s="692"/>
      <c r="DA55" s="692"/>
      <c r="DB55" s="692"/>
      <c r="DC55" s="692"/>
      <c r="DD55" s="692"/>
      <c r="DE55" s="692"/>
      <c r="DF55" s="692"/>
      <c r="DG55" s="692"/>
      <c r="DH55" s="692"/>
      <c r="DI55" s="692"/>
      <c r="DJ55" s="692"/>
      <c r="DK55" s="692"/>
      <c r="DL55" s="692"/>
      <c r="DM55" s="692"/>
      <c r="DN55" s="692"/>
      <c r="DO55" s="692"/>
      <c r="DP55" s="692"/>
      <c r="DQ55" s="692"/>
      <c r="DR55" s="692"/>
      <c r="DS55" s="692"/>
      <c r="DT55" s="692"/>
      <c r="DU55" s="692"/>
      <c r="DV55" s="692"/>
      <c r="DW55" s="692"/>
      <c r="DX55" s="692"/>
      <c r="DY55" s="692"/>
      <c r="DZ55" s="692"/>
      <c r="EA55" s="692"/>
      <c r="EB55" s="692"/>
      <c r="EC55" s="692"/>
      <c r="ED55" s="692"/>
      <c r="EE55" s="692"/>
      <c r="EF55" s="692"/>
      <c r="EG55" s="692"/>
      <c r="EH55" s="692"/>
      <c r="EI55" s="692"/>
      <c r="EJ55" s="692"/>
      <c r="EK55" s="692"/>
      <c r="EL55" s="692"/>
      <c r="EM55" s="692"/>
      <c r="EN55" s="692"/>
      <c r="EO55" s="692"/>
      <c r="EP55" s="692"/>
      <c r="EQ55" s="692"/>
      <c r="ER55" s="692"/>
      <c r="ES55" s="692"/>
      <c r="ET55" s="692"/>
      <c r="EU55" s="692"/>
      <c r="EV55" s="692"/>
      <c r="EW55" s="692"/>
      <c r="EX55" s="692"/>
      <c r="EY55" s="692"/>
      <c r="EZ55" s="692"/>
      <c r="FA55" s="692"/>
      <c r="FB55" s="692"/>
      <c r="FC55" s="692"/>
      <c r="FD55" s="692"/>
      <c r="FE55" s="692"/>
      <c r="FF55" s="692"/>
      <c r="FG55" s="692"/>
      <c r="FH55" s="692"/>
      <c r="FI55" s="692"/>
      <c r="FJ55" s="692"/>
      <c r="FK55" s="692"/>
      <c r="FL55" s="692"/>
      <c r="FM55" s="692"/>
      <c r="FN55" s="692"/>
      <c r="FO55" s="692"/>
      <c r="FP55" s="692"/>
      <c r="FQ55" s="692"/>
      <c r="FR55" s="692"/>
      <c r="FS55" s="692"/>
      <c r="FT55" s="692"/>
      <c r="FU55" s="692"/>
      <c r="FV55" s="692"/>
      <c r="FW55" s="692"/>
      <c r="FX55" s="692"/>
      <c r="FY55" s="692"/>
      <c r="FZ55" s="692"/>
      <c r="GA55" s="692"/>
      <c r="GB55" s="692"/>
      <c r="GC55" s="692"/>
      <c r="GD55" s="692"/>
      <c r="GE55" s="692"/>
      <c r="GF55" s="692"/>
      <c r="GG55" s="692"/>
      <c r="GH55" s="692"/>
      <c r="GI55" s="692"/>
      <c r="GJ55" s="692"/>
      <c r="GK55" s="692"/>
      <c r="GL55" s="692"/>
      <c r="GM55" s="692"/>
      <c r="GN55" s="692"/>
      <c r="GO55" s="692"/>
      <c r="GP55" s="692"/>
      <c r="GQ55" s="692"/>
      <c r="GR55" s="692"/>
      <c r="GS55" s="692"/>
      <c r="GT55" s="692"/>
      <c r="GU55" s="692"/>
      <c r="GV55" s="692"/>
      <c r="GW55" s="692"/>
      <c r="GX55" s="692"/>
      <c r="GY55" s="692"/>
      <c r="GZ55" s="692"/>
      <c r="HA55" s="692"/>
      <c r="HB55" s="692"/>
      <c r="HC55" s="692"/>
      <c r="HD55" s="692"/>
      <c r="HE55" s="692"/>
      <c r="HF55" s="692"/>
      <c r="HG55" s="692"/>
      <c r="HH55" s="692"/>
      <c r="HI55" s="692"/>
      <c r="HJ55" s="692"/>
      <c r="HK55" s="692"/>
      <c r="HL55" s="692"/>
      <c r="HM55" s="692"/>
      <c r="HN55" s="692"/>
      <c r="HO55" s="692"/>
      <c r="HP55" s="692"/>
      <c r="HQ55" s="692"/>
      <c r="HR55" s="692"/>
      <c r="HS55" s="692"/>
      <c r="HT55" s="692"/>
      <c r="HU55" s="692"/>
      <c r="HV55" s="692"/>
      <c r="HW55" s="692"/>
      <c r="HX55" s="692"/>
      <c r="HY55" s="692"/>
      <c r="HZ55" s="692"/>
      <c r="IA55" s="692"/>
      <c r="IB55" s="692"/>
      <c r="IC55" s="692"/>
      <c r="ID55" s="692"/>
      <c r="IE55" s="692"/>
    </row>
    <row r="56" spans="1:239" customHeight="1" ht="17.4" s="701" customFormat="1">
      <c r="A56" s="702"/>
      <c r="B56" s="703"/>
      <c r="C56" s="703" t="s">
        <v>302</v>
      </c>
      <c r="D56" s="704"/>
      <c r="E56" s="704"/>
      <c r="F56" s="727">
        <f>SUM(G56:R56)</f>
        <v>0</v>
      </c>
      <c r="G56" s="706">
        <v>0</v>
      </c>
      <c r="H56" s="706">
        <v>0</v>
      </c>
      <c r="I56" s="706">
        <v>0</v>
      </c>
      <c r="J56" s="706"/>
      <c r="K56" s="706">
        <v>0</v>
      </c>
      <c r="L56" s="706">
        <v>0</v>
      </c>
      <c r="M56" s="706">
        <v>0</v>
      </c>
      <c r="N56" s="706"/>
      <c r="O56" s="706">
        <v>0</v>
      </c>
      <c r="P56" s="706">
        <v>0</v>
      </c>
      <c r="Q56" s="707">
        <v>0</v>
      </c>
      <c r="R56" s="706">
        <v>0</v>
      </c>
      <c r="S56" s="692"/>
      <c r="T56" s="692"/>
      <c r="U56" s="692"/>
      <c r="V56" s="692"/>
      <c r="W56" s="692"/>
      <c r="X56" s="692"/>
      <c r="Y56" s="692"/>
      <c r="Z56" s="692"/>
      <c r="AA56" s="692"/>
      <c r="AB56" s="692"/>
      <c r="AC56" s="692"/>
      <c r="AD56" s="692"/>
      <c r="AE56" s="692"/>
      <c r="AF56" s="692"/>
      <c r="AG56" s="692"/>
      <c r="AH56" s="692"/>
      <c r="AI56" s="692"/>
      <c r="AJ56" s="692"/>
      <c r="AK56" s="692"/>
      <c r="AL56" s="692"/>
      <c r="AM56" s="692"/>
      <c r="AN56" s="692"/>
      <c r="AO56" s="692"/>
      <c r="AP56" s="692"/>
      <c r="AQ56" s="692"/>
      <c r="AR56" s="692"/>
      <c r="AS56" s="692"/>
      <c r="AT56" s="692"/>
      <c r="AU56" s="692"/>
      <c r="AV56" s="692"/>
      <c r="AW56" s="692"/>
      <c r="AX56" s="692"/>
      <c r="AY56" s="692"/>
      <c r="AZ56" s="692"/>
      <c r="BA56" s="692"/>
      <c r="BB56" s="692"/>
      <c r="BC56" s="692"/>
      <c r="BD56" s="692"/>
      <c r="BE56" s="692"/>
      <c r="BF56" s="692"/>
      <c r="BG56" s="692"/>
      <c r="BH56" s="692"/>
      <c r="BI56" s="692"/>
      <c r="BJ56" s="692"/>
      <c r="BK56" s="692"/>
      <c r="BL56" s="692"/>
      <c r="BM56" s="692"/>
      <c r="BN56" s="692"/>
      <c r="BO56" s="692"/>
      <c r="BP56" s="692"/>
      <c r="BQ56" s="692"/>
      <c r="BR56" s="692"/>
      <c r="BS56" s="692"/>
      <c r="BT56" s="692"/>
      <c r="BU56" s="692"/>
      <c r="BV56" s="692"/>
      <c r="BW56" s="692"/>
      <c r="BX56" s="692"/>
      <c r="BY56" s="692"/>
      <c r="BZ56" s="692"/>
      <c r="CA56" s="692"/>
      <c r="CB56" s="692"/>
      <c r="CC56" s="692"/>
      <c r="CD56" s="692"/>
      <c r="CE56" s="692"/>
      <c r="CF56" s="692"/>
      <c r="CG56" s="692"/>
      <c r="CH56" s="692"/>
      <c r="CI56" s="692"/>
      <c r="CJ56" s="692"/>
      <c r="CK56" s="692"/>
      <c r="CL56" s="692"/>
      <c r="CM56" s="692"/>
      <c r="CN56" s="692"/>
      <c r="CO56" s="692"/>
      <c r="CP56" s="692"/>
      <c r="CQ56" s="692"/>
      <c r="CR56" s="692"/>
      <c r="CS56" s="692"/>
      <c r="CT56" s="692"/>
      <c r="CU56" s="692"/>
      <c r="CV56" s="692"/>
      <c r="CW56" s="692"/>
      <c r="CX56" s="692"/>
      <c r="CY56" s="692"/>
      <c r="CZ56" s="692"/>
      <c r="DA56" s="692"/>
      <c r="DB56" s="692"/>
      <c r="DC56" s="692"/>
      <c r="DD56" s="692"/>
      <c r="DE56" s="692"/>
      <c r="DF56" s="692"/>
      <c r="DG56" s="692"/>
      <c r="DH56" s="692"/>
      <c r="DI56" s="692"/>
      <c r="DJ56" s="692"/>
      <c r="DK56" s="692"/>
      <c r="DL56" s="692"/>
      <c r="DM56" s="692"/>
      <c r="DN56" s="692"/>
      <c r="DO56" s="692"/>
      <c r="DP56" s="692"/>
      <c r="DQ56" s="692"/>
      <c r="DR56" s="692"/>
      <c r="DS56" s="692"/>
      <c r="DT56" s="692"/>
      <c r="DU56" s="692"/>
      <c r="DV56" s="692"/>
      <c r="DW56" s="692"/>
      <c r="DX56" s="692"/>
      <c r="DY56" s="692"/>
      <c r="DZ56" s="692"/>
      <c r="EA56" s="692"/>
      <c r="EB56" s="692"/>
      <c r="EC56" s="692"/>
      <c r="ED56" s="692"/>
      <c r="EE56" s="692"/>
      <c r="EF56" s="692"/>
      <c r="EG56" s="692"/>
      <c r="EH56" s="692"/>
      <c r="EI56" s="692"/>
      <c r="EJ56" s="692"/>
      <c r="EK56" s="692"/>
      <c r="EL56" s="692"/>
      <c r="EM56" s="692"/>
      <c r="EN56" s="692"/>
      <c r="EO56" s="692"/>
      <c r="EP56" s="692"/>
      <c r="EQ56" s="692"/>
      <c r="ER56" s="692"/>
      <c r="ES56" s="692"/>
      <c r="ET56" s="692"/>
      <c r="EU56" s="692"/>
      <c r="EV56" s="692"/>
      <c r="EW56" s="692"/>
      <c r="EX56" s="692"/>
      <c r="EY56" s="692"/>
      <c r="EZ56" s="692"/>
      <c r="FA56" s="692"/>
      <c r="FB56" s="692"/>
      <c r="FC56" s="692"/>
      <c r="FD56" s="692"/>
      <c r="FE56" s="692"/>
      <c r="FF56" s="692"/>
      <c r="FG56" s="692"/>
      <c r="FH56" s="692"/>
      <c r="FI56" s="692"/>
      <c r="FJ56" s="692"/>
      <c r="FK56" s="692"/>
      <c r="FL56" s="692"/>
      <c r="FM56" s="692"/>
      <c r="FN56" s="692"/>
      <c r="FO56" s="692"/>
      <c r="FP56" s="692"/>
      <c r="FQ56" s="692"/>
      <c r="FR56" s="692"/>
      <c r="FS56" s="692"/>
      <c r="FT56" s="692"/>
      <c r="FU56" s="692"/>
      <c r="FV56" s="692"/>
      <c r="FW56" s="692"/>
      <c r="FX56" s="692"/>
      <c r="FY56" s="692"/>
      <c r="FZ56" s="692"/>
      <c r="GA56" s="692"/>
      <c r="GB56" s="692"/>
      <c r="GC56" s="692"/>
      <c r="GD56" s="692"/>
      <c r="GE56" s="692"/>
      <c r="GF56" s="692"/>
      <c r="GG56" s="692"/>
      <c r="GH56" s="692"/>
      <c r="GI56" s="692"/>
      <c r="GJ56" s="692"/>
      <c r="GK56" s="692"/>
      <c r="GL56" s="692"/>
      <c r="GM56" s="692"/>
      <c r="GN56" s="692"/>
      <c r="GO56" s="692"/>
      <c r="GP56" s="692"/>
      <c r="GQ56" s="692"/>
      <c r="GR56" s="692"/>
      <c r="GS56" s="692"/>
      <c r="GT56" s="692"/>
      <c r="GU56" s="692"/>
      <c r="GV56" s="692"/>
      <c r="GW56" s="692"/>
      <c r="GX56" s="692"/>
      <c r="GY56" s="692"/>
      <c r="GZ56" s="692"/>
      <c r="HA56" s="692"/>
      <c r="HB56" s="692"/>
      <c r="HC56" s="692"/>
      <c r="HD56" s="692"/>
      <c r="HE56" s="692"/>
      <c r="HF56" s="692"/>
      <c r="HG56" s="692"/>
      <c r="HH56" s="692"/>
      <c r="HI56" s="692"/>
      <c r="HJ56" s="692"/>
      <c r="HK56" s="692"/>
      <c r="HL56" s="692"/>
      <c r="HM56" s="692"/>
      <c r="HN56" s="692"/>
      <c r="HO56" s="692"/>
      <c r="HP56" s="692"/>
      <c r="HQ56" s="692"/>
      <c r="HR56" s="692"/>
      <c r="HS56" s="692"/>
      <c r="HT56" s="692"/>
      <c r="HU56" s="692"/>
      <c r="HV56" s="692"/>
      <c r="HW56" s="692"/>
      <c r="HX56" s="692"/>
      <c r="HY56" s="692"/>
      <c r="HZ56" s="692"/>
      <c r="IA56" s="692"/>
      <c r="IB56" s="692"/>
      <c r="IC56" s="692"/>
      <c r="ID56" s="692"/>
      <c r="IE56" s="692"/>
    </row>
    <row r="57" spans="1:239" customHeight="1" ht="23.4" s="701" customFormat="1">
      <c r="A57" s="696" t="s">
        <v>335</v>
      </c>
      <c r="B57" s="696"/>
      <c r="C57" s="696"/>
      <c r="D57" s="697" t="s">
        <v>336</v>
      </c>
      <c r="E57" s="709" t="s">
        <v>283</v>
      </c>
      <c r="F57" s="698">
        <f>SUM(F58)</f>
        <v>4650</v>
      </c>
      <c r="Q57" s="710"/>
      <c r="S57" s="692"/>
      <c r="T57" s="692"/>
      <c r="U57" s="692"/>
      <c r="V57" s="692"/>
      <c r="W57" s="692"/>
      <c r="X57" s="692"/>
      <c r="Y57" s="692"/>
      <c r="Z57" s="692"/>
      <c r="AA57" s="692"/>
      <c r="AB57" s="692"/>
      <c r="AC57" s="692"/>
      <c r="AD57" s="692"/>
      <c r="AE57" s="692"/>
      <c r="AF57" s="692"/>
      <c r="AG57" s="692"/>
      <c r="AH57" s="692"/>
      <c r="AI57" s="692"/>
      <c r="AJ57" s="692"/>
      <c r="AK57" s="692"/>
      <c r="AL57" s="692"/>
      <c r="AM57" s="692"/>
      <c r="AN57" s="692"/>
      <c r="AO57" s="692"/>
      <c r="AP57" s="692"/>
      <c r="AQ57" s="692"/>
      <c r="AR57" s="692"/>
      <c r="AS57" s="692"/>
      <c r="AT57" s="692"/>
      <c r="AU57" s="692"/>
      <c r="AV57" s="692"/>
      <c r="AW57" s="692"/>
      <c r="AX57" s="692"/>
      <c r="AY57" s="692"/>
      <c r="AZ57" s="692"/>
      <c r="BA57" s="692"/>
      <c r="BB57" s="692"/>
      <c r="BC57" s="692"/>
      <c r="BD57" s="692"/>
      <c r="BE57" s="692"/>
      <c r="BF57" s="692"/>
      <c r="BG57" s="692"/>
      <c r="BH57" s="692"/>
      <c r="BI57" s="692"/>
      <c r="BJ57" s="692"/>
      <c r="BK57" s="692"/>
      <c r="BL57" s="692"/>
      <c r="BM57" s="692"/>
      <c r="BN57" s="692"/>
      <c r="BO57" s="692"/>
      <c r="BP57" s="692"/>
      <c r="BQ57" s="692"/>
      <c r="BR57" s="692"/>
      <c r="BS57" s="692"/>
      <c r="BT57" s="692"/>
      <c r="BU57" s="692"/>
      <c r="BV57" s="692"/>
      <c r="BW57" s="692"/>
      <c r="BX57" s="692"/>
      <c r="BY57" s="692"/>
      <c r="BZ57" s="692"/>
      <c r="CA57" s="692"/>
      <c r="CB57" s="692"/>
      <c r="CC57" s="692"/>
      <c r="CD57" s="692"/>
      <c r="CE57" s="692"/>
      <c r="CF57" s="692"/>
      <c r="CG57" s="692"/>
      <c r="CH57" s="692"/>
      <c r="CI57" s="692"/>
      <c r="CJ57" s="692"/>
      <c r="CK57" s="692"/>
      <c r="CL57" s="692"/>
      <c r="CM57" s="692"/>
      <c r="CN57" s="692"/>
      <c r="CO57" s="692"/>
      <c r="CP57" s="692"/>
      <c r="CQ57" s="692"/>
      <c r="CR57" s="692"/>
      <c r="CS57" s="692"/>
      <c r="CT57" s="692"/>
      <c r="CU57" s="692"/>
      <c r="CV57" s="692"/>
      <c r="CW57" s="692"/>
      <c r="CX57" s="692"/>
      <c r="CY57" s="692"/>
      <c r="CZ57" s="692"/>
      <c r="DA57" s="692"/>
      <c r="DB57" s="692"/>
      <c r="DC57" s="692"/>
      <c r="DD57" s="692"/>
      <c r="DE57" s="692"/>
      <c r="DF57" s="692"/>
      <c r="DG57" s="692"/>
      <c r="DH57" s="692"/>
      <c r="DI57" s="692"/>
      <c r="DJ57" s="692"/>
      <c r="DK57" s="692"/>
      <c r="DL57" s="692"/>
      <c r="DM57" s="692"/>
      <c r="DN57" s="692"/>
      <c r="DO57" s="692"/>
      <c r="DP57" s="692"/>
      <c r="DQ57" s="692"/>
      <c r="DR57" s="692"/>
      <c r="DS57" s="692"/>
      <c r="DT57" s="692"/>
      <c r="DU57" s="692"/>
      <c r="DV57" s="692"/>
      <c r="DW57" s="692"/>
      <c r="DX57" s="692"/>
      <c r="DY57" s="692"/>
      <c r="DZ57" s="692"/>
      <c r="EA57" s="692"/>
      <c r="EB57" s="692"/>
      <c r="EC57" s="692"/>
      <c r="ED57" s="692"/>
      <c r="EE57" s="692"/>
      <c r="EF57" s="692"/>
      <c r="EG57" s="692"/>
      <c r="EH57" s="692"/>
      <c r="EI57" s="692"/>
      <c r="EJ57" s="692"/>
      <c r="EK57" s="692"/>
      <c r="EL57" s="692"/>
      <c r="EM57" s="692"/>
      <c r="EN57" s="692"/>
      <c r="EO57" s="692"/>
      <c r="EP57" s="692"/>
      <c r="EQ57" s="692"/>
      <c r="ER57" s="692"/>
      <c r="ES57" s="692"/>
      <c r="ET57" s="692"/>
      <c r="EU57" s="692"/>
      <c r="EV57" s="692"/>
      <c r="EW57" s="692"/>
      <c r="EX57" s="692"/>
      <c r="EY57" s="692"/>
      <c r="EZ57" s="692"/>
      <c r="FA57" s="692"/>
      <c r="FB57" s="692"/>
      <c r="FC57" s="692"/>
      <c r="FD57" s="692"/>
      <c r="FE57" s="692"/>
      <c r="FF57" s="692"/>
      <c r="FG57" s="692"/>
      <c r="FH57" s="692"/>
      <c r="FI57" s="692"/>
      <c r="FJ57" s="692"/>
      <c r="FK57" s="692"/>
      <c r="FL57" s="692"/>
      <c r="FM57" s="692"/>
      <c r="FN57" s="692"/>
      <c r="FO57" s="692"/>
      <c r="FP57" s="692"/>
      <c r="FQ57" s="692"/>
      <c r="FR57" s="692"/>
      <c r="FS57" s="692"/>
      <c r="FT57" s="692"/>
      <c r="FU57" s="692"/>
      <c r="FV57" s="692"/>
      <c r="FW57" s="692"/>
      <c r="FX57" s="692"/>
      <c r="FY57" s="692"/>
      <c r="FZ57" s="692"/>
      <c r="GA57" s="692"/>
      <c r="GB57" s="692"/>
      <c r="GC57" s="692"/>
      <c r="GD57" s="692"/>
      <c r="GE57" s="692"/>
      <c r="GF57" s="692"/>
      <c r="GG57" s="692"/>
      <c r="GH57" s="692"/>
      <c r="GI57" s="692"/>
      <c r="GJ57" s="692"/>
      <c r="GK57" s="692"/>
      <c r="GL57" s="692"/>
      <c r="GM57" s="692"/>
      <c r="GN57" s="692"/>
      <c r="GO57" s="692"/>
      <c r="GP57" s="692"/>
      <c r="GQ57" s="692"/>
      <c r="GR57" s="692"/>
      <c r="GS57" s="692"/>
      <c r="GT57" s="692"/>
      <c r="GU57" s="692"/>
      <c r="GV57" s="692"/>
      <c r="GW57" s="692"/>
      <c r="GX57" s="692"/>
      <c r="GY57" s="692"/>
      <c r="GZ57" s="692"/>
      <c r="HA57" s="692"/>
      <c r="HB57" s="692"/>
      <c r="HC57" s="692"/>
      <c r="HD57" s="692"/>
      <c r="HE57" s="692"/>
      <c r="HF57" s="692"/>
      <c r="HG57" s="692"/>
      <c r="HH57" s="692"/>
      <c r="HI57" s="692"/>
      <c r="HJ57" s="692"/>
      <c r="HK57" s="692"/>
      <c r="HL57" s="692"/>
      <c r="HM57" s="692"/>
      <c r="HN57" s="692"/>
      <c r="HO57" s="692"/>
      <c r="HP57" s="692"/>
      <c r="HQ57" s="692"/>
      <c r="HR57" s="692"/>
      <c r="HS57" s="692"/>
      <c r="HT57" s="692"/>
      <c r="HU57" s="692"/>
      <c r="HV57" s="692"/>
      <c r="HW57" s="692"/>
      <c r="HX57" s="692"/>
      <c r="HY57" s="692"/>
      <c r="HZ57" s="692"/>
      <c r="IA57" s="692"/>
      <c r="IB57" s="692"/>
      <c r="IC57" s="692"/>
      <c r="ID57" s="692"/>
      <c r="IE57" s="692"/>
    </row>
    <row r="58" spans="1:239" customHeight="1" ht="17.4" s="701" customFormat="1">
      <c r="A58" s="701" t="s">
        <v>337</v>
      </c>
      <c r="B58" s="704" t="s">
        <v>308</v>
      </c>
      <c r="C58" s="704" t="s">
        <v>284</v>
      </c>
      <c r="D58" s="704" t="s">
        <v>336</v>
      </c>
      <c r="E58" s="704" t="s">
        <v>283</v>
      </c>
      <c r="F58" s="705">
        <f>SUM(G58:R58)</f>
        <v>4650</v>
      </c>
      <c r="G58" s="711">
        <v>360</v>
      </c>
      <c r="H58" s="711">
        <v>360</v>
      </c>
      <c r="I58" s="711">
        <v>540</v>
      </c>
      <c r="J58" s="711">
        <v>180</v>
      </c>
      <c r="K58" s="711">
        <v>540</v>
      </c>
      <c r="L58" s="711">
        <v>360</v>
      </c>
      <c r="M58" s="711">
        <v>540</v>
      </c>
      <c r="N58" s="711">
        <v>330</v>
      </c>
      <c r="O58" s="711">
        <v>360</v>
      </c>
      <c r="P58" s="711">
        <v>360</v>
      </c>
      <c r="Q58" s="713">
        <v>360</v>
      </c>
      <c r="R58" s="711">
        <v>360</v>
      </c>
      <c r="S58" s="692"/>
      <c r="T58" s="714"/>
      <c r="U58" s="692"/>
      <c r="V58" s="692"/>
      <c r="W58" s="692"/>
      <c r="X58" s="692"/>
      <c r="Y58" s="692"/>
      <c r="Z58" s="692"/>
      <c r="AA58" s="692"/>
      <c r="AB58" s="692"/>
      <c r="AC58" s="692"/>
      <c r="AD58" s="692"/>
      <c r="AE58" s="692"/>
      <c r="AF58" s="692"/>
      <c r="AG58" s="692"/>
      <c r="AH58" s="692"/>
      <c r="AI58" s="692"/>
      <c r="AJ58" s="692"/>
      <c r="AK58" s="692"/>
      <c r="AL58" s="692"/>
      <c r="AM58" s="692"/>
      <c r="AN58" s="692"/>
      <c r="AO58" s="692"/>
      <c r="AP58" s="692"/>
      <c r="AQ58" s="692"/>
      <c r="AR58" s="692"/>
      <c r="AS58" s="692"/>
      <c r="AT58" s="692"/>
      <c r="AU58" s="692"/>
      <c r="AV58" s="692"/>
      <c r="AW58" s="692"/>
      <c r="AX58" s="692"/>
      <c r="AY58" s="692"/>
      <c r="AZ58" s="692"/>
      <c r="BA58" s="692"/>
      <c r="BB58" s="692"/>
      <c r="BC58" s="692"/>
      <c r="BD58" s="692"/>
      <c r="BE58" s="692"/>
      <c r="BF58" s="692"/>
      <c r="BG58" s="692"/>
      <c r="BH58" s="692"/>
      <c r="BI58" s="692"/>
      <c r="BJ58" s="692"/>
      <c r="BK58" s="692"/>
      <c r="BL58" s="692"/>
      <c r="BM58" s="692"/>
      <c r="BN58" s="692"/>
      <c r="BO58" s="692"/>
      <c r="BP58" s="692"/>
      <c r="BQ58" s="692"/>
      <c r="BR58" s="692"/>
      <c r="BS58" s="692"/>
      <c r="BT58" s="692"/>
      <c r="BU58" s="692"/>
      <c r="BV58" s="692"/>
      <c r="BW58" s="692"/>
      <c r="BX58" s="692"/>
      <c r="BY58" s="692"/>
      <c r="BZ58" s="692"/>
      <c r="CA58" s="692"/>
      <c r="CB58" s="692"/>
      <c r="CC58" s="692"/>
      <c r="CD58" s="692"/>
      <c r="CE58" s="692"/>
      <c r="CF58" s="692"/>
      <c r="CG58" s="692"/>
      <c r="CH58" s="692"/>
      <c r="CI58" s="692"/>
      <c r="CJ58" s="692"/>
      <c r="CK58" s="692"/>
      <c r="CL58" s="692"/>
      <c r="CM58" s="692"/>
      <c r="CN58" s="692"/>
      <c r="CO58" s="692"/>
      <c r="CP58" s="692"/>
      <c r="CQ58" s="692"/>
      <c r="CR58" s="692"/>
      <c r="CS58" s="692"/>
      <c r="CT58" s="692"/>
      <c r="CU58" s="692"/>
      <c r="CV58" s="692"/>
      <c r="CW58" s="692"/>
      <c r="CX58" s="692"/>
      <c r="CY58" s="692"/>
      <c r="CZ58" s="692"/>
      <c r="DA58" s="692"/>
      <c r="DB58" s="692"/>
      <c r="DC58" s="692"/>
      <c r="DD58" s="692"/>
      <c r="DE58" s="692"/>
      <c r="DF58" s="692"/>
      <c r="DG58" s="692"/>
      <c r="DH58" s="692"/>
      <c r="DI58" s="692"/>
      <c r="DJ58" s="692"/>
      <c r="DK58" s="692"/>
      <c r="DL58" s="692"/>
      <c r="DM58" s="692"/>
      <c r="DN58" s="692"/>
      <c r="DO58" s="692"/>
      <c r="DP58" s="692"/>
      <c r="DQ58" s="692"/>
      <c r="DR58" s="692"/>
      <c r="DS58" s="692"/>
      <c r="DT58" s="692"/>
      <c r="DU58" s="692"/>
      <c r="DV58" s="692"/>
      <c r="DW58" s="692"/>
      <c r="DX58" s="692"/>
      <c r="DY58" s="692"/>
      <c r="DZ58" s="692"/>
      <c r="EA58" s="692"/>
      <c r="EB58" s="692"/>
      <c r="EC58" s="692"/>
      <c r="ED58" s="692"/>
      <c r="EE58" s="692"/>
      <c r="EF58" s="692"/>
      <c r="EG58" s="692"/>
      <c r="EH58" s="692"/>
      <c r="EI58" s="692"/>
      <c r="EJ58" s="692"/>
      <c r="EK58" s="692"/>
      <c r="EL58" s="692"/>
      <c r="EM58" s="692"/>
      <c r="EN58" s="692"/>
      <c r="EO58" s="692"/>
      <c r="EP58" s="692"/>
      <c r="EQ58" s="692"/>
      <c r="ER58" s="692"/>
      <c r="ES58" s="692"/>
      <c r="ET58" s="692"/>
      <c r="EU58" s="692"/>
      <c r="EV58" s="692"/>
      <c r="EW58" s="692"/>
      <c r="EX58" s="692"/>
      <c r="EY58" s="692"/>
      <c r="EZ58" s="692"/>
      <c r="FA58" s="692"/>
      <c r="FB58" s="692"/>
      <c r="FC58" s="692"/>
      <c r="FD58" s="692"/>
      <c r="FE58" s="692"/>
      <c r="FF58" s="692"/>
      <c r="FG58" s="692"/>
      <c r="FH58" s="692"/>
      <c r="FI58" s="692"/>
      <c r="FJ58" s="692"/>
      <c r="FK58" s="692"/>
      <c r="FL58" s="692"/>
      <c r="FM58" s="692"/>
      <c r="FN58" s="692"/>
      <c r="FO58" s="692"/>
      <c r="FP58" s="692"/>
      <c r="FQ58" s="692"/>
      <c r="FR58" s="692"/>
      <c r="FS58" s="692"/>
      <c r="FT58" s="692"/>
      <c r="FU58" s="692"/>
      <c r="FV58" s="692"/>
      <c r="FW58" s="692"/>
      <c r="FX58" s="692"/>
      <c r="FY58" s="692"/>
      <c r="FZ58" s="692"/>
      <c r="GA58" s="692"/>
      <c r="GB58" s="692"/>
      <c r="GC58" s="692"/>
      <c r="GD58" s="692"/>
      <c r="GE58" s="692"/>
      <c r="GF58" s="692"/>
      <c r="GG58" s="692"/>
      <c r="GH58" s="692"/>
      <c r="GI58" s="692"/>
      <c r="GJ58" s="692"/>
      <c r="GK58" s="692"/>
      <c r="GL58" s="692"/>
      <c r="GM58" s="692"/>
      <c r="GN58" s="692"/>
      <c r="GO58" s="692"/>
      <c r="GP58" s="692"/>
      <c r="GQ58" s="692"/>
      <c r="GR58" s="692"/>
      <c r="GS58" s="692"/>
      <c r="GT58" s="692"/>
      <c r="GU58" s="692"/>
      <c r="GV58" s="692"/>
      <c r="GW58" s="692"/>
      <c r="GX58" s="692"/>
      <c r="GY58" s="692"/>
      <c r="GZ58" s="692"/>
      <c r="HA58" s="692"/>
      <c r="HB58" s="692"/>
      <c r="HC58" s="692"/>
      <c r="HD58" s="692"/>
      <c r="HE58" s="692"/>
      <c r="HF58" s="692"/>
      <c r="HG58" s="692"/>
      <c r="HH58" s="692"/>
      <c r="HI58" s="692"/>
      <c r="HJ58" s="692"/>
      <c r="HK58" s="692"/>
      <c r="HL58" s="692"/>
      <c r="HM58" s="692"/>
      <c r="HN58" s="692"/>
      <c r="HO58" s="692"/>
      <c r="HP58" s="692"/>
      <c r="HQ58" s="692"/>
      <c r="HR58" s="692"/>
      <c r="HS58" s="692"/>
      <c r="HT58" s="692"/>
      <c r="HU58" s="692"/>
      <c r="HV58" s="692"/>
      <c r="HW58" s="692"/>
      <c r="HX58" s="692"/>
      <c r="HY58" s="692"/>
      <c r="HZ58" s="692"/>
      <c r="IA58" s="692"/>
      <c r="IB58" s="692"/>
      <c r="IC58" s="692"/>
      <c r="ID58" s="692"/>
      <c r="IE58" s="692"/>
    </row>
    <row r="59" spans="1:239" customHeight="1" ht="21"/>
    <row r="60" spans="1:239" customHeight="1" ht="21">
      <c r="A60" s="715"/>
      <c r="B60" s="715"/>
      <c r="C60" s="715"/>
    </row>
    <row r="61" spans="1:239" customHeight="1" ht="21">
      <c r="A61" s="690"/>
      <c r="B61" s="690"/>
      <c r="C61" s="690"/>
      <c r="D61" s="690"/>
      <c r="E61" s="690"/>
      <c r="F61" s="690"/>
      <c r="G61" s="690"/>
      <c r="H61" s="690"/>
      <c r="I61" s="690"/>
      <c r="J61" s="690"/>
      <c r="K61" s="690"/>
      <c r="L61" s="690"/>
      <c r="M61" s="690"/>
    </row>
    <row r="62" spans="1:239" customHeight="1" ht="21">
      <c r="A62" s="690"/>
      <c r="B62" s="690"/>
      <c r="C62" s="690"/>
      <c r="D62" s="690"/>
      <c r="E62" s="690"/>
      <c r="F62" s="690"/>
      <c r="G62" s="690"/>
      <c r="H62" s="690"/>
      <c r="I62" s="690"/>
      <c r="J62" s="690"/>
      <c r="K62" s="690"/>
      <c r="L62" s="690"/>
      <c r="M62" s="690"/>
    </row>
    <row r="63" spans="1:239" customHeight="1" ht="21">
      <c r="A63" s="690"/>
      <c r="B63" s="690"/>
      <c r="C63" s="690"/>
      <c r="D63" s="690"/>
      <c r="E63" s="690"/>
      <c r="F63" s="690"/>
      <c r="G63" s="690"/>
      <c r="H63" s="690"/>
      <c r="I63" s="690"/>
      <c r="J63" s="690"/>
      <c r="K63" s="690"/>
      <c r="L63" s="690"/>
      <c r="M63" s="690"/>
    </row>
    <row r="64" spans="1:239" customHeight="1" ht="21">
      <c r="A64" s="690"/>
      <c r="B64" s="690"/>
      <c r="C64" s="690"/>
      <c r="D64" s="690"/>
      <c r="E64" s="690"/>
      <c r="F64" s="690"/>
      <c r="G64" s="690"/>
      <c r="H64" s="690"/>
      <c r="I64" s="690"/>
      <c r="J64" s="690"/>
      <c r="K64" s="690"/>
      <c r="L64" s="690"/>
      <c r="M64" s="690"/>
    </row>
    <row r="65" spans="1:239" customHeight="1" ht="21">
      <c r="A65" s="690"/>
      <c r="B65" s="690"/>
      <c r="C65" s="690"/>
      <c r="D65" s="690"/>
      <c r="E65" s="690"/>
      <c r="F65" s="690"/>
      <c r="G65" s="690"/>
      <c r="H65" s="690"/>
      <c r="I65" s="690"/>
      <c r="J65" s="690"/>
      <c r="K65" s="690"/>
      <c r="L65" s="690"/>
      <c r="M65" s="690"/>
    </row>
    <row r="66" spans="1:239" customHeight="1" ht="21">
      <c r="A66" s="690"/>
      <c r="B66" s="690"/>
      <c r="C66" s="690"/>
      <c r="D66" s="690"/>
      <c r="E66" s="690"/>
      <c r="F66" s="690"/>
      <c r="G66" s="690"/>
      <c r="H66" s="690"/>
      <c r="I66" s="690"/>
      <c r="J66" s="690"/>
      <c r="K66" s="690"/>
      <c r="L66" s="690"/>
      <c r="M66" s="690"/>
    </row>
    <row r="67" spans="1:239" customHeight="1" ht="21">
      <c r="A67" s="690"/>
      <c r="B67" s="690"/>
      <c r="C67" s="690"/>
      <c r="D67" s="690"/>
      <c r="E67" s="690"/>
      <c r="F67" s="690"/>
      <c r="G67" s="690"/>
      <c r="H67" s="690"/>
      <c r="I67" s="690"/>
      <c r="J67" s="690"/>
      <c r="K67" s="690"/>
      <c r="L67" s="690"/>
      <c r="M67" s="690"/>
    </row>
    <row r="68" spans="1:239" customHeight="1" ht="21">
      <c r="A68" s="690"/>
      <c r="B68" s="690"/>
      <c r="C68" s="690"/>
      <c r="D68" s="690"/>
      <c r="E68" s="690"/>
      <c r="F68" s="690"/>
      <c r="G68" s="690"/>
      <c r="H68" s="690"/>
      <c r="I68" s="690"/>
      <c r="J68" s="690"/>
      <c r="K68" s="690"/>
      <c r="L68" s="690"/>
      <c r="M68" s="690"/>
    </row>
    <row r="69" spans="1:239" customHeight="1" ht="21">
      <c r="A69" s="690"/>
      <c r="B69" s="690"/>
      <c r="C69" s="690"/>
      <c r="D69" s="690"/>
      <c r="E69" s="690"/>
      <c r="F69" s="690"/>
      <c r="G69" s="690"/>
      <c r="H69" s="690"/>
      <c r="I69" s="690"/>
      <c r="J69" s="690"/>
      <c r="K69" s="690"/>
      <c r="L69" s="690"/>
      <c r="M69" s="690"/>
    </row>
    <row r="70" spans="1:239" customHeight="1" ht="21">
      <c r="A70" s="690"/>
      <c r="B70" s="690"/>
      <c r="C70" s="690"/>
      <c r="D70" s="690"/>
      <c r="E70" s="690"/>
      <c r="F70" s="690"/>
      <c r="G70" s="690"/>
      <c r="H70" s="690"/>
      <c r="I70" s="690"/>
      <c r="J70" s="690"/>
      <c r="K70" s="690"/>
      <c r="L70" s="690"/>
      <c r="M70" s="690"/>
    </row>
    <row r="71" spans="1:239" customHeight="1" ht="21">
      <c r="A71" s="690"/>
      <c r="B71" s="690"/>
      <c r="C71" s="690"/>
      <c r="D71" s="690"/>
      <c r="E71" s="690"/>
      <c r="F71" s="690"/>
      <c r="G71" s="690"/>
      <c r="H71" s="690"/>
      <c r="I71" s="690"/>
      <c r="J71" s="690"/>
      <c r="K71" s="690"/>
      <c r="L71" s="690"/>
      <c r="M71" s="690"/>
    </row>
    <row r="72" spans="1:239" customHeight="1" ht="21">
      <c r="A72" s="690"/>
      <c r="B72" s="690"/>
      <c r="C72" s="690"/>
      <c r="D72" s="690"/>
      <c r="E72" s="690"/>
      <c r="F72" s="690"/>
      <c r="G72" s="690"/>
      <c r="H72" s="690"/>
      <c r="I72" s="690"/>
      <c r="J72" s="690"/>
      <c r="K72" s="690"/>
      <c r="L72" s="690"/>
      <c r="M72" s="690"/>
    </row>
    <row r="73" spans="1:239" customHeight="1" ht="21">
      <c r="A73" s="690"/>
      <c r="B73" s="690"/>
      <c r="C73" s="690"/>
      <c r="D73" s="690"/>
      <c r="E73" s="690"/>
      <c r="F73" s="690"/>
      <c r="G73" s="690"/>
      <c r="H73" s="690"/>
      <c r="I73" s="690"/>
      <c r="J73" s="690"/>
      <c r="K73" s="690"/>
      <c r="L73" s="690"/>
      <c r="M73" s="690"/>
    </row>
    <row r="74" spans="1:239" customHeight="1" ht="21">
      <c r="A74" s="690"/>
      <c r="B74" s="690"/>
      <c r="C74" s="690"/>
      <c r="D74" s="690"/>
      <c r="E74" s="690"/>
      <c r="F74" s="690"/>
      <c r="G74" s="690"/>
      <c r="H74" s="690"/>
      <c r="I74" s="690"/>
      <c r="J74" s="690"/>
      <c r="K74" s="690"/>
      <c r="L74" s="690"/>
      <c r="M74" s="690"/>
    </row>
    <row r="75" spans="1:239" customHeight="1" ht="21">
      <c r="A75" s="690"/>
      <c r="B75" s="690"/>
      <c r="C75" s="690"/>
      <c r="D75" s="690"/>
      <c r="E75" s="690"/>
      <c r="F75" s="690"/>
      <c r="G75" s="690"/>
      <c r="H75" s="690"/>
      <c r="I75" s="690"/>
      <c r="J75" s="690"/>
      <c r="K75" s="690"/>
      <c r="L75" s="690"/>
      <c r="M75" s="690"/>
    </row>
    <row r="76" spans="1:239" customHeight="1" ht="21">
      <c r="A76" s="690"/>
      <c r="B76" s="690"/>
      <c r="C76" s="690"/>
      <c r="D76" s="690"/>
      <c r="E76" s="690"/>
      <c r="F76" s="690"/>
      <c r="G76" s="690"/>
      <c r="H76" s="690"/>
      <c r="I76" s="690"/>
      <c r="J76" s="690"/>
      <c r="K76" s="690"/>
      <c r="L76" s="690"/>
      <c r="M76" s="690"/>
    </row>
    <row r="77" spans="1:239" customHeight="1" ht="21">
      <c r="A77" s="690"/>
      <c r="B77" s="690"/>
      <c r="C77" s="690"/>
      <c r="D77" s="690"/>
      <c r="E77" s="690"/>
      <c r="F77" s="690"/>
      <c r="G77" s="690"/>
      <c r="H77" s="690"/>
      <c r="I77" s="690"/>
      <c r="J77" s="690"/>
      <c r="K77" s="690"/>
      <c r="L77" s="690"/>
      <c r="M77" s="690"/>
    </row>
    <row r="78" spans="1:239" customHeight="1" ht="21">
      <c r="A78" s="690"/>
      <c r="B78" s="690"/>
      <c r="C78" s="690"/>
      <c r="D78" s="690"/>
      <c r="E78" s="690"/>
      <c r="F78" s="690"/>
      <c r="G78" s="690"/>
      <c r="H78" s="690"/>
      <c r="I78" s="690"/>
      <c r="J78" s="690"/>
      <c r="K78" s="690"/>
      <c r="L78" s="690"/>
      <c r="M78" s="690"/>
    </row>
    <row r="79" spans="1:239" customHeight="1" ht="21">
      <c r="A79" s="690"/>
      <c r="B79" s="690"/>
      <c r="C79" s="690"/>
      <c r="D79" s="690"/>
      <c r="E79" s="690"/>
      <c r="F79" s="690"/>
      <c r="G79" s="690"/>
      <c r="H79" s="690"/>
      <c r="I79" s="690"/>
      <c r="J79" s="690"/>
      <c r="K79" s="690"/>
      <c r="L79" s="690"/>
      <c r="M79" s="690"/>
    </row>
    <row r="80" spans="1:239" customHeight="1" ht="21">
      <c r="A80" s="690"/>
      <c r="B80" s="690"/>
      <c r="C80" s="690"/>
      <c r="D80" s="690"/>
      <c r="E80" s="690"/>
      <c r="F80" s="690"/>
      <c r="G80" s="690"/>
      <c r="H80" s="690"/>
      <c r="I80" s="690"/>
      <c r="J80" s="690"/>
      <c r="K80" s="690"/>
      <c r="L80" s="690"/>
      <c r="M80" s="690"/>
    </row>
    <row r="81" spans="1:239" customHeight="1" ht="21">
      <c r="A81" s="690"/>
      <c r="B81" s="690"/>
      <c r="C81" s="690"/>
      <c r="D81" s="690"/>
      <c r="E81" s="690"/>
      <c r="F81" s="690"/>
      <c r="G81" s="690"/>
      <c r="H81" s="690"/>
      <c r="I81" s="690"/>
      <c r="J81" s="690"/>
      <c r="K81" s="690"/>
      <c r="L81" s="690"/>
      <c r="M81" s="690"/>
    </row>
    <row r="82" spans="1:239" customHeight="1" ht="21">
      <c r="A82" s="690"/>
      <c r="B82" s="690"/>
      <c r="C82" s="690"/>
      <c r="D82" s="690"/>
      <c r="E82" s="690"/>
      <c r="F82" s="690"/>
      <c r="G82" s="690"/>
      <c r="H82" s="690"/>
      <c r="I82" s="690"/>
      <c r="J82" s="690"/>
      <c r="K82" s="690"/>
      <c r="L82" s="690"/>
      <c r="M82" s="690"/>
    </row>
    <row r="83" spans="1:239" customHeight="1" ht="21">
      <c r="A83" s="690"/>
      <c r="B83" s="690"/>
      <c r="C83" s="690"/>
      <c r="D83" s="690"/>
      <c r="E83" s="690"/>
      <c r="F83" s="690"/>
      <c r="G83" s="690"/>
      <c r="H83" s="690"/>
      <c r="I83" s="690"/>
      <c r="J83" s="690"/>
      <c r="K83" s="690"/>
      <c r="L83" s="690"/>
      <c r="M83" s="690"/>
    </row>
    <row r="84" spans="1:239" customHeight="1" ht="21">
      <c r="A84" s="690"/>
      <c r="B84" s="690"/>
      <c r="C84" s="690"/>
      <c r="D84" s="690"/>
      <c r="E84" s="690"/>
      <c r="F84" s="690"/>
      <c r="G84" s="690"/>
      <c r="H84" s="690"/>
      <c r="I84" s="690"/>
      <c r="J84" s="690"/>
      <c r="K84" s="690"/>
      <c r="L84" s="690"/>
      <c r="M84" s="690"/>
    </row>
    <row r="85" spans="1:239" customHeight="1" ht="21">
      <c r="A85" s="690"/>
      <c r="B85" s="690"/>
      <c r="C85" s="690"/>
      <c r="D85" s="690"/>
      <c r="E85" s="690"/>
      <c r="F85" s="690"/>
      <c r="G85" s="690"/>
      <c r="H85" s="690"/>
      <c r="I85" s="690"/>
      <c r="J85" s="690"/>
      <c r="K85" s="690"/>
      <c r="L85" s="690"/>
      <c r="M85" s="690"/>
    </row>
    <row r="86" spans="1:239" customHeight="1" ht="21">
      <c r="A86" s="690"/>
      <c r="B86" s="690"/>
      <c r="C86" s="690"/>
      <c r="D86" s="690"/>
      <c r="E86" s="690"/>
      <c r="F86" s="690"/>
      <c r="G86" s="690"/>
      <c r="H86" s="690"/>
      <c r="I86" s="690"/>
      <c r="J86" s="690"/>
      <c r="K86" s="690"/>
      <c r="L86" s="690"/>
      <c r="M86" s="690"/>
    </row>
    <row r="87" spans="1:239" customHeight="1" ht="21">
      <c r="A87" s="690"/>
      <c r="B87" s="690"/>
      <c r="C87" s="690"/>
      <c r="D87" s="690"/>
      <c r="E87" s="690"/>
      <c r="F87" s="690"/>
      <c r="G87" s="690"/>
      <c r="H87" s="690"/>
      <c r="I87" s="690"/>
      <c r="J87" s="690"/>
      <c r="K87" s="690"/>
      <c r="L87" s="690"/>
      <c r="M87" s="690"/>
    </row>
    <row r="88" spans="1:239" customHeight="1" ht="21">
      <c r="A88" s="690"/>
      <c r="B88" s="690"/>
      <c r="C88" s="690"/>
      <c r="D88" s="690"/>
      <c r="E88" s="690"/>
      <c r="F88" s="690"/>
      <c r="G88" s="690"/>
      <c r="H88" s="690"/>
      <c r="I88" s="690"/>
      <c r="J88" s="690"/>
      <c r="K88" s="690"/>
      <c r="L88" s="690"/>
      <c r="M88" s="690"/>
    </row>
    <row r="89" spans="1:239" customHeight="1" ht="21">
      <c r="A89" s="690"/>
      <c r="B89" s="690"/>
      <c r="C89" s="690"/>
      <c r="D89" s="690"/>
      <c r="E89" s="690"/>
      <c r="F89" s="690"/>
      <c r="G89" s="690"/>
      <c r="H89" s="690"/>
      <c r="I89" s="690"/>
      <c r="J89" s="690"/>
      <c r="K89" s="690"/>
      <c r="L89" s="690"/>
      <c r="M89" s="690"/>
    </row>
    <row r="90" spans="1:239" customHeight="1" ht="21">
      <c r="A90" s="690"/>
      <c r="B90" s="690"/>
      <c r="C90" s="690"/>
      <c r="D90" s="690"/>
      <c r="E90" s="690"/>
      <c r="F90" s="690"/>
      <c r="G90" s="690"/>
      <c r="H90" s="690"/>
      <c r="I90" s="690"/>
      <c r="J90" s="690"/>
      <c r="K90" s="690"/>
      <c r="L90" s="690"/>
      <c r="M90" s="690"/>
    </row>
    <row r="91" spans="1:239" customHeight="1" ht="21">
      <c r="A91" s="690"/>
      <c r="B91" s="690"/>
      <c r="C91" s="690"/>
      <c r="D91" s="690"/>
      <c r="E91" s="690"/>
      <c r="F91" s="690"/>
      <c r="G91" s="690"/>
      <c r="H91" s="690"/>
      <c r="I91" s="690"/>
      <c r="J91" s="690"/>
      <c r="K91" s="690"/>
      <c r="L91" s="690"/>
      <c r="M91" s="690"/>
    </row>
    <row r="92" spans="1:239" customHeight="1" ht="21">
      <c r="A92" s="690"/>
      <c r="B92" s="690"/>
      <c r="C92" s="690"/>
      <c r="D92" s="690"/>
      <c r="E92" s="690"/>
      <c r="F92" s="690"/>
      <c r="G92" s="690"/>
      <c r="H92" s="690"/>
      <c r="I92" s="690"/>
      <c r="J92" s="690"/>
      <c r="K92" s="690"/>
      <c r="L92" s="690"/>
      <c r="M92" s="690"/>
    </row>
    <row r="93" spans="1:239" customHeight="1" ht="21">
      <c r="A93" s="690"/>
      <c r="B93" s="690"/>
      <c r="C93" s="690"/>
      <c r="D93" s="690"/>
      <c r="E93" s="690"/>
      <c r="F93" s="690"/>
      <c r="G93" s="690"/>
      <c r="H93" s="690"/>
      <c r="I93" s="690"/>
      <c r="J93" s="690"/>
      <c r="K93" s="690"/>
      <c r="L93" s="690"/>
      <c r="M93" s="690"/>
    </row>
    <row r="94" spans="1:239" customHeight="1" ht="21">
      <c r="A94" s="690"/>
      <c r="B94" s="690"/>
      <c r="C94" s="690"/>
      <c r="D94" s="690"/>
      <c r="E94" s="690"/>
      <c r="F94" s="690"/>
      <c r="G94" s="690"/>
      <c r="H94" s="690"/>
      <c r="I94" s="690"/>
      <c r="J94" s="690"/>
      <c r="K94" s="690"/>
      <c r="L94" s="690"/>
      <c r="M94" s="690"/>
    </row>
    <row r="95" spans="1:239" customHeight="1" ht="21">
      <c r="A95" s="690"/>
      <c r="B95" s="690"/>
      <c r="C95" s="690"/>
      <c r="D95" s="690"/>
      <c r="E95" s="690"/>
      <c r="F95" s="690"/>
      <c r="G95" s="690"/>
      <c r="H95" s="690"/>
      <c r="I95" s="690"/>
      <c r="J95" s="690"/>
      <c r="K95" s="690"/>
      <c r="L95" s="690"/>
      <c r="M95" s="690"/>
    </row>
    <row r="96" spans="1:239" customHeight="1" ht="21">
      <c r="A96" s="690"/>
      <c r="B96" s="690"/>
      <c r="C96" s="690"/>
      <c r="D96" s="690"/>
      <c r="E96" s="690"/>
      <c r="F96" s="690"/>
      <c r="G96" s="690"/>
      <c r="H96" s="690"/>
      <c r="I96" s="690"/>
      <c r="J96" s="690"/>
      <c r="K96" s="690"/>
      <c r="L96" s="690"/>
      <c r="M96" s="690"/>
    </row>
    <row r="97" spans="1:239" customHeight="1" ht="21">
      <c r="A97" s="690"/>
      <c r="B97" s="690"/>
      <c r="C97" s="690"/>
      <c r="D97" s="690"/>
      <c r="E97" s="690"/>
      <c r="F97" s="690"/>
      <c r="G97" s="690"/>
      <c r="H97" s="690"/>
      <c r="I97" s="690"/>
      <c r="J97" s="690"/>
      <c r="K97" s="690"/>
      <c r="L97" s="690"/>
      <c r="M97" s="690"/>
    </row>
    <row r="98" spans="1:239" customHeight="1" ht="21">
      <c r="A98" s="690"/>
      <c r="B98" s="690"/>
      <c r="C98" s="690"/>
      <c r="D98" s="690"/>
      <c r="E98" s="690"/>
      <c r="F98" s="690"/>
      <c r="G98" s="690"/>
      <c r="H98" s="690"/>
      <c r="I98" s="690"/>
      <c r="J98" s="690"/>
      <c r="K98" s="690"/>
      <c r="L98" s="690"/>
      <c r="M98" s="690"/>
    </row>
    <row r="99" spans="1:239" customHeight="1" ht="21">
      <c r="A99" s="690"/>
      <c r="B99" s="690"/>
      <c r="C99" s="690"/>
      <c r="D99" s="690"/>
      <c r="E99" s="690"/>
      <c r="F99" s="690"/>
      <c r="G99" s="690"/>
      <c r="H99" s="690"/>
      <c r="I99" s="690"/>
      <c r="J99" s="690"/>
      <c r="K99" s="690"/>
      <c r="L99" s="690"/>
      <c r="M99" s="690"/>
    </row>
    <row r="100" spans="1:239" customHeight="1" ht="21">
      <c r="A100" s="690"/>
      <c r="B100" s="690"/>
      <c r="C100" s="690"/>
      <c r="D100" s="690"/>
      <c r="E100" s="690"/>
      <c r="F100" s="690"/>
      <c r="G100" s="690"/>
      <c r="H100" s="690"/>
      <c r="I100" s="690"/>
      <c r="J100" s="690"/>
      <c r="K100" s="690"/>
      <c r="L100" s="690"/>
      <c r="M100" s="690"/>
    </row>
    <row r="101" spans="1:239" customHeight="1" ht="21">
      <c r="A101" s="690"/>
      <c r="B101" s="690"/>
      <c r="C101" s="690"/>
      <c r="D101" s="690"/>
      <c r="E101" s="690"/>
      <c r="F101" s="690"/>
      <c r="G101" s="690"/>
      <c r="H101" s="690"/>
      <c r="I101" s="690"/>
      <c r="J101" s="690"/>
      <c r="K101" s="690"/>
      <c r="L101" s="690"/>
      <c r="M101" s="690"/>
    </row>
    <row r="102" spans="1:239" customHeight="1" ht="21">
      <c r="A102" s="690"/>
      <c r="B102" s="690"/>
      <c r="C102" s="690"/>
      <c r="D102" s="690"/>
      <c r="E102" s="690"/>
      <c r="F102" s="690"/>
      <c r="G102" s="690"/>
      <c r="H102" s="690"/>
      <c r="I102" s="690"/>
      <c r="J102" s="690"/>
      <c r="K102" s="690"/>
      <c r="L102" s="690"/>
      <c r="M102" s="690"/>
    </row>
    <row r="103" spans="1:239" customHeight="1" ht="21">
      <c r="A103" s="690"/>
      <c r="B103" s="690"/>
      <c r="C103" s="690"/>
      <c r="D103" s="690"/>
      <c r="E103" s="690"/>
      <c r="F103" s="690"/>
      <c r="G103" s="690"/>
      <c r="H103" s="690"/>
      <c r="I103" s="690"/>
      <c r="J103" s="690"/>
      <c r="K103" s="690"/>
      <c r="L103" s="690"/>
      <c r="M103" s="690"/>
    </row>
    <row r="104" spans="1:239" customHeight="1" ht="21">
      <c r="A104" s="690"/>
      <c r="B104" s="690"/>
      <c r="C104" s="690"/>
      <c r="D104" s="690"/>
      <c r="E104" s="690"/>
      <c r="F104" s="690"/>
      <c r="G104" s="690"/>
      <c r="H104" s="690"/>
      <c r="I104" s="690"/>
      <c r="J104" s="690"/>
      <c r="K104" s="690"/>
      <c r="L104" s="690"/>
      <c r="M104" s="690"/>
    </row>
    <row r="105" spans="1:239" customHeight="1" ht="21">
      <c r="A105" s="690"/>
      <c r="B105" s="690"/>
      <c r="C105" s="690"/>
      <c r="D105" s="690"/>
      <c r="E105" s="690"/>
      <c r="F105" s="690"/>
      <c r="G105" s="690"/>
      <c r="H105" s="690"/>
      <c r="I105" s="690"/>
      <c r="J105" s="690"/>
      <c r="K105" s="690"/>
      <c r="L105" s="690"/>
      <c r="M105" s="690"/>
    </row>
    <row r="106" spans="1:239" customHeight="1" ht="21">
      <c r="A106" s="690"/>
      <c r="B106" s="690"/>
      <c r="C106" s="690"/>
      <c r="D106" s="690"/>
      <c r="E106" s="690"/>
      <c r="F106" s="690"/>
      <c r="G106" s="690"/>
      <c r="H106" s="690"/>
      <c r="I106" s="690"/>
      <c r="J106" s="690"/>
      <c r="K106" s="690"/>
      <c r="L106" s="690"/>
      <c r="M106" s="690"/>
    </row>
    <row r="107" spans="1:239" customHeight="1" ht="21">
      <c r="A107" s="690"/>
      <c r="B107" s="690"/>
      <c r="C107" s="690"/>
      <c r="D107" s="690"/>
      <c r="E107" s="690"/>
      <c r="F107" s="690"/>
      <c r="G107" s="690"/>
      <c r="H107" s="690"/>
      <c r="I107" s="690"/>
      <c r="J107" s="690"/>
      <c r="K107" s="690"/>
      <c r="L107" s="690"/>
      <c r="M107" s="690"/>
    </row>
    <row r="108" spans="1:239" customHeight="1" ht="21">
      <c r="A108" s="690"/>
      <c r="B108" s="690"/>
      <c r="C108" s="690"/>
      <c r="D108" s="690"/>
      <c r="E108" s="690"/>
      <c r="F108" s="690"/>
      <c r="G108" s="690"/>
      <c r="H108" s="690"/>
      <c r="I108" s="690"/>
      <c r="J108" s="690"/>
      <c r="K108" s="690"/>
      <c r="L108" s="690"/>
      <c r="M108" s="690"/>
    </row>
    <row r="109" spans="1:239" customHeight="1" ht="21">
      <c r="A109" s="690"/>
      <c r="B109" s="690"/>
      <c r="C109" s="690"/>
      <c r="D109" s="690"/>
      <c r="E109" s="690"/>
      <c r="F109" s="690"/>
      <c r="G109" s="690"/>
      <c r="H109" s="690"/>
      <c r="I109" s="690"/>
      <c r="J109" s="690"/>
      <c r="K109" s="690"/>
      <c r="L109" s="690"/>
      <c r="M109" s="690"/>
    </row>
    <row r="110" spans="1:239" customHeight="1" ht="21">
      <c r="A110" s="690"/>
      <c r="B110" s="690"/>
      <c r="C110" s="690"/>
      <c r="D110" s="690"/>
      <c r="E110" s="690"/>
      <c r="F110" s="690"/>
      <c r="G110" s="690"/>
      <c r="H110" s="690"/>
      <c r="I110" s="690"/>
      <c r="J110" s="690"/>
      <c r="K110" s="690"/>
      <c r="L110" s="690"/>
      <c r="M110" s="690"/>
    </row>
    <row r="111" spans="1:239" customHeight="1" ht="21"/>
    <row r="112" spans="1:239" customHeight="1" ht="21"/>
    <row r="113" spans="1:239" customHeight="1" ht="21"/>
    <row r="114" spans="1:239" customHeight="1" ht="21"/>
    <row r="115" spans="1:239" customHeight="1" ht="21"/>
    <row r="116" spans="1:239" customHeight="1" ht="21"/>
    <row r="117" spans="1:239" customHeight="1" ht="21"/>
    <row r="118" spans="1:239" customHeight="1" ht="21"/>
    <row r="119" spans="1:239" customHeight="1" ht="21"/>
    <row r="120" spans="1:239" customHeight="1" ht="21"/>
    <row r="121" spans="1:239" customHeight="1" ht="21"/>
    <row r="122" spans="1:239" customHeight="1" ht="21"/>
    <row r="123" spans="1:239" customHeight="1" ht="21"/>
    <row r="124" spans="1:239" customHeight="1" ht="21"/>
    <row r="125" spans="1:239" customHeight="1" ht="21"/>
    <row r="126" spans="1:239" customHeight="1" ht="21"/>
    <row r="127" spans="1:239" customHeight="1" ht="21"/>
    <row r="128" spans="1:239" customHeight="1" ht="21"/>
    <row r="129" spans="1:239" customHeight="1" ht="21"/>
    <row r="130" spans="1:239" customHeight="1" ht="21"/>
    <row r="131" spans="1:239" customHeight="1" ht="21"/>
    <row r="132" spans="1:239" customHeight="1" ht="21"/>
    <row r="133" spans="1:239" customHeight="1" ht="21"/>
    <row r="134" spans="1:239" customHeight="1" ht="21"/>
    <row r="135" spans="1:239" customHeight="1" ht="21"/>
    <row r="136" spans="1:239" customHeight="1" ht="21"/>
    <row r="137" spans="1:239" customHeight="1" ht="21"/>
    <row r="138" spans="1:239" customHeight="1" ht="21"/>
    <row r="139" spans="1:239" customHeight="1" ht="21"/>
    <row r="140" spans="1:239" customHeight="1" ht="21"/>
    <row r="141" spans="1:239" customHeight="1" ht="21"/>
    <row r="142" spans="1:239" customHeight="1" ht="21"/>
    <row r="143" spans="1:239" customHeight="1" ht="21"/>
    <row r="144" spans="1:239" customHeight="1" ht="21"/>
    <row r="145" spans="1:239" customHeight="1" ht="21"/>
    <row r="146" spans="1:239" customHeight="1" ht="21"/>
    <row r="147" spans="1:239" customHeight="1" ht="21"/>
    <row r="148" spans="1:239" customHeight="1" ht="21"/>
    <row r="149" spans="1:239" customHeight="1" ht="21"/>
    <row r="150" spans="1:239" customHeight="1" ht="21"/>
    <row r="151" spans="1:239" customHeight="1" ht="21"/>
    <row r="152" spans="1:239" customHeight="1" ht="21"/>
    <row r="153" spans="1:239" customHeight="1" ht="21"/>
    <row r="154" spans="1:239" customHeight="1" ht="21"/>
    <row r="155" spans="1:239" customHeight="1" ht="21"/>
    <row r="156" spans="1:239" customHeight="1" ht="21"/>
    <row r="157" spans="1:239" customHeight="1" ht="21"/>
    <row r="158" spans="1:239" customHeight="1" ht="21"/>
    <row r="159" spans="1:239" customHeight="1" ht="21"/>
    <row r="160" spans="1:239" customHeight="1" ht="21"/>
    <row r="161" spans="1:239" customHeight="1" ht="21"/>
    <row r="162" spans="1:239" customHeight="1" ht="21"/>
    <row r="163" spans="1:239" customHeight="1" ht="21"/>
    <row r="164" spans="1:239" customHeight="1" ht="21"/>
    <row r="165" spans="1:239" customHeight="1" ht="21"/>
    <row r="166" spans="1:239" customHeight="1" ht="21"/>
    <row r="167" spans="1:239" customHeight="1" ht="21"/>
    <row r="168" spans="1:239" customHeight="1" ht="21"/>
    <row r="169" spans="1:239" customHeight="1" ht="21"/>
    <row r="170" spans="1:239" customHeight="1" ht="21"/>
    <row r="171" spans="1:239" customHeight="1" ht="21"/>
    <row r="172" spans="1:239" customHeight="1" ht="21"/>
    <row r="173" spans="1:239" customHeight="1" ht="21"/>
    <row r="174" spans="1:239" customHeight="1" ht="21"/>
    <row r="175" spans="1:239" customHeight="1" ht="21"/>
    <row r="176" spans="1:239" customHeight="1" ht="21"/>
    <row r="177" spans="1:239" customHeight="1" ht="21"/>
    <row r="178" spans="1:239" customHeight="1" ht="21"/>
    <row r="179" spans="1:239" customHeight="1" ht="21"/>
    <row r="180" spans="1:239" customHeight="1" ht="21"/>
    <row r="181" spans="1:239" customHeight="1" ht="21"/>
    <row r="182" spans="1:239" customHeight="1" ht="21"/>
    <row r="183" spans="1:239" customHeight="1" ht="21"/>
    <row r="184" spans="1:239" customHeight="1" ht="21"/>
    <row r="185" spans="1:239" customHeight="1" ht="21"/>
    <row r="186" spans="1:239" customHeight="1" ht="21"/>
    <row r="187" spans="1:239" customHeight="1" ht="21"/>
    <row r="188" spans="1:239" customHeight="1" ht="21"/>
    <row r="189" spans="1:239" customHeight="1" ht="21"/>
    <row r="190" spans="1:239" customHeight="1" ht="21"/>
    <row r="191" spans="1:239" customHeight="1" ht="21"/>
    <row r="192" spans="1:239" customHeight="1" ht="21"/>
    <row r="193" spans="1:239" customHeight="1" ht="21"/>
    <row r="194" spans="1:239" customHeight="1" ht="21"/>
    <row r="195" spans="1:239" customHeight="1" ht="21"/>
    <row r="196" spans="1:239" customHeight="1" ht="21"/>
    <row r="197" spans="1:239" customHeight="1" ht="21"/>
    <row r="198" spans="1:239" customHeight="1" ht="21"/>
    <row r="199" spans="1:239" customHeight="1" ht="21"/>
    <row r="200" spans="1:239" customHeight="1" ht="21"/>
    <row r="201" spans="1:239" customHeight="1" ht="21"/>
    <row r="202" spans="1:239" customHeight="1" ht="21"/>
    <row r="203" spans="1:239" customHeight="1" ht="21"/>
    <row r="204" spans="1:239" customHeight="1" ht="21"/>
    <row r="205" spans="1:239" customHeight="1" ht="21"/>
    <row r="206" spans="1:239" customHeight="1" ht="21"/>
    <row r="207" spans="1:239" customHeight="1" ht="21"/>
    <row r="208" spans="1:239" customHeight="1" ht="21"/>
    <row r="209" spans="1:239" customHeight="1" ht="21"/>
    <row r="210" spans="1:239" customHeight="1" ht="21"/>
    <row r="211" spans="1:239" customHeight="1" ht="21"/>
    <row r="212" spans="1:239" customHeight="1" ht="21"/>
    <row r="213" spans="1:239" customHeight="1" ht="21"/>
    <row r="214" spans="1:239" customHeight="1" ht="21"/>
    <row r="215" spans="1:239" customHeight="1" ht="21"/>
    <row r="216" spans="1:239" customHeight="1" ht="21"/>
    <row r="217" spans="1:239" customHeight="1" ht="21"/>
    <row r="218" spans="1:239" customHeight="1" ht="21"/>
    <row r="219" spans="1:239" customHeight="1" ht="21"/>
    <row r="220" spans="1:239" customHeight="1" ht="21"/>
    <row r="221" spans="1:239" customHeight="1" ht="21"/>
    <row r="222" spans="1:239" customHeight="1" ht="21"/>
    <row r="223" spans="1:239" customHeight="1" ht="21"/>
    <row r="224" spans="1:239" customHeight="1" ht="21"/>
    <row r="225" spans="1:239" customHeight="1" ht="21"/>
    <row r="226" spans="1:239" customHeight="1" ht="21"/>
    <row r="227" spans="1:239" customHeight="1" ht="21"/>
    <row r="228" spans="1:239" customHeight="1" ht="21"/>
    <row r="229" spans="1:239" customHeight="1" ht="21"/>
    <row r="230" spans="1:239" customHeight="1" ht="21"/>
    <row r="231" spans="1:239" customHeight="1" ht="21"/>
    <row r="232" spans="1:239" customHeight="1" ht="21"/>
    <row r="233" spans="1:239" customHeight="1" ht="21"/>
    <row r="234" spans="1:239" customHeight="1" ht="21"/>
    <row r="235" spans="1:239" customHeight="1" ht="21"/>
    <row r="236" spans="1:239" customHeight="1" ht="21"/>
    <row r="237" spans="1:239" customHeight="1" ht="21"/>
    <row r="238" spans="1:239" customHeight="1" ht="21"/>
    <row r="239" spans="1:239" customHeight="1" ht="21"/>
    <row r="240" spans="1:239" customHeight="1" ht="21"/>
    <row r="241" spans="1:239" customHeight="1" ht="21"/>
    <row r="242" spans="1:239" customHeight="1" ht="21"/>
    <row r="243" spans="1:239" customHeight="1" ht="21"/>
    <row r="244" spans="1:239" customHeight="1" ht="21"/>
    <row r="245" spans="1:239" customHeight="1" ht="21"/>
    <row r="246" spans="1:239" customHeight="1" ht="21"/>
    <row r="247" spans="1:239" customHeight="1" ht="21"/>
    <row r="248" spans="1:239" customHeight="1" ht="21"/>
    <row r="249" spans="1:239" customHeight="1" ht="21"/>
    <row r="250" spans="1:239" customHeight="1" ht="21"/>
    <row r="251" spans="1:239" customHeight="1" ht="21"/>
    <row r="252" spans="1:239" customHeight="1" ht="21"/>
    <row r="253" spans="1:239" customHeight="1" ht="21"/>
    <row r="254" spans="1:239" customHeight="1" ht="21"/>
    <row r="255" spans="1:239" customHeight="1" ht="21"/>
    <row r="256" spans="1:239" customHeight="1" ht="21"/>
    <row r="257" spans="1:239" customHeight="1" ht="21"/>
    <row r="258" spans="1:239" customHeight="1" ht="21"/>
    <row r="259" spans="1:239" customHeight="1" ht="21"/>
    <row r="260" spans="1:239" customHeight="1" ht="21"/>
    <row r="261" spans="1:239" customHeight="1" ht="21"/>
    <row r="262" spans="1:239" customHeight="1" ht="21"/>
    <row r="263" spans="1:239" customHeight="1" ht="21"/>
    <row r="264" spans="1:239" customHeight="1" ht="21"/>
    <row r="265" spans="1:239" customHeight="1" ht="21"/>
    <row r="266" spans="1:239" customHeight="1" ht="21"/>
    <row r="267" spans="1:239" customHeight="1" ht="21"/>
    <row r="268" spans="1:239" customHeight="1" ht="21"/>
    <row r="269" spans="1:239" customHeight="1" ht="21"/>
    <row r="270" spans="1:239" customHeight="1" ht="21"/>
    <row r="271" spans="1:239" customHeight="1" ht="21"/>
    <row r="272" spans="1:239" customHeight="1" ht="21"/>
    <row r="273" spans="1:239" customHeight="1" ht="21"/>
    <row r="274" spans="1:239" customHeight="1" ht="21"/>
    <row r="275" spans="1:239" customHeight="1" ht="21"/>
    <row r="276" spans="1:239" customHeight="1" ht="21"/>
    <row r="277" spans="1:239" customHeight="1" ht="21"/>
    <row r="278" spans="1:239" customHeight="1" ht="21"/>
    <row r="279" spans="1:239" customHeight="1" ht="21"/>
    <row r="280" spans="1:239" customHeight="1" ht="21"/>
    <row r="281" spans="1:239" customHeight="1" ht="21"/>
    <row r="282" spans="1:239" customHeight="1" ht="21"/>
    <row r="283" spans="1:239" customHeight="1" ht="21"/>
    <row r="284" spans="1:239" customHeight="1" ht="21"/>
    <row r="285" spans="1:239" customHeight="1" ht="21"/>
    <row r="286" spans="1:239" customHeight="1" ht="21"/>
    <row r="287" spans="1:239" customHeight="1" ht="21"/>
    <row r="288" spans="1:239" customHeight="1" ht="21"/>
    <row r="289" spans="1:239" customHeight="1" ht="21"/>
    <row r="290" spans="1:239" customHeight="1" ht="21"/>
    <row r="291" spans="1:239" customHeight="1" ht="21"/>
    <row r="292" spans="1:239" customHeight="1" ht="21"/>
    <row r="293" spans="1:239" customHeight="1" ht="21"/>
    <row r="294" spans="1:239" customHeight="1" ht="21"/>
    <row r="295" spans="1:239" customHeight="1" ht="21"/>
    <row r="296" spans="1:239" customHeight="1" ht="21"/>
    <row r="297" spans="1:239" customHeight="1" ht="21"/>
    <row r="298" spans="1:239" customHeight="1" ht="21"/>
    <row r="299" spans="1:239" customHeight="1" ht="21"/>
    <row r="300" spans="1:239" customHeight="1" ht="21"/>
    <row r="301" spans="1:239" customHeight="1" ht="21"/>
    <row r="302" spans="1:239" customHeight="1" ht="21"/>
    <row r="303" spans="1:239" customHeight="1" ht="21"/>
    <row r="304" spans="1:239" customHeight="1" ht="21"/>
    <row r="305" spans="1:239" customHeight="1" ht="21"/>
    <row r="306" spans="1:239" customHeight="1" ht="21"/>
    <row r="307" spans="1:239" customHeight="1" ht="21"/>
    <row r="308" spans="1:239" customHeight="1" ht="21"/>
    <row r="309" spans="1:239" customHeight="1" ht="21"/>
    <row r="310" spans="1:239" customHeight="1" ht="21"/>
    <row r="311" spans="1:239" customHeight="1" ht="21"/>
    <row r="312" spans="1:239" customHeight="1" ht="21"/>
    <row r="313" spans="1:239" customHeight="1" ht="21"/>
    <row r="314" spans="1:239" customHeight="1" ht="21"/>
    <row r="315" spans="1:239" customHeight="1" ht="21"/>
    <row r="316" spans="1:239" customHeight="1" ht="21"/>
    <row r="317" spans="1:239" customHeight="1" ht="21"/>
    <row r="318" spans="1:239" customHeight="1" ht="21"/>
    <row r="319" spans="1:239" customHeight="1" ht="21"/>
    <row r="320" spans="1:239" customHeight="1" ht="21"/>
    <row r="321" spans="1:239" customHeight="1" ht="21"/>
    <row r="322" spans="1:239" customHeight="1" ht="21"/>
    <row r="323" spans="1:239" customHeight="1" ht="21"/>
    <row r="324" spans="1:239" customHeight="1" ht="21"/>
    <row r="325" spans="1:239" customHeight="1" ht="21"/>
    <row r="326" spans="1:239" customHeight="1" ht="21"/>
    <row r="327" spans="1:239" customHeight="1" ht="21"/>
    <row r="328" spans="1:239" customHeight="1" ht="21"/>
    <row r="329" spans="1:239" customHeight="1" ht="21"/>
    <row r="330" spans="1:239" customHeight="1" ht="21"/>
    <row r="331" spans="1:239" customHeight="1" ht="21"/>
    <row r="332" spans="1:239" customHeight="1" ht="21"/>
    <row r="333" spans="1:239" customHeight="1" ht="21"/>
    <row r="334" spans="1:239" customHeight="1" ht="21"/>
    <row r="335" spans="1:239" customHeight="1" ht="21"/>
    <row r="336" spans="1:239" customHeight="1" ht="21"/>
    <row r="337" spans="1:239" customHeight="1" ht="21"/>
    <row r="338" spans="1:239" customHeight="1" ht="21"/>
    <row r="339" spans="1:239" customHeight="1" ht="21"/>
    <row r="340" spans="1:239" customHeight="1" ht="21"/>
    <row r="341" spans="1:239" customHeight="1" ht="21"/>
    <row r="342" spans="1:239" customHeight="1" ht="21"/>
    <row r="343" spans="1:239" customHeight="1" ht="21"/>
    <row r="344" spans="1:239" customHeight="1" ht="21"/>
    <row r="345" spans="1:239" customHeight="1" ht="21"/>
    <row r="346" spans="1:239" customHeight="1" ht="21"/>
    <row r="347" spans="1:239" customHeight="1" ht="21"/>
    <row r="348" spans="1:239" customHeight="1" ht="21"/>
    <row r="349" spans="1:239" customHeight="1" ht="21"/>
    <row r="350" spans="1:239" customHeight="1" ht="21"/>
    <row r="351" spans="1:239" customHeight="1" ht="21"/>
    <row r="352" spans="1:239" customHeight="1" ht="21"/>
    <row r="353" spans="1:239" customHeight="1" ht="21"/>
    <row r="354" spans="1:239" customHeight="1" ht="21"/>
    <row r="355" spans="1:239" customHeight="1" ht="21"/>
    <row r="356" spans="1:239" customHeight="1" ht="21"/>
    <row r="357" spans="1:239" customHeight="1" ht="21"/>
    <row r="358" spans="1:239" customHeight="1" ht="21"/>
    <row r="359" spans="1:239" customHeight="1" ht="21"/>
    <row r="360" spans="1:239" customHeight="1" ht="21"/>
    <row r="361" spans="1:239" customHeight="1" ht="21"/>
    <row r="362" spans="1:239" customHeight="1" ht="21"/>
    <row r="363" spans="1:239" customHeight="1" ht="21"/>
    <row r="364" spans="1:239" customHeight="1" ht="21"/>
    <row r="365" spans="1:239" customHeight="1" ht="21"/>
    <row r="366" spans="1:239" customHeight="1" ht="21"/>
    <row r="367" spans="1:239" customHeight="1" ht="21"/>
    <row r="368" spans="1:239" customHeight="1" ht="21"/>
    <row r="369" spans="1:239" customHeight="1" ht="21"/>
    <row r="370" spans="1:239" customHeight="1" ht="21"/>
    <row r="371" spans="1:239" customHeight="1" ht="21"/>
    <row r="372" spans="1:239" customHeight="1" ht="21"/>
    <row r="373" spans="1:239" customHeight="1" ht="21"/>
    <row r="374" spans="1:239" customHeight="1" ht="21"/>
    <row r="375" spans="1:239" customHeight="1" ht="21"/>
    <row r="376" spans="1:239" customHeight="1" ht="21"/>
    <row r="377" spans="1:239" customHeight="1" ht="21"/>
    <row r="378" spans="1:239" customHeight="1" ht="21"/>
    <row r="379" spans="1:239" customHeight="1" ht="21"/>
    <row r="380" spans="1:239" customHeight="1" ht="21"/>
    <row r="381" spans="1:239" customHeight="1" ht="21"/>
    <row r="382" spans="1:239" customHeight="1" ht="21"/>
    <row r="383" spans="1:239" customHeight="1" ht="21"/>
    <row r="384" spans="1:239" customHeight="1" ht="21"/>
    <row r="385" spans="1:239" customHeight="1" ht="21"/>
    <row r="386" spans="1:239" customHeight="1" ht="21"/>
    <row r="387" spans="1:239" customHeight="1" ht="21"/>
    <row r="388" spans="1:239" customHeight="1" ht="21"/>
    <row r="389" spans="1:239" customHeight="1" ht="21"/>
    <row r="390" spans="1:239" customHeight="1" ht="21"/>
    <row r="391" spans="1:239" customHeight="1" ht="21"/>
    <row r="392" spans="1:239" customHeight="1" ht="21"/>
    <row r="393" spans="1:239" customHeight="1" ht="21"/>
    <row r="394" spans="1:239" customHeight="1" ht="21"/>
    <row r="395" spans="1:239" customHeight="1" ht="21"/>
    <row r="396" spans="1:239" customHeight="1" ht="21"/>
    <row r="397" spans="1:239" customHeight="1" ht="21"/>
    <row r="398" spans="1:239" customHeight="1" ht="21"/>
    <row r="399" spans="1:239" customHeight="1" ht="21"/>
    <row r="400" spans="1:239" customHeight="1" ht="21"/>
    <row r="401" spans="1:239" customHeight="1" ht="21"/>
    <row r="402" spans="1:239" customHeight="1" ht="21"/>
    <row r="403" spans="1:239" customHeight="1" ht="21"/>
    <row r="404" spans="1:239" customHeight="1" ht="21"/>
    <row r="405" spans="1:239" customHeight="1" ht="21"/>
    <row r="406" spans="1:239" customHeight="1" ht="21"/>
    <row r="407" spans="1:239" customHeight="1" ht="21"/>
    <row r="408" spans="1:239" customHeight="1" ht="21"/>
    <row r="409" spans="1:239" customHeight="1" ht="21"/>
    <row r="410" spans="1:239" customHeight="1" ht="21"/>
    <row r="411" spans="1:239" customHeight="1" ht="21"/>
    <row r="412" spans="1:239" customHeight="1" ht="21"/>
    <row r="413" spans="1:239" customHeight="1" ht="21"/>
    <row r="414" spans="1:239" customHeight="1" ht="21"/>
    <row r="415" spans="1:239" customHeight="1" ht="21"/>
    <row r="416" spans="1:239" customHeight="1" ht="21"/>
    <row r="417" spans="1:239" customHeight="1" ht="21"/>
    <row r="418" spans="1:239" customHeight="1" ht="21"/>
    <row r="419" spans="1:239" customHeight="1" ht="21"/>
    <row r="420" spans="1:239" customHeight="1" ht="21"/>
    <row r="421" spans="1:239" customHeight="1" ht="21"/>
    <row r="422" spans="1:239" customHeight="1" ht="21"/>
    <row r="423" spans="1:239" customHeight="1" ht="21"/>
    <row r="424" spans="1:239" customHeight="1" ht="21"/>
    <row r="425" spans="1:239" customHeight="1" ht="21"/>
    <row r="426" spans="1:239" customHeight="1" ht="21"/>
    <row r="427" spans="1:239" customHeight="1" ht="21"/>
    <row r="428" spans="1:239" customHeight="1" ht="21"/>
    <row r="429" spans="1:239" customHeight="1" ht="21"/>
    <row r="430" spans="1:239" customHeight="1" ht="21"/>
    <row r="431" spans="1:239" customHeight="1" ht="21"/>
    <row r="432" spans="1:239" customHeight="1" ht="21"/>
    <row r="433" spans="1:239" customHeight="1" ht="21"/>
    <row r="434" spans="1:239" customHeight="1" ht="21"/>
    <row r="435" spans="1:239" customHeight="1" ht="21"/>
    <row r="436" spans="1:239" customHeight="1" ht="21"/>
    <row r="437" spans="1:239" customHeight="1" ht="21"/>
    <row r="438" spans="1:239" customHeight="1" ht="21"/>
    <row r="439" spans="1:239" customHeight="1" ht="21"/>
    <row r="440" spans="1:239" customHeight="1" ht="21"/>
    <row r="441" spans="1:239" customHeight="1" ht="21"/>
    <row r="442" spans="1:239" customHeight="1" ht="21"/>
    <row r="443" spans="1:239" customHeight="1" ht="21"/>
    <row r="444" spans="1:239" customHeight="1" ht="21"/>
    <row r="445" spans="1:239" customHeight="1" ht="21"/>
    <row r="446" spans="1:239" customHeight="1" ht="21"/>
    <row r="447" spans="1:239" customHeight="1" ht="21"/>
    <row r="448" spans="1:239" customHeight="1" ht="21"/>
    <row r="449" spans="1:239" customHeight="1" ht="21"/>
    <row r="450" spans="1:239" customHeight="1" ht="21"/>
    <row r="451" spans="1:239" customHeight="1" ht="21"/>
    <row r="452" spans="1:239" customHeight="1" ht="21"/>
    <row r="453" spans="1:239" customHeight="1" ht="21"/>
    <row r="454" spans="1:239" customHeight="1" ht="21"/>
    <row r="455" spans="1:239" customHeight="1" ht="21"/>
    <row r="456" spans="1:239" customHeight="1" ht="21"/>
    <row r="457" spans="1:239" customHeight="1" ht="21"/>
    <row r="458" spans="1:239" customHeight="1" ht="21"/>
    <row r="459" spans="1:239" customHeight="1" ht="21"/>
    <row r="460" spans="1:239" customHeight="1" ht="21"/>
    <row r="461" spans="1:239" customHeight="1" ht="21"/>
    <row r="462" spans="1:239" customHeight="1" ht="21"/>
    <row r="463" spans="1:239" customHeight="1" ht="21"/>
    <row r="464" spans="1:239" customHeight="1" ht="21"/>
    <row r="465" spans="1:239" customHeight="1" ht="21"/>
    <row r="466" spans="1:239" customHeight="1" ht="21"/>
    <row r="467" spans="1:239" customHeight="1" ht="21"/>
    <row r="468" spans="1:239" customHeight="1" ht="21"/>
    <row r="469" spans="1:239" customHeight="1" ht="21"/>
    <row r="470" spans="1:239" customHeight="1" ht="21"/>
    <row r="471" spans="1:239" customHeight="1" ht="21"/>
    <row r="472" spans="1:239" customHeight="1" ht="21"/>
    <row r="473" spans="1:239" customHeight="1" ht="21"/>
    <row r="474" spans="1:239" customHeight="1" ht="21"/>
    <row r="475" spans="1:239" customHeight="1" ht="21"/>
    <row r="476" spans="1:239" customHeight="1" ht="21"/>
    <row r="477" spans="1:239" customHeight="1" ht="21"/>
    <row r="478" spans="1:239" customHeight="1" ht="21"/>
    <row r="479" spans="1:239" customHeight="1" ht="21"/>
    <row r="480" spans="1:239" customHeight="1" ht="21"/>
    <row r="481" spans="1:239" customHeight="1" ht="21"/>
    <row r="482" spans="1:239" customHeight="1" ht="21"/>
    <row r="483" spans="1:239" customHeight="1" ht="21"/>
    <row r="484" spans="1:239" customHeight="1" ht="21"/>
    <row r="485" spans="1:239" customHeight="1" ht="21"/>
    <row r="486" spans="1:239" customHeight="1" ht="21"/>
    <row r="487" spans="1:239" customHeight="1" ht="21"/>
    <row r="488" spans="1:239" customHeight="1" ht="21"/>
    <row r="489" spans="1:239" customHeight="1" ht="21"/>
    <row r="490" spans="1:239" customHeight="1" ht="21"/>
    <row r="491" spans="1:239" customHeight="1" ht="21"/>
    <row r="492" spans="1:239" customHeight="1" ht="21"/>
    <row r="493" spans="1:239" customHeight="1" ht="21"/>
    <row r="494" spans="1:239" customHeight="1" ht="21"/>
    <row r="495" spans="1:239" customHeight="1" ht="21"/>
    <row r="496" spans="1:239" customHeight="1" ht="21"/>
    <row r="497" spans="1:239" customHeight="1" ht="21"/>
    <row r="498" spans="1:239" customHeight="1" ht="21"/>
    <row r="499" spans="1:239" customHeight="1" ht="21"/>
    <row r="500" spans="1:239" customHeight="1" ht="21"/>
    <row r="501" spans="1:239" customHeight="1" ht="21"/>
    <row r="502" spans="1:239" customHeight="1" ht="21"/>
    <row r="503" spans="1:239" customHeight="1" ht="21"/>
    <row r="504" spans="1:239" customHeight="1" ht="21"/>
    <row r="505" spans="1:239" customHeight="1" ht="21"/>
    <row r="506" spans="1:239" customHeight="1" ht="21"/>
    <row r="507" spans="1:239" customHeight="1" ht="21"/>
    <row r="508" spans="1:239" customHeight="1" ht="21"/>
    <row r="509" spans="1:239" customHeight="1" ht="21"/>
    <row r="510" spans="1:239" customHeight="1" ht="21"/>
    <row r="511" spans="1:239" customHeight="1" ht="21"/>
    <row r="512" spans="1:239" customHeight="1" ht="21"/>
    <row r="513" spans="1:239" customHeight="1" ht="21"/>
    <row r="514" spans="1:239" customHeight="1" ht="21"/>
    <row r="515" spans="1:239" customHeight="1" ht="21"/>
    <row r="516" spans="1:239" customHeight="1" ht="21"/>
    <row r="517" spans="1:239" customHeight="1" ht="21"/>
    <row r="518" spans="1:239" customHeight="1" ht="21"/>
    <row r="519" spans="1:239" customHeight="1" ht="21"/>
    <row r="520" spans="1:239" customHeight="1" ht="21"/>
    <row r="521" spans="1:239" customHeight="1" ht="21"/>
    <row r="522" spans="1:239" customHeight="1" ht="21"/>
    <row r="523" spans="1:239" customHeight="1" ht="21"/>
    <row r="524" spans="1:239" customHeight="1" ht="21"/>
    <row r="525" spans="1:239" customHeight="1" ht="21"/>
    <row r="526" spans="1:239" customHeight="1" ht="21"/>
    <row r="527" spans="1:239" customHeight="1" ht="21"/>
    <row r="528" spans="1:239" customHeight="1" ht="21"/>
    <row r="529" spans="1:239" customHeight="1" ht="21"/>
    <row r="530" spans="1:239" customHeight="1" ht="21"/>
    <row r="531" spans="1:239" customHeight="1" ht="21"/>
    <row r="532" spans="1:239" customHeight="1" ht="21"/>
    <row r="533" spans="1:239" customHeight="1" ht="21"/>
    <row r="534" spans="1:239" customHeight="1" ht="21"/>
    <row r="535" spans="1:239" customHeight="1" ht="21"/>
    <row r="536" spans="1:239" customHeight="1" ht="21"/>
    <row r="537" spans="1:239" customHeight="1" ht="21"/>
    <row r="538" spans="1:239" customHeight="1" ht="21"/>
    <row r="539" spans="1:239" customHeight="1" ht="21"/>
    <row r="540" spans="1:239" customHeight="1" ht="21"/>
    <row r="541" spans="1:239" customHeight="1" ht="21"/>
    <row r="542" spans="1:239" customHeight="1" ht="21"/>
    <row r="543" spans="1:239" customHeight="1" ht="21"/>
    <row r="544" spans="1:239" customHeight="1" ht="21"/>
    <row r="545" spans="1:239" customHeight="1" ht="21"/>
    <row r="546" spans="1:239" customHeight="1" ht="21"/>
    <row r="547" spans="1:239" customHeight="1" ht="21"/>
    <row r="548" spans="1:239" customHeight="1" ht="21"/>
    <row r="549" spans="1:239" customHeight="1" ht="21"/>
    <row r="550" spans="1:239" customHeight="1" ht="21"/>
    <row r="551" spans="1:239" customHeight="1" ht="21"/>
    <row r="552" spans="1:239" customHeight="1" ht="21"/>
    <row r="553" spans="1:239" customHeight="1" ht="21"/>
    <row r="554" spans="1:239" customHeight="1" ht="21"/>
    <row r="555" spans="1:239" customHeight="1" ht="21"/>
    <row r="556" spans="1:239" customHeight="1" ht="21"/>
    <row r="557" spans="1:239" customHeight="1" ht="21"/>
    <row r="558" spans="1:239" customHeight="1" ht="21"/>
    <row r="559" spans="1:239" customHeight="1" ht="21"/>
    <row r="560" spans="1:239" customHeight="1" ht="21"/>
    <row r="561" spans="1:239" customHeight="1" ht="21"/>
    <row r="562" spans="1:239" customHeight="1" ht="21"/>
    <row r="563" spans="1:239" customHeight="1" ht="21"/>
    <row r="564" spans="1:239" customHeight="1" ht="21"/>
    <row r="565" spans="1:239" customHeight="1" ht="21"/>
    <row r="566" spans="1:239" customHeight="1" ht="21"/>
    <row r="567" spans="1:239" customHeight="1" ht="21"/>
    <row r="568" spans="1:239" customHeight="1" ht="21"/>
    <row r="569" spans="1:239" customHeight="1" ht="21"/>
    <row r="570" spans="1:239" customHeight="1" ht="21"/>
    <row r="571" spans="1:239" customHeight="1" ht="21"/>
    <row r="572" spans="1:239" customHeight="1" ht="21"/>
    <row r="573" spans="1:239" customHeight="1" ht="21"/>
    <row r="574" spans="1:239" customHeight="1" ht="21"/>
    <row r="575" spans="1:239" customHeight="1" ht="21"/>
    <row r="576" spans="1:239" customHeight="1" ht="21"/>
    <row r="577" spans="1:239" customHeight="1" ht="21"/>
    <row r="578" spans="1:239" customHeight="1" ht="21"/>
    <row r="579" spans="1:239" customHeight="1" ht="21"/>
    <row r="580" spans="1:239" customHeight="1" ht="21"/>
    <row r="581" spans="1:239" customHeight="1" ht="21"/>
    <row r="582" spans="1:239" customHeight="1" ht="21"/>
    <row r="583" spans="1:239" customHeight="1" ht="21"/>
    <row r="584" spans="1:239" customHeight="1" ht="21"/>
    <row r="585" spans="1:239" customHeight="1" ht="21"/>
    <row r="586" spans="1:239" customHeight="1" ht="21"/>
    <row r="587" spans="1:239" customHeight="1" ht="21"/>
    <row r="588" spans="1:239" customHeight="1" ht="21"/>
    <row r="589" spans="1:239" customHeight="1" ht="21"/>
    <row r="590" spans="1:239" customHeight="1" ht="21"/>
    <row r="591" spans="1:239" customHeight="1" ht="21"/>
    <row r="592" spans="1:239" customHeight="1" ht="21"/>
    <row r="593" spans="1:239" customHeight="1" ht="21"/>
    <row r="594" spans="1:239" customHeight="1" ht="21"/>
    <row r="595" spans="1:239" customHeight="1" ht="21"/>
    <row r="596" spans="1:239" customHeight="1" ht="21"/>
    <row r="597" spans="1:239" customHeight="1" ht="21"/>
    <row r="598" spans="1:239" customHeight="1" ht="21"/>
    <row r="599" spans="1:239" customHeight="1" ht="21"/>
    <row r="600" spans="1:239" customHeight="1" ht="21"/>
    <row r="601" spans="1:239" customHeight="1" ht="21"/>
    <row r="602" spans="1:239" customHeight="1" ht="21"/>
    <row r="603" spans="1:239" customHeight="1" ht="21"/>
    <row r="604" spans="1:239" customHeight="1" ht="21"/>
    <row r="605" spans="1:239" customHeight="1" ht="21"/>
    <row r="606" spans="1:239" customHeight="1" ht="21"/>
    <row r="607" spans="1:239" customHeight="1" ht="21"/>
    <row r="608" spans="1:239" customHeight="1" ht="21"/>
    <row r="609" spans="1:239" customHeight="1" ht="21"/>
    <row r="610" spans="1:239" customHeight="1" ht="21"/>
    <row r="611" spans="1:239" customHeight="1" ht="21"/>
    <row r="612" spans="1:239" customHeight="1" ht="21"/>
    <row r="613" spans="1:239" customHeight="1" ht="21"/>
    <row r="614" spans="1:239" customHeight="1" ht="21"/>
    <row r="615" spans="1:239" customHeight="1" ht="21"/>
    <row r="616" spans="1:239" customHeight="1" ht="21"/>
    <row r="617" spans="1:239" customHeight="1" ht="21"/>
    <row r="618" spans="1:239" customHeight="1" ht="21"/>
    <row r="619" spans="1:239" customHeight="1" ht="21"/>
    <row r="620" spans="1:239" customHeight="1" ht="21"/>
    <row r="621" spans="1:239" customHeight="1" ht="21"/>
    <row r="622" spans="1:239" customHeight="1" ht="21"/>
    <row r="623" spans="1:239" customHeight="1" ht="21"/>
    <row r="624" spans="1:239" customHeight="1" ht="21"/>
    <row r="625" spans="1:239" customHeight="1" ht="21"/>
    <row r="626" spans="1:239" customHeight="1" ht="21"/>
    <row r="627" spans="1:239" customHeight="1" ht="21"/>
    <row r="628" spans="1:239" customHeight="1" ht="21"/>
    <row r="629" spans="1:239" customHeight="1" ht="21"/>
    <row r="630" spans="1:239" customHeight="1" ht="21"/>
    <row r="631" spans="1:239" customHeight="1" ht="21"/>
    <row r="632" spans="1:239" customHeight="1" ht="21"/>
    <row r="633" spans="1:239" customHeight="1" ht="21"/>
    <row r="634" spans="1:239" customHeight="1" ht="21"/>
    <row r="635" spans="1:239" customHeight="1" ht="21"/>
    <row r="636" spans="1:239" customHeight="1" ht="21"/>
    <row r="637" spans="1:239" customHeight="1" ht="21"/>
    <row r="638" spans="1:239" customHeight="1" ht="21"/>
    <row r="639" spans="1:239" customHeight="1" ht="21"/>
    <row r="640" spans="1:239" customHeight="1" ht="21"/>
    <row r="641" spans="1:239" customHeight="1" ht="21"/>
    <row r="642" spans="1:239" customHeight="1" ht="21"/>
    <row r="643" spans="1:239" customHeight="1" ht="21"/>
    <row r="644" spans="1:239" customHeight="1" ht="21"/>
    <row r="645" spans="1:239" customHeight="1" ht="21"/>
    <row r="646" spans="1:239" customHeight="1" ht="21"/>
    <row r="647" spans="1:239" customHeight="1" ht="21"/>
    <row r="648" spans="1:239" customHeight="1" ht="21"/>
    <row r="649" spans="1:239" customHeight="1" ht="21"/>
    <row r="650" spans="1:239" customHeight="1" ht="21"/>
    <row r="651" spans="1:239" customHeight="1" ht="21"/>
    <row r="652" spans="1:239" customHeight="1" ht="21"/>
    <row r="653" spans="1:239" customHeight="1" ht="21"/>
    <row r="654" spans="1:239" customHeight="1" ht="21"/>
    <row r="655" spans="1:239" customHeight="1" ht="21"/>
    <row r="656" spans="1:239" customHeight="1" ht="21"/>
    <row r="657" spans="1:239" customHeight="1" ht="21"/>
    <row r="658" spans="1:239" customHeight="1" ht="21"/>
    <row r="659" spans="1:239" customHeight="1" ht="21"/>
    <row r="660" spans="1:239" customHeight="1" ht="21"/>
    <row r="661" spans="1:239" customHeight="1" ht="21"/>
    <row r="662" spans="1:239" customHeight="1" ht="21"/>
    <row r="663" spans="1:239" customHeight="1" ht="21"/>
    <row r="664" spans="1:239" customHeight="1" ht="21"/>
    <row r="665" spans="1:239" customHeight="1" ht="21"/>
    <row r="666" spans="1:239" customHeight="1" ht="21"/>
    <row r="667" spans="1:239" customHeight="1" ht="21"/>
    <row r="668" spans="1:239" customHeight="1" ht="21"/>
    <row r="669" spans="1:239" customHeight="1" ht="21"/>
    <row r="670" spans="1:239" customHeight="1" ht="21"/>
    <row r="671" spans="1:239" customHeight="1" ht="21"/>
    <row r="672" spans="1:239" customHeight="1" ht="21"/>
    <row r="673" spans="1:239" customHeight="1" ht="21"/>
    <row r="674" spans="1:239" customHeight="1" ht="21"/>
    <row r="675" spans="1:239" customHeight="1" ht="21"/>
    <row r="676" spans="1:239" customHeight="1" ht="21"/>
    <row r="677" spans="1:239" customHeight="1" ht="21"/>
    <row r="678" spans="1:239" customHeight="1" ht="21"/>
    <row r="679" spans="1:239" customHeight="1" ht="21"/>
    <row r="680" spans="1:239" customHeight="1" ht="21"/>
    <row r="681" spans="1:239" customHeight="1" ht="21"/>
    <row r="682" spans="1:239" customHeight="1" ht="21"/>
    <row r="683" spans="1:239" customHeight="1" ht="21"/>
    <row r="684" spans="1:239" customHeight="1" ht="21"/>
    <row r="685" spans="1:239" customHeight="1" ht="21"/>
    <row r="686" spans="1:239" customHeight="1" ht="21"/>
    <row r="687" spans="1:239" customHeight="1" ht="21"/>
    <row r="688" spans="1:239" customHeight="1" ht="21"/>
    <row r="689" spans="1:239" customHeight="1" ht="21"/>
    <row r="690" spans="1:239" customHeight="1" ht="21"/>
    <row r="691" spans="1:239" customHeight="1" ht="21"/>
    <row r="692" spans="1:239" customHeight="1" ht="21"/>
    <row r="693" spans="1:239" customHeight="1" ht="21"/>
    <row r="694" spans="1:239" customHeight="1" ht="21"/>
    <row r="695" spans="1:239" customHeight="1" ht="21"/>
    <row r="696" spans="1:239" customHeight="1" ht="21"/>
    <row r="697" spans="1:239" customHeight="1" ht="21"/>
    <row r="698" spans="1:239" customHeight="1" ht="21"/>
    <row r="699" spans="1:239" customHeight="1" ht="21"/>
    <row r="700" spans="1:239" customHeight="1" ht="21"/>
    <row r="701" spans="1:239" customHeight="1" ht="21"/>
    <row r="702" spans="1:239" customHeight="1" ht="21"/>
    <row r="703" spans="1:239" customHeight="1" ht="21"/>
    <row r="704" spans="1:239" customHeight="1" ht="21"/>
    <row r="705" spans="1:239" customHeight="1" ht="21"/>
    <row r="706" spans="1:239" customHeight="1" ht="21"/>
    <row r="707" spans="1:239" customHeight="1" ht="21"/>
    <row r="708" spans="1:239" customHeight="1" ht="21"/>
    <row r="709" spans="1:239" customHeight="1" ht="21"/>
    <row r="710" spans="1:239" customHeight="1" ht="21"/>
    <row r="711" spans="1:239" customHeight="1" ht="21"/>
    <row r="712" spans="1:239" customHeight="1" ht="21"/>
    <row r="713" spans="1:239" customHeight="1" ht="21"/>
    <row r="714" spans="1:239" customHeight="1" ht="21"/>
    <row r="715" spans="1:239" customHeight="1" ht="21"/>
    <row r="716" spans="1:239" customHeight="1" ht="21"/>
    <row r="717" spans="1:239" customHeight="1" ht="21"/>
    <row r="718" spans="1:239" customHeight="1" ht="21"/>
    <row r="719" spans="1:239" customHeight="1" ht="21"/>
    <row r="720" spans="1:239" customHeight="1" ht="21"/>
    <row r="721" spans="1:239" customHeight="1" ht="21"/>
    <row r="722" spans="1:239" customHeight="1" ht="21"/>
    <row r="723" spans="1:239" customHeight="1" ht="21"/>
    <row r="724" spans="1:239" customHeight="1" ht="21"/>
    <row r="725" spans="1:239" customHeight="1" ht="21"/>
    <row r="726" spans="1:239" customHeight="1" ht="21"/>
    <row r="727" spans="1:239" customHeight="1" ht="21"/>
    <row r="728" spans="1:239" customHeight="1" ht="21"/>
    <row r="729" spans="1:239" customHeight="1" ht="21"/>
    <row r="730" spans="1:239" customHeight="1" ht="21"/>
    <row r="731" spans="1:239" customHeight="1" ht="21"/>
    <row r="732" spans="1:239" customHeight="1" ht="21"/>
    <row r="733" spans="1:239" customHeight="1" ht="21"/>
    <row r="734" spans="1:239" customHeight="1" ht="21"/>
    <row r="735" spans="1:239" customHeight="1" ht="21"/>
    <row r="736" spans="1:239" customHeight="1" ht="21"/>
    <row r="737" spans="1:239" customHeight="1" ht="21"/>
    <row r="738" spans="1:239" customHeight="1" ht="21"/>
    <row r="739" spans="1:239" customHeight="1" ht="21"/>
    <row r="740" spans="1:239" customHeight="1" ht="21"/>
    <row r="741" spans="1:239" customHeight="1" ht="21"/>
    <row r="742" spans="1:239" customHeight="1" ht="21"/>
    <row r="743" spans="1:239" customHeight="1" ht="21"/>
    <row r="744" spans="1:239" customHeight="1" ht="21"/>
    <row r="745" spans="1:239" customHeight="1" ht="21"/>
    <row r="746" spans="1:239" customHeight="1" ht="21"/>
    <row r="747" spans="1:239" customHeight="1" ht="21"/>
    <row r="748" spans="1:239" customHeight="1" ht="21"/>
    <row r="749" spans="1:239" customHeight="1" ht="21"/>
    <row r="750" spans="1:239" customHeight="1" ht="21"/>
    <row r="751" spans="1:239" customHeight="1" ht="21"/>
    <row r="752" spans="1:239" customHeight="1" ht="21"/>
    <row r="753" spans="1:239" customHeight="1" ht="21"/>
    <row r="754" spans="1:239" customHeight="1" ht="21"/>
    <row r="755" spans="1:239" customHeight="1" ht="21"/>
    <row r="756" spans="1:239" customHeight="1" ht="21"/>
    <row r="757" spans="1:239" customHeight="1" ht="21"/>
    <row r="758" spans="1:239" customHeight="1" ht="21"/>
    <row r="759" spans="1:239" customHeight="1" ht="21"/>
    <row r="760" spans="1:239" customHeight="1" ht="21"/>
    <row r="761" spans="1:239" customHeight="1" ht="21"/>
    <row r="762" spans="1:239" customHeight="1" ht="21"/>
    <row r="763" spans="1:239" customHeight="1" ht="21"/>
    <row r="764" spans="1:239" customHeight="1" ht="21"/>
    <row r="765" spans="1:239" customHeight="1" ht="21"/>
    <row r="766" spans="1:239" customHeight="1" ht="21"/>
    <row r="767" spans="1:239" customHeight="1" ht="21"/>
    <row r="768" spans="1:239" customHeight="1" ht="21"/>
    <row r="769" spans="1:239" customHeight="1" ht="21"/>
    <row r="770" spans="1:239" customHeight="1" ht="21"/>
    <row r="771" spans="1:239" customHeight="1" ht="21"/>
    <row r="772" spans="1:239" customHeight="1" ht="21"/>
    <row r="773" spans="1:239" customHeight="1" ht="21"/>
    <row r="774" spans="1:239" customHeight="1" ht="21"/>
    <row r="775" spans="1:239" customHeight="1" ht="21"/>
    <row r="776" spans="1:239" customHeight="1" ht="21"/>
    <row r="777" spans="1:239" customHeight="1" ht="21"/>
    <row r="778" spans="1:239" customHeight="1" ht="21"/>
    <row r="779" spans="1:239" customHeight="1" ht="21"/>
    <row r="780" spans="1:239" customHeight="1" ht="21"/>
    <row r="781" spans="1:239" customHeight="1" ht="21"/>
    <row r="782" spans="1:239" customHeight="1" ht="21"/>
    <row r="783" spans="1:239" customHeight="1" ht="21"/>
    <row r="784" spans="1:239" customHeight="1" ht="21"/>
    <row r="785" spans="1:239" customHeight="1" ht="21"/>
    <row r="786" spans="1:239" customHeight="1" ht="21"/>
    <row r="787" spans="1:239" customHeight="1" ht="21"/>
    <row r="788" spans="1:239" customHeight="1" ht="21"/>
    <row r="789" spans="1:239" customHeight="1" ht="21"/>
    <row r="790" spans="1:239" customHeight="1" ht="21"/>
    <row r="791" spans="1:239" customHeight="1" ht="21"/>
    <row r="792" spans="1:239" customHeight="1" ht="21"/>
    <row r="793" spans="1:239" customHeight="1" ht="21"/>
    <row r="794" spans="1:239" customHeight="1" ht="21"/>
    <row r="795" spans="1:239" customHeight="1" ht="21"/>
    <row r="796" spans="1:239" customHeight="1" ht="21"/>
    <row r="797" spans="1:239" customHeight="1" ht="21"/>
    <row r="798" spans="1:239" customHeight="1" ht="21"/>
    <row r="799" spans="1:239" customHeight="1" ht="21"/>
    <row r="800" spans="1:239" customHeight="1" ht="21"/>
    <row r="801" spans="1:239" customHeight="1" ht="21"/>
    <row r="802" spans="1:239" customHeight="1" ht="21"/>
    <row r="803" spans="1:239" customHeight="1" ht="21"/>
    <row r="804" spans="1:239" customHeight="1" ht="21"/>
    <row r="805" spans="1:239" customHeight="1" ht="21"/>
    <row r="806" spans="1:239" customHeight="1" ht="21"/>
    <row r="807" spans="1:239" customHeight="1" ht="21"/>
    <row r="808" spans="1:239" customHeight="1" ht="21"/>
    <row r="809" spans="1:239" customHeight="1" ht="21"/>
    <row r="810" spans="1:239" customHeight="1" ht="21"/>
    <row r="811" spans="1:239" customHeight="1" ht="21"/>
    <row r="812" spans="1:239" customHeight="1" ht="21"/>
    <row r="813" spans="1:239" customHeight="1" ht="21"/>
    <row r="814" spans="1:239" customHeight="1" ht="21"/>
    <row r="815" spans="1:239" customHeight="1" ht="21"/>
    <row r="816" spans="1:239" customHeight="1" ht="21"/>
    <row r="817" spans="1:239" customHeight="1" ht="21"/>
    <row r="818" spans="1:239" customHeight="1" ht="21"/>
    <row r="819" spans="1:239" customHeight="1" ht="21"/>
    <row r="820" spans="1:239" customHeight="1" ht="21"/>
    <row r="821" spans="1:239" customHeight="1" ht="21"/>
    <row r="822" spans="1:239" customHeight="1" ht="21"/>
    <row r="823" spans="1:239" customHeight="1" ht="21"/>
    <row r="824" spans="1:239" customHeight="1" ht="21"/>
    <row r="825" spans="1:239" customHeight="1" ht="21"/>
    <row r="826" spans="1:239" customHeight="1" ht="21"/>
    <row r="827" spans="1:239" customHeight="1" ht="21"/>
    <row r="828" spans="1:239" customHeight="1" ht="21"/>
    <row r="829" spans="1:239" customHeight="1" ht="21"/>
    <row r="830" spans="1:239" customHeight="1" ht="21"/>
    <row r="831" spans="1:239" customHeight="1" ht="21"/>
    <row r="832" spans="1:239" customHeight="1" ht="21"/>
    <row r="833" spans="1:239" customHeight="1" ht="21"/>
    <row r="834" spans="1:239" customHeight="1" ht="21"/>
    <row r="835" spans="1:239" customHeight="1" ht="21"/>
    <row r="836" spans="1:239" customHeight="1" ht="21"/>
    <row r="837" spans="1:239" customHeight="1" ht="21"/>
    <row r="838" spans="1:239" customHeight="1" ht="21"/>
    <row r="839" spans="1:239" customHeight="1" ht="21"/>
    <row r="840" spans="1:239" customHeight="1" ht="21"/>
    <row r="841" spans="1:239" customHeight="1" ht="21"/>
    <row r="842" spans="1:239" customHeight="1" ht="21"/>
    <row r="843" spans="1:239" customHeight="1" ht="21"/>
    <row r="844" spans="1:239" customHeight="1" ht="21"/>
    <row r="845" spans="1:239" customHeight="1" ht="21"/>
    <row r="846" spans="1:239" customHeight="1" ht="21"/>
    <row r="847" spans="1:239" customHeight="1" ht="21"/>
    <row r="848" spans="1:239" customHeight="1" ht="21"/>
    <row r="849" spans="1:239" customHeight="1" ht="21"/>
    <row r="850" spans="1:239" customHeight="1" ht="21"/>
    <row r="851" spans="1:239" customHeight="1" ht="21"/>
    <row r="852" spans="1:239" customHeight="1" ht="21"/>
    <row r="853" spans="1:239" customHeight="1" ht="21"/>
    <row r="854" spans="1:239" customHeight="1" ht="21"/>
    <row r="855" spans="1:239" customHeight="1" ht="21"/>
    <row r="856" spans="1:239" customHeight="1" ht="21"/>
    <row r="857" spans="1:239" customHeight="1" ht="21"/>
    <row r="858" spans="1:239" customHeight="1" ht="21"/>
    <row r="859" spans="1:239" customHeight="1" ht="21"/>
    <row r="860" spans="1:239" customHeight="1" ht="21"/>
    <row r="861" spans="1:239" customHeight="1" ht="21"/>
    <row r="862" spans="1:239" customHeight="1" ht="21"/>
    <row r="863" spans="1:239" customHeight="1" ht="21"/>
    <row r="864" spans="1:239" customHeight="1" ht="21"/>
    <row r="865" spans="1:239" customHeight="1" ht="21"/>
    <row r="866" spans="1:239" customHeight="1" ht="21"/>
    <row r="867" spans="1:239" customHeight="1" ht="21"/>
    <row r="868" spans="1:239" customHeight="1" ht="21"/>
    <row r="869" spans="1:239" customHeight="1" ht="21"/>
    <row r="870" spans="1:239" customHeight="1" ht="21"/>
    <row r="871" spans="1:239" customHeight="1" ht="21"/>
    <row r="872" spans="1:239" customHeight="1" ht="21"/>
    <row r="873" spans="1:239" customHeight="1" ht="21"/>
    <row r="874" spans="1:239" customHeight="1" ht="21"/>
    <row r="875" spans="1:239" customHeight="1" ht="21"/>
    <row r="876" spans="1:239" customHeight="1" ht="21"/>
    <row r="877" spans="1:239" customHeight="1" ht="21"/>
    <row r="878" spans="1:239" customHeight="1" ht="21"/>
    <row r="879" spans="1:239" customHeight="1" ht="21"/>
    <row r="880" spans="1:239" customHeight="1" ht="21"/>
    <row r="881" spans="1:239" customHeight="1" ht="21"/>
    <row r="882" spans="1:239" customHeight="1" ht="21"/>
    <row r="883" spans="1:239" customHeight="1" ht="21"/>
    <row r="884" spans="1:239" customHeight="1" ht="21"/>
    <row r="885" spans="1:239" customHeight="1" ht="21"/>
    <row r="886" spans="1:239" customHeight="1" ht="21"/>
    <row r="887" spans="1:239" customHeight="1" ht="21"/>
    <row r="888" spans="1:239" customHeight="1" ht="21"/>
    <row r="889" spans="1:239" customHeight="1" ht="21"/>
    <row r="890" spans="1:239" customHeight="1" ht="21"/>
    <row r="891" spans="1:239" customHeight="1" ht="21"/>
    <row r="892" spans="1:239" customHeight="1" ht="21"/>
    <row r="893" spans="1:239" customHeight="1" ht="21"/>
    <row r="894" spans="1:239" customHeight="1" ht="21"/>
    <row r="895" spans="1:239" customHeight="1" ht="21"/>
    <row r="896" spans="1:239" customHeight="1" ht="21"/>
    <row r="897" spans="1:239" customHeight="1" ht="21"/>
    <row r="898" spans="1:239" customHeight="1" ht="21"/>
    <row r="899" spans="1:239" customHeight="1" ht="21"/>
    <row r="900" spans="1:239" customHeight="1" ht="21"/>
    <row r="901" spans="1:239" customHeight="1" ht="21"/>
    <row r="902" spans="1:239" customHeight="1" ht="21"/>
    <row r="903" spans="1:239" customHeight="1" ht="21"/>
    <row r="904" spans="1:239" customHeight="1" ht="21"/>
    <row r="905" spans="1:239" customHeight="1" ht="21"/>
    <row r="906" spans="1:239" customHeight="1" ht="21"/>
    <row r="907" spans="1:239" customHeight="1" ht="21"/>
    <row r="908" spans="1:239" customHeight="1" ht="21"/>
    <row r="909" spans="1:239" customHeight="1" ht="21"/>
    <row r="910" spans="1:239" customHeight="1" ht="21"/>
    <row r="911" spans="1:239" customHeight="1" ht="21"/>
    <row r="912" spans="1:239" customHeight="1" ht="21"/>
    <row r="913" spans="1:239" customHeight="1" ht="21"/>
    <row r="914" spans="1:239" customHeight="1" ht="21"/>
    <row r="915" spans="1:239" customHeight="1" ht="21"/>
    <row r="916" spans="1:239" customHeight="1" ht="21"/>
    <row r="917" spans="1:239" customHeight="1" ht="21"/>
    <row r="918" spans="1:239" customHeight="1" ht="21"/>
    <row r="919" spans="1:239" customHeight="1" ht="21"/>
    <row r="920" spans="1:239" customHeight="1" ht="21"/>
    <row r="921" spans="1:239" customHeight="1" ht="21"/>
    <row r="922" spans="1:239" customHeight="1" ht="21"/>
    <row r="923" spans="1:239" customHeight="1" ht="21"/>
    <row r="924" spans="1:239" customHeight="1" ht="21"/>
    <row r="925" spans="1:239" customHeight="1" ht="21"/>
    <row r="926" spans="1:239" customHeight="1" ht="21"/>
    <row r="927" spans="1:239" customHeight="1" ht="21"/>
    <row r="928" spans="1:239" customHeight="1" ht="21"/>
    <row r="929" spans="1:239" customHeight="1" ht="21"/>
    <row r="930" spans="1:239" customHeight="1" ht="21"/>
    <row r="931" spans="1:239" customHeight="1" ht="21"/>
    <row r="932" spans="1:239" customHeight="1" ht="21"/>
    <row r="933" spans="1:239" customHeight="1" ht="21"/>
    <row r="934" spans="1:239" customHeight="1" ht="21"/>
    <row r="935" spans="1:239" customHeight="1" ht="21"/>
    <row r="936" spans="1:239" customHeight="1" ht="21"/>
    <row r="937" spans="1:239" customHeight="1" ht="21"/>
    <row r="938" spans="1:239" customHeight="1" ht="21"/>
    <row r="939" spans="1:239" customHeight="1" ht="21"/>
    <row r="940" spans="1:239" customHeight="1" ht="21"/>
    <row r="941" spans="1:239" customHeight="1" ht="21"/>
    <row r="942" spans="1:239" customHeight="1" ht="21"/>
    <row r="943" spans="1:239" customHeight="1" ht="21"/>
    <row r="944" spans="1:239" customHeight="1" ht="21"/>
    <row r="945" spans="1:239" customHeight="1" ht="21"/>
    <row r="946" spans="1:239" customHeight="1" ht="21"/>
    <row r="947" spans="1:239" customHeight="1" ht="21"/>
    <row r="948" spans="1:239" customHeight="1" ht="21"/>
    <row r="949" spans="1:239" customHeight="1" ht="21"/>
    <row r="950" spans="1:239" customHeight="1" ht="21"/>
    <row r="951" spans="1:239" customHeight="1" ht="21"/>
    <row r="952" spans="1:239" customHeight="1" ht="21"/>
    <row r="953" spans="1:239" customHeight="1" ht="21"/>
    <row r="954" spans="1:239" customHeight="1" ht="21"/>
    <row r="955" spans="1:239" customHeight="1" ht="21"/>
    <row r="956" spans="1:239" customHeight="1" ht="21"/>
    <row r="957" spans="1:239" customHeight="1" ht="21"/>
    <row r="958" spans="1:239" customHeight="1" ht="21"/>
    <row r="959" spans="1:239" customHeight="1" ht="21"/>
    <row r="960" spans="1:239" customHeight="1" ht="21"/>
    <row r="961" spans="1:239" customHeight="1" ht="21"/>
    <row r="962" spans="1:239" customHeight="1" ht="21"/>
    <row r="963" spans="1:239" customHeight="1" ht="21"/>
    <row r="964" spans="1:239" customHeight="1" ht="21"/>
    <row r="965" spans="1:239" customHeight="1" ht="21"/>
    <row r="966" spans="1:239" customHeight="1" ht="21"/>
    <row r="967" spans="1:239" customHeight="1" ht="21"/>
    <row r="968" spans="1:239" customHeight="1" ht="21"/>
    <row r="969" spans="1:239" customHeight="1" ht="21"/>
    <row r="970" spans="1:239" customHeight="1" ht="21"/>
    <row r="971" spans="1:239" customHeight="1" ht="21"/>
    <row r="972" spans="1:239" customHeight="1" ht="21"/>
    <row r="973" spans="1:239" customHeight="1" ht="21"/>
    <row r="974" spans="1:239" customHeight="1" ht="21"/>
    <row r="975" spans="1:239" customHeight="1" ht="21"/>
    <row r="976" spans="1:239" customHeight="1" ht="21"/>
    <row r="977" spans="1:239" customHeight="1" ht="21"/>
    <row r="978" spans="1:239" customHeight="1" ht="21"/>
    <row r="979" spans="1:239" customHeight="1" ht="21"/>
    <row r="980" spans="1:239" customHeight="1" ht="21"/>
    <row r="981" spans="1:239" customHeight="1" ht="21"/>
    <row r="982" spans="1:239" customHeight="1" ht="21"/>
    <row r="983" spans="1:239" customHeight="1" ht="21"/>
    <row r="984" spans="1:239" customHeight="1" ht="21"/>
    <row r="985" spans="1:239" customHeight="1" ht="21"/>
    <row r="986" spans="1:239" customHeight="1" ht="21"/>
    <row r="987" spans="1:239" customHeight="1" ht="21"/>
    <row r="988" spans="1:239" customHeight="1" ht="21"/>
  </sheetData>
  <mergeCells>
    <mergeCell ref="F3:F4"/>
    <mergeCell ref="H3:I3"/>
    <mergeCell ref="K3:L3"/>
    <mergeCell ref="A9:B9"/>
    <mergeCell ref="A3:B4"/>
    <mergeCell ref="C3:C4"/>
    <mergeCell ref="D3:D4"/>
    <mergeCell ref="E3:E4"/>
    <mergeCell ref="A5:B5"/>
    <mergeCell ref="A6:B6"/>
    <mergeCell ref="A7:B7"/>
    <mergeCell ref="A8:B8"/>
    <mergeCell ref="G11:R11"/>
    <mergeCell ref="A11:A12"/>
    <mergeCell ref="B11:B12"/>
    <mergeCell ref="D11:D12"/>
    <mergeCell ref="E11:E12"/>
    <mergeCell ref="F11:F12"/>
    <mergeCell ref="C11:C1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legacyDrawing r:id="rId_comments_vml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2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338</v>
      </c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t="s">
        <v>353</v>
      </c>
      <c r="Q1" t="s">
        <v>354</v>
      </c>
      <c r="R1" t="s">
        <v>355</v>
      </c>
      <c r="S1" t="s">
        <v>356</v>
      </c>
      <c r="T1" t="s">
        <v>357</v>
      </c>
      <c r="U1" t="s">
        <v>358</v>
      </c>
      <c r="V1" t="s">
        <v>359</v>
      </c>
      <c r="W1" t="s">
        <v>360</v>
      </c>
      <c r="X1" t="s">
        <v>361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338</v>
      </c>
      <c r="B1" t="s">
        <v>362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Fr-01</vt:lpstr>
      <vt:lpstr>Fr-02</vt:lpstr>
      <vt:lpstr>Fr-03.1</vt:lpstr>
      <vt:lpstr>Fr-03.2</vt:lpstr>
      <vt:lpstr>Fr-04.1</vt:lpstr>
      <vt:lpstr>Fr-04.2</vt:lpstr>
      <vt:lpstr>Fr-05</vt:lpstr>
      <vt:lpstr>EF TGO AR4</vt:lpstr>
      <vt:lpstr>EF TGO AR5</vt:lpstr>
      <vt:lpstr>บันทึกการปรับปรุง</vt:lpstr>
      <vt:lpstr>1.1 Stationary </vt:lpstr>
      <vt:lpstr>1.2 Mobile</vt:lpstr>
      <vt:lpstr>_DATA_SCOPE11</vt:lpstr>
      <vt:lpstr>_FR041_SEL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Natanee Vorayos</dc:creator>
  <cp:lastModifiedBy>Thada</cp:lastModifiedBy>
  <dcterms:created xsi:type="dcterms:W3CDTF">2016-07-25T20:04:14+02:00</dcterms:created>
  <dcterms:modified xsi:type="dcterms:W3CDTF">2022-06-02T07:01:32+02:00</dcterms:modified>
  <dc:title/>
  <dc:description/>
  <dc:subject/>
  <cp:keywords/>
  <cp:category/>
</cp:coreProperties>
</file>