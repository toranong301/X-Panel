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D:\ECC\dev\X-Panel\shared\templates\mbax\"/>
    </mc:Choice>
  </mc:AlternateContent>
  <xr:revisionPtr revIDLastSave="0" documentId="13_ncr:1_{FA8FB1AB-E903-4ED0-A527-931C03A6A2F5}" xr6:coauthVersionLast="47" xr6:coauthVersionMax="47" xr10:uidLastSave="{00000000-0000-0000-0000-000000000000}"/>
  <bookViews>
    <workbookView xWindow="-108" yWindow="-108" windowWidth="23256" windowHeight="12456" activeTab="8" xr2:uid="{00000000-000D-0000-FFFF-FFFF00000000}"/>
  </bookViews>
  <sheets>
    <sheet name="Fr-01" sheetId="1" r:id="rId1"/>
    <sheet name="Fr-02" sheetId="2" r:id="rId2"/>
    <sheet name="Fr-03.1" sheetId="3" r:id="rId3"/>
    <sheet name="Fr-03.2" sheetId="4" r:id="rId4"/>
    <sheet name="Fr-04.1" sheetId="5" r:id="rId5"/>
    <sheet name="Fr-04.2" sheetId="6" r:id="rId6"/>
    <sheet name="Fr-05" sheetId="7" r:id="rId7"/>
    <sheet name="EF TGO AR4" sheetId="8" state="hidden" r:id="rId8"/>
    <sheet name="EF TGO AR5" sheetId="9" r:id="rId9"/>
    <sheet name="บันทึกการปรับปรุง" sheetId="10" r:id="rId10"/>
    <sheet name="_DATA_SCOPE11" sheetId="13" state="veryHidden" r:id="rId11"/>
    <sheet name="_FR041_SEL" sheetId="14" state="veryHidden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6" i="9" l="1"/>
  <c r="E34" i="9" s="1"/>
  <c r="E35" i="9" s="1"/>
  <c r="G94" i="9"/>
  <c r="G79" i="9"/>
  <c r="G17" i="9" s="1"/>
  <c r="G51" i="9"/>
  <c r="E51" i="9"/>
  <c r="D51" i="9"/>
  <c r="H51" i="9" s="1"/>
  <c r="G50" i="9"/>
  <c r="E50" i="9"/>
  <c r="D50" i="9"/>
  <c r="H50" i="9" s="1"/>
  <c r="G49" i="9"/>
  <c r="E49" i="9"/>
  <c r="D49" i="9"/>
  <c r="H49" i="9" s="1"/>
  <c r="G48" i="9"/>
  <c r="E48" i="9"/>
  <c r="D48" i="9"/>
  <c r="H48" i="9" s="1"/>
  <c r="G46" i="9"/>
  <c r="E46" i="9"/>
  <c r="D46" i="9"/>
  <c r="H46" i="9" s="1"/>
  <c r="G45" i="9"/>
  <c r="E45" i="9"/>
  <c r="D45" i="9"/>
  <c r="H45" i="9" s="1"/>
  <c r="G44" i="9"/>
  <c r="E44" i="9"/>
  <c r="D44" i="9"/>
  <c r="H44" i="9" s="1"/>
  <c r="G43" i="9"/>
  <c r="E43" i="9"/>
  <c r="D43" i="9"/>
  <c r="H43" i="9" s="1"/>
  <c r="G41" i="9"/>
  <c r="E41" i="9"/>
  <c r="D41" i="9"/>
  <c r="G40" i="9"/>
  <c r="E40" i="9"/>
  <c r="D40" i="9"/>
  <c r="H40" i="9" s="1"/>
  <c r="G39" i="9"/>
  <c r="E39" i="9"/>
  <c r="D39" i="9"/>
  <c r="G38" i="9"/>
  <c r="E38" i="9"/>
  <c r="D38" i="9"/>
  <c r="H38" i="9" s="1"/>
  <c r="G35" i="9"/>
  <c r="G34" i="9"/>
  <c r="D34" i="9"/>
  <c r="G33" i="9"/>
  <c r="E33" i="9"/>
  <c r="D33" i="9"/>
  <c r="H33" i="9" s="1"/>
  <c r="G32" i="9"/>
  <c r="E32" i="9"/>
  <c r="D32" i="9"/>
  <c r="H32" i="9" s="1"/>
  <c r="G31" i="9"/>
  <c r="E31" i="9"/>
  <c r="D31" i="9"/>
  <c r="H31" i="9" s="1"/>
  <c r="G30" i="9"/>
  <c r="E30" i="9"/>
  <c r="D30" i="9"/>
  <c r="H30" i="9" s="1"/>
  <c r="G29" i="9"/>
  <c r="E29" i="9"/>
  <c r="D29" i="9"/>
  <c r="H29" i="9" s="1"/>
  <c r="D27" i="9"/>
  <c r="H27" i="9" s="1"/>
  <c r="D26" i="9"/>
  <c r="H26" i="9" s="1"/>
  <c r="D25" i="9"/>
  <c r="H25" i="9" s="1"/>
  <c r="D24" i="9"/>
  <c r="H24" i="9" s="1"/>
  <c r="D23" i="9"/>
  <c r="H23" i="9" s="1"/>
  <c r="G22" i="9"/>
  <c r="F22" i="9"/>
  <c r="G21" i="9"/>
  <c r="H21" i="9" s="1"/>
  <c r="F21" i="9"/>
  <c r="G20" i="9"/>
  <c r="F20" i="9"/>
  <c r="H20" i="9" s="1"/>
  <c r="G19" i="9"/>
  <c r="F19" i="9"/>
  <c r="H19" i="9" s="1"/>
  <c r="G18" i="9"/>
  <c r="F18" i="9"/>
  <c r="H18" i="9" s="1"/>
  <c r="E17" i="9"/>
  <c r="G16" i="9"/>
  <c r="H16" i="9" s="1"/>
  <c r="E16" i="9"/>
  <c r="G15" i="9"/>
  <c r="E15" i="9"/>
  <c r="H15" i="9" s="1"/>
  <c r="D15" i="9"/>
  <c r="D16" i="9" s="1"/>
  <c r="H14" i="9"/>
  <c r="G14" i="9"/>
  <c r="E14" i="9"/>
  <c r="D14" i="9"/>
  <c r="G13" i="9"/>
  <c r="E13" i="9"/>
  <c r="H13" i="9" s="1"/>
  <c r="D13" i="9"/>
  <c r="G12" i="9"/>
  <c r="H12" i="9" s="1"/>
  <c r="E12" i="9"/>
  <c r="D12" i="9"/>
  <c r="G11" i="9"/>
  <c r="E11" i="9"/>
  <c r="H11" i="9" s="1"/>
  <c r="D11" i="9"/>
  <c r="H10" i="9"/>
  <c r="G10" i="9"/>
  <c r="E10" i="9"/>
  <c r="D10" i="9"/>
  <c r="G9" i="9"/>
  <c r="E9" i="9"/>
  <c r="H9" i="9" s="1"/>
  <c r="D9" i="9"/>
  <c r="G8" i="9"/>
  <c r="H8" i="9" s="1"/>
  <c r="E8" i="9"/>
  <c r="D8" i="9"/>
  <c r="G7" i="9"/>
  <c r="E7" i="9"/>
  <c r="H7" i="9" s="1"/>
  <c r="D7" i="9"/>
  <c r="H6" i="9"/>
  <c r="G6" i="9"/>
  <c r="E6" i="9"/>
  <c r="D6" i="9"/>
  <c r="G68" i="8"/>
  <c r="F25" i="8" s="1"/>
  <c r="G66" i="8"/>
  <c r="G57" i="8"/>
  <c r="F42" i="8"/>
  <c r="E42" i="8"/>
  <c r="D42" i="8"/>
  <c r="F41" i="8"/>
  <c r="E41" i="8"/>
  <c r="D41" i="8"/>
  <c r="G41" i="8" s="1"/>
  <c r="F40" i="8"/>
  <c r="E40" i="8"/>
  <c r="D40" i="8"/>
  <c r="F39" i="8"/>
  <c r="E39" i="8"/>
  <c r="D39" i="8"/>
  <c r="F37" i="8"/>
  <c r="E37" i="8"/>
  <c r="D37" i="8"/>
  <c r="F36" i="8"/>
  <c r="E36" i="8"/>
  <c r="D36" i="8"/>
  <c r="G36" i="8" s="1"/>
  <c r="F35" i="8"/>
  <c r="E35" i="8"/>
  <c r="D35" i="8"/>
  <c r="G35" i="8" s="1"/>
  <c r="F34" i="8"/>
  <c r="E34" i="8"/>
  <c r="D34" i="8"/>
  <c r="G34" i="8" s="1"/>
  <c r="F32" i="8"/>
  <c r="E32" i="8"/>
  <c r="D32" i="8"/>
  <c r="F31" i="8"/>
  <c r="E31" i="8"/>
  <c r="D31" i="8"/>
  <c r="G31" i="8" s="1"/>
  <c r="F30" i="8"/>
  <c r="E30" i="8"/>
  <c r="D30" i="8"/>
  <c r="G30" i="8" s="1"/>
  <c r="F29" i="8"/>
  <c r="E29" i="8"/>
  <c r="D29" i="8"/>
  <c r="G29" i="8" s="1"/>
  <c r="F26" i="8"/>
  <c r="F24" i="8"/>
  <c r="E24" i="8"/>
  <c r="D24" i="8"/>
  <c r="F23" i="8"/>
  <c r="E23" i="8"/>
  <c r="D23" i="8"/>
  <c r="G23" i="8" s="1"/>
  <c r="F22" i="8"/>
  <c r="E22" i="8"/>
  <c r="D22" i="8"/>
  <c r="G22" i="8" s="1"/>
  <c r="F21" i="8"/>
  <c r="E21" i="8"/>
  <c r="D21" i="8"/>
  <c r="G21" i="8" s="1"/>
  <c r="F20" i="8"/>
  <c r="E20" i="8"/>
  <c r="D20" i="8"/>
  <c r="G20" i="8" s="1"/>
  <c r="D17" i="8"/>
  <c r="F16" i="8"/>
  <c r="E16" i="8"/>
  <c r="D16" i="8"/>
  <c r="F15" i="8"/>
  <c r="E15" i="8"/>
  <c r="D15" i="8"/>
  <c r="G15" i="8" s="1"/>
  <c r="F14" i="8"/>
  <c r="E14" i="8"/>
  <c r="D14" i="8"/>
  <c r="G14" i="8" s="1"/>
  <c r="F13" i="8"/>
  <c r="E13" i="8"/>
  <c r="D13" i="8"/>
  <c r="G13" i="8" s="1"/>
  <c r="F12" i="8"/>
  <c r="E12" i="8"/>
  <c r="D12" i="8"/>
  <c r="F11" i="8"/>
  <c r="E11" i="8"/>
  <c r="D11" i="8"/>
  <c r="G11" i="8" s="1"/>
  <c r="F10" i="8"/>
  <c r="E10" i="8"/>
  <c r="D10" i="8"/>
  <c r="F9" i="8"/>
  <c r="E9" i="8"/>
  <c r="D9" i="8"/>
  <c r="G9" i="8" s="1"/>
  <c r="F8" i="8"/>
  <c r="E8" i="8"/>
  <c r="D8" i="8"/>
  <c r="G8" i="8" s="1"/>
  <c r="F7" i="8"/>
  <c r="E7" i="8"/>
  <c r="D7" i="8"/>
  <c r="G7" i="8" s="1"/>
  <c r="F6" i="8"/>
  <c r="E6" i="8"/>
  <c r="D6" i="8"/>
  <c r="G6" i="8" s="1"/>
  <c r="F34" i="7"/>
  <c r="C29" i="7"/>
  <c r="B20" i="7"/>
  <c r="F18" i="7"/>
  <c r="F17" i="7"/>
  <c r="F33" i="7" s="1"/>
  <c r="B5" i="7"/>
  <c r="F4" i="7"/>
  <c r="F3" i="7"/>
  <c r="AO41" i="6"/>
  <c r="AO40" i="6"/>
  <c r="AO39" i="6"/>
  <c r="AO38" i="6"/>
  <c r="AO37" i="6"/>
  <c r="AO36" i="6"/>
  <c r="AO33" i="6"/>
  <c r="AO32" i="6"/>
  <c r="AO31" i="6"/>
  <c r="AO35" i="6" s="1"/>
  <c r="AP34" i="6" s="1"/>
  <c r="AN29" i="6"/>
  <c r="AA29" i="6"/>
  <c r="Q29" i="6"/>
  <c r="AO29" i="6" s="1"/>
  <c r="AN28" i="6"/>
  <c r="AA28" i="6"/>
  <c r="Q28" i="6"/>
  <c r="AO28" i="6" s="1"/>
  <c r="AO27" i="6"/>
  <c r="AN27" i="6"/>
  <c r="AA27" i="6"/>
  <c r="Q27" i="6"/>
  <c r="AO26" i="6"/>
  <c r="AN26" i="6"/>
  <c r="AA26" i="6"/>
  <c r="Q26" i="6"/>
  <c r="AN25" i="6"/>
  <c r="AA25" i="6"/>
  <c r="Q25" i="6"/>
  <c r="AO25" i="6" s="1"/>
  <c r="AN24" i="6"/>
  <c r="AN45" i="6" s="1"/>
  <c r="AO23" i="6"/>
  <c r="AM23" i="6"/>
  <c r="AL23" i="6"/>
  <c r="AK23" i="6"/>
  <c r="AJ23" i="6"/>
  <c r="AI23" i="6"/>
  <c r="AH23" i="6"/>
  <c r="AG23" i="6"/>
  <c r="AF23" i="6"/>
  <c r="AE23" i="6"/>
  <c r="AD23" i="6"/>
  <c r="AC23" i="6"/>
  <c r="AB23" i="6"/>
  <c r="AA23" i="6"/>
  <c r="Q23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Q22" i="6"/>
  <c r="AO22" i="6" s="1"/>
  <c r="AO21" i="6"/>
  <c r="AM21" i="6"/>
  <c r="AL21" i="6"/>
  <c r="AK21" i="6"/>
  <c r="AJ21" i="6"/>
  <c r="AI21" i="6"/>
  <c r="AH21" i="6"/>
  <c r="AG21" i="6"/>
  <c r="AF21" i="6"/>
  <c r="AE21" i="6"/>
  <c r="AD21" i="6"/>
  <c r="AC21" i="6"/>
  <c r="AB21" i="6"/>
  <c r="AA21" i="6"/>
  <c r="Q21" i="6"/>
  <c r="AO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Q20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Q19" i="6"/>
  <c r="AO19" i="6" s="1"/>
  <c r="AO18" i="6"/>
  <c r="AM18" i="6"/>
  <c r="AL18" i="6"/>
  <c r="AK18" i="6"/>
  <c r="AJ18" i="6"/>
  <c r="AI18" i="6"/>
  <c r="AH18" i="6"/>
  <c r="AG18" i="6"/>
  <c r="AF18" i="6"/>
  <c r="AE18" i="6"/>
  <c r="AD18" i="6"/>
  <c r="AC18" i="6"/>
  <c r="AB18" i="6"/>
  <c r="AA18" i="6"/>
  <c r="Q18" i="6"/>
  <c r="AM17" i="6"/>
  <c r="AL17" i="6"/>
  <c r="AK17" i="6"/>
  <c r="AJ17" i="6"/>
  <c r="AI17" i="6"/>
  <c r="AH17" i="6"/>
  <c r="AG17" i="6"/>
  <c r="AF17" i="6"/>
  <c r="AE17" i="6"/>
  <c r="AD17" i="6"/>
  <c r="AC17" i="6"/>
  <c r="AB17" i="6"/>
  <c r="AA17" i="6"/>
  <c r="Q17" i="6"/>
  <c r="AO17" i="6" s="1"/>
  <c r="AO16" i="6"/>
  <c r="AM16" i="6"/>
  <c r="AM24" i="6" s="1"/>
  <c r="AL16" i="6"/>
  <c r="AK16" i="6"/>
  <c r="AJ16" i="6"/>
  <c r="AI16" i="6"/>
  <c r="AH16" i="6"/>
  <c r="AG16" i="6"/>
  <c r="AF16" i="6"/>
  <c r="AE16" i="6"/>
  <c r="AD16" i="6"/>
  <c r="AC16" i="6"/>
  <c r="AB16" i="6"/>
  <c r="AA16" i="6"/>
  <c r="Q16" i="6"/>
  <c r="AM15" i="6"/>
  <c r="AL15" i="6"/>
  <c r="AK15" i="6"/>
  <c r="AJ15" i="6"/>
  <c r="AI15" i="6"/>
  <c r="AH15" i="6"/>
  <c r="AG15" i="6"/>
  <c r="AF15" i="6"/>
  <c r="AE15" i="6"/>
  <c r="AD15" i="6"/>
  <c r="AC15" i="6"/>
  <c r="AB15" i="6"/>
  <c r="AA15" i="6"/>
  <c r="Q15" i="6"/>
  <c r="AO15" i="6" s="1"/>
  <c r="AM14" i="6"/>
  <c r="AL14" i="6"/>
  <c r="AK14" i="6"/>
  <c r="AJ14" i="6"/>
  <c r="AI14" i="6"/>
  <c r="AH14" i="6"/>
  <c r="AG14" i="6"/>
  <c r="AF14" i="6"/>
  <c r="AE14" i="6"/>
  <c r="AD14" i="6"/>
  <c r="AC14" i="6"/>
  <c r="AB14" i="6"/>
  <c r="AA14" i="6"/>
  <c r="AA24" i="6" s="1"/>
  <c r="Q14" i="6"/>
  <c r="AO14" i="6" s="1"/>
  <c r="AO13" i="6"/>
  <c r="AM13" i="6"/>
  <c r="AL13" i="6"/>
  <c r="AK13" i="6"/>
  <c r="AJ13" i="6"/>
  <c r="AI13" i="6"/>
  <c r="AH13" i="6"/>
  <c r="AG13" i="6"/>
  <c r="AF13" i="6"/>
  <c r="AE13" i="6"/>
  <c r="AD13" i="6"/>
  <c r="AC13" i="6"/>
  <c r="AC24" i="6" s="1"/>
  <c r="AB13" i="6"/>
  <c r="AA13" i="6"/>
  <c r="Q13" i="6"/>
  <c r="AO12" i="6"/>
  <c r="AM12" i="6"/>
  <c r="AL12" i="6"/>
  <c r="AK12" i="6"/>
  <c r="AJ12" i="6"/>
  <c r="AI12" i="6"/>
  <c r="AH12" i="6"/>
  <c r="AG12" i="6"/>
  <c r="AF12" i="6"/>
  <c r="AE12" i="6"/>
  <c r="AD12" i="6"/>
  <c r="AC12" i="6"/>
  <c r="AB12" i="6"/>
  <c r="AA12" i="6"/>
  <c r="Q12" i="6"/>
  <c r="AM11" i="6"/>
  <c r="AL11" i="6"/>
  <c r="AK11" i="6"/>
  <c r="AJ11" i="6"/>
  <c r="AI11" i="6"/>
  <c r="AH11" i="6"/>
  <c r="AG11" i="6"/>
  <c r="AG24" i="6" s="1"/>
  <c r="AF11" i="6"/>
  <c r="AE11" i="6"/>
  <c r="AE24" i="6" s="1"/>
  <c r="AD11" i="6"/>
  <c r="AC11" i="6"/>
  <c r="AB11" i="6"/>
  <c r="AA11" i="6"/>
  <c r="Q11" i="6"/>
  <c r="AO11" i="6" s="1"/>
  <c r="AO10" i="6"/>
  <c r="AM10" i="6"/>
  <c r="AL10" i="6"/>
  <c r="AK10" i="6"/>
  <c r="AK24" i="6" s="1"/>
  <c r="AJ10" i="6"/>
  <c r="AI10" i="6"/>
  <c r="AH10" i="6"/>
  <c r="AG10" i="6"/>
  <c r="AF10" i="6"/>
  <c r="AF24" i="6" s="1"/>
  <c r="AF45" i="6" s="1"/>
  <c r="AE10" i="6"/>
  <c r="AD10" i="6"/>
  <c r="AD24" i="6" s="1"/>
  <c r="AC10" i="6"/>
  <c r="AB10" i="6"/>
  <c r="AB24" i="6" s="1"/>
  <c r="AA10" i="6"/>
  <c r="Q10" i="6"/>
  <c r="I4" i="6"/>
  <c r="AE3" i="6"/>
  <c r="I3" i="6"/>
  <c r="AN45" i="5"/>
  <c r="AN44" i="5"/>
  <c r="AO41" i="5"/>
  <c r="AO40" i="5"/>
  <c r="AO39" i="5"/>
  <c r="AO38" i="5"/>
  <c r="AO37" i="5"/>
  <c r="AO36" i="5"/>
  <c r="AO33" i="5"/>
  <c r="AO32" i="5"/>
  <c r="AO31" i="5"/>
  <c r="AO35" i="5" s="1"/>
  <c r="AN29" i="5"/>
  <c r="AA29" i="5"/>
  <c r="Q29" i="5"/>
  <c r="AO29" i="5" s="1"/>
  <c r="AN28" i="5"/>
  <c r="AA28" i="5"/>
  <c r="Q28" i="5"/>
  <c r="AO28" i="5" s="1"/>
  <c r="AO27" i="5"/>
  <c r="AN27" i="5"/>
  <c r="AA27" i="5"/>
  <c r="Q27" i="5"/>
  <c r="AN26" i="5"/>
  <c r="AA26" i="5"/>
  <c r="Q26" i="5"/>
  <c r="AO26" i="5" s="1"/>
  <c r="AO25" i="5"/>
  <c r="AN25" i="5"/>
  <c r="AA25" i="5"/>
  <c r="Q25" i="5"/>
  <c r="AP24" i="5"/>
  <c r="C24" i="5" s="1"/>
  <c r="AN24" i="5"/>
  <c r="AP23" i="5"/>
  <c r="B23" i="5" s="1"/>
  <c r="Q23" i="5"/>
  <c r="AP22" i="5"/>
  <c r="D22" i="5" s="1"/>
  <c r="AM22" i="5" s="1"/>
  <c r="AI22" i="5"/>
  <c r="AH22" i="5"/>
  <c r="AF22" i="5"/>
  <c r="AE22" i="5"/>
  <c r="AD22" i="5"/>
  <c r="Q22" i="5"/>
  <c r="B22" i="5"/>
  <c r="AP21" i="5"/>
  <c r="D21" i="5" s="1"/>
  <c r="AO21" i="5" s="1"/>
  <c r="AM21" i="5"/>
  <c r="AL21" i="5"/>
  <c r="AJ21" i="5"/>
  <c r="AH21" i="5"/>
  <c r="AB21" i="5"/>
  <c r="Q21" i="5"/>
  <c r="C21" i="5"/>
  <c r="B21" i="5"/>
  <c r="AP20" i="5"/>
  <c r="C20" i="5" s="1"/>
  <c r="Q20" i="5"/>
  <c r="AP19" i="5"/>
  <c r="AO19" i="5"/>
  <c r="AM19" i="5"/>
  <c r="AL19" i="5"/>
  <c r="AI19" i="5"/>
  <c r="AH19" i="5"/>
  <c r="AG19" i="5"/>
  <c r="AF19" i="5"/>
  <c r="AE19" i="5"/>
  <c r="AD19" i="5"/>
  <c r="AC19" i="5"/>
  <c r="AB19" i="5"/>
  <c r="AA19" i="5"/>
  <c r="Q19" i="5"/>
  <c r="D19" i="5"/>
  <c r="AK19" i="5" s="1"/>
  <c r="C19" i="5"/>
  <c r="B19" i="5"/>
  <c r="AP18" i="5"/>
  <c r="AO18" i="5"/>
  <c r="AM18" i="5"/>
  <c r="AL18" i="5"/>
  <c r="AK18" i="5"/>
  <c r="AJ18" i="5"/>
  <c r="AI18" i="5"/>
  <c r="AH18" i="5"/>
  <c r="AG18" i="5"/>
  <c r="AF18" i="5"/>
  <c r="AC18" i="5"/>
  <c r="AB18" i="5"/>
  <c r="AA18" i="5"/>
  <c r="Q18" i="5"/>
  <c r="D18" i="5"/>
  <c r="AE18" i="5" s="1"/>
  <c r="C18" i="5"/>
  <c r="B18" i="5"/>
  <c r="AP17" i="5"/>
  <c r="C17" i="5" s="1"/>
  <c r="Q17" i="5"/>
  <c r="AP16" i="5"/>
  <c r="C16" i="5" s="1"/>
  <c r="AM16" i="5"/>
  <c r="AK16" i="5"/>
  <c r="AG16" i="5"/>
  <c r="AF16" i="5"/>
  <c r="AE16" i="5"/>
  <c r="AD16" i="5"/>
  <c r="AC16" i="5"/>
  <c r="AB16" i="5"/>
  <c r="AA16" i="5"/>
  <c r="Q16" i="5"/>
  <c r="D16" i="5"/>
  <c r="AO16" i="5" s="1"/>
  <c r="B16" i="5"/>
  <c r="AP15" i="5"/>
  <c r="AM15" i="5"/>
  <c r="AL15" i="5"/>
  <c r="AK15" i="5"/>
  <c r="AJ15" i="5"/>
  <c r="AI15" i="5"/>
  <c r="AH15" i="5"/>
  <c r="AG15" i="5"/>
  <c r="AF15" i="5"/>
  <c r="AE15" i="5"/>
  <c r="AD15" i="5"/>
  <c r="AC15" i="5"/>
  <c r="AB15" i="5"/>
  <c r="AA15" i="5"/>
  <c r="Q15" i="5"/>
  <c r="AO15" i="5" s="1"/>
  <c r="D15" i="5"/>
  <c r="C15" i="5"/>
  <c r="B15" i="5"/>
  <c r="AP14" i="5"/>
  <c r="D14" i="5" s="1"/>
  <c r="Q14" i="5"/>
  <c r="AP13" i="5"/>
  <c r="C13" i="5" s="1"/>
  <c r="AL13" i="5"/>
  <c r="AJ13" i="5"/>
  <c r="AF13" i="5"/>
  <c r="AE13" i="5"/>
  <c r="AD13" i="5"/>
  <c r="AC13" i="5"/>
  <c r="AB13" i="5"/>
  <c r="AA13" i="5"/>
  <c r="Q13" i="5"/>
  <c r="D13" i="5"/>
  <c r="AO13" i="5" s="1"/>
  <c r="AP12" i="5"/>
  <c r="Q12" i="5"/>
  <c r="AP11" i="5"/>
  <c r="D11" i="5" s="1"/>
  <c r="Q11" i="5"/>
  <c r="AM10" i="5"/>
  <c r="AL10" i="5"/>
  <c r="AK10" i="5"/>
  <c r="AJ10" i="5"/>
  <c r="AI10" i="5"/>
  <c r="AH10" i="5"/>
  <c r="AG10" i="5"/>
  <c r="AF10" i="5"/>
  <c r="AE10" i="5"/>
  <c r="AD10" i="5"/>
  <c r="AC10" i="5"/>
  <c r="AB10" i="5"/>
  <c r="AA10" i="5"/>
  <c r="Q10" i="5"/>
  <c r="AO10" i="5" s="1"/>
  <c r="I4" i="5"/>
  <c r="AE3" i="5"/>
  <c r="I3" i="5"/>
  <c r="F4" i="4"/>
  <c r="G4" i="3"/>
  <c r="G3" i="3"/>
  <c r="G4" i="2"/>
  <c r="G3" i="2"/>
  <c r="J25" i="1"/>
  <c r="G3" i="1"/>
  <c r="F3" i="4" s="1"/>
  <c r="AM44" i="6" l="1"/>
  <c r="AM45" i="6"/>
  <c r="AG44" i="6"/>
  <c r="AG45" i="6"/>
  <c r="AA44" i="6"/>
  <c r="AA45" i="6"/>
  <c r="AI11" i="5"/>
  <c r="AF11" i="5"/>
  <c r="AF24" i="5" s="1"/>
  <c r="AH11" i="5"/>
  <c r="AH24" i="5" s="1"/>
  <c r="AG11" i="5"/>
  <c r="AE11" i="5"/>
  <c r="AC11" i="5"/>
  <c r="AB11" i="5"/>
  <c r="AA11" i="5"/>
  <c r="AO11" i="5"/>
  <c r="AM11" i="5"/>
  <c r="AM24" i="5" s="1"/>
  <c r="AL11" i="5"/>
  <c r="AL24" i="5" s="1"/>
  <c r="AK11" i="5"/>
  <c r="AK24" i="5" s="1"/>
  <c r="AJ11" i="5"/>
  <c r="AJ24" i="5" s="1"/>
  <c r="AD11" i="5"/>
  <c r="AD24" i="5"/>
  <c r="AO24" i="6"/>
  <c r="AP17" i="6" s="1"/>
  <c r="AJ14" i="5"/>
  <c r="AI14" i="5"/>
  <c r="AG14" i="5"/>
  <c r="AH14" i="5"/>
  <c r="AF14" i="5"/>
  <c r="AD14" i="5"/>
  <c r="AC14" i="5"/>
  <c r="AB14" i="5"/>
  <c r="AO14" i="5"/>
  <c r="AL14" i="5"/>
  <c r="AK14" i="5"/>
  <c r="AM14" i="5"/>
  <c r="AE14" i="5"/>
  <c r="AA14" i="5"/>
  <c r="AP34" i="5"/>
  <c r="C11" i="7"/>
  <c r="AB44" i="6"/>
  <c r="AB45" i="6"/>
  <c r="G10" i="8"/>
  <c r="G32" i="8"/>
  <c r="AD44" i="6"/>
  <c r="AD45" i="6"/>
  <c r="AE44" i="6"/>
  <c r="AE45" i="6"/>
  <c r="G16" i="8"/>
  <c r="G24" i="8"/>
  <c r="G40" i="8"/>
  <c r="AA24" i="5"/>
  <c r="B11" i="5"/>
  <c r="AG22" i="5"/>
  <c r="AO30" i="5"/>
  <c r="C13" i="7" s="1"/>
  <c r="D35" i="9"/>
  <c r="H35" i="9" s="1"/>
  <c r="H34" i="9"/>
  <c r="AO30" i="6"/>
  <c r="AP27" i="6" s="1"/>
  <c r="B14" i="5"/>
  <c r="D17" i="5"/>
  <c r="D20" i="5"/>
  <c r="AI21" i="5"/>
  <c r="D24" i="5"/>
  <c r="AP31" i="5"/>
  <c r="AP35" i="5" s="1"/>
  <c r="AH24" i="6"/>
  <c r="G12" i="8"/>
  <c r="AB24" i="5"/>
  <c r="AE24" i="5"/>
  <c r="C14" i="5"/>
  <c r="AB22" i="5"/>
  <c r="AA22" i="5"/>
  <c r="AO22" i="5"/>
  <c r="AL22" i="5"/>
  <c r="AK22" i="5"/>
  <c r="AJ22" i="5"/>
  <c r="AI24" i="6"/>
  <c r="C12" i="5"/>
  <c r="B12" i="5"/>
  <c r="AK21" i="5"/>
  <c r="C23" i="5"/>
  <c r="AJ24" i="6"/>
  <c r="AP31" i="6"/>
  <c r="AP35" i="6" s="1"/>
  <c r="G42" i="8"/>
  <c r="B24" i="5"/>
  <c r="AP32" i="5"/>
  <c r="H39" i="9"/>
  <c r="C11" i="5"/>
  <c r="B17" i="5"/>
  <c r="B20" i="5"/>
  <c r="AC24" i="5"/>
  <c r="AL24" i="6"/>
  <c r="AP12" i="6"/>
  <c r="AP14" i="6"/>
  <c r="AP33" i="5"/>
  <c r="AI24" i="5"/>
  <c r="AP16" i="6"/>
  <c r="AP20" i="6"/>
  <c r="AP22" i="6"/>
  <c r="AP26" i="6"/>
  <c r="F17" i="8"/>
  <c r="E17" i="8"/>
  <c r="G17" i="8" s="1"/>
  <c r="AG24" i="5"/>
  <c r="D23" i="5"/>
  <c r="AK44" i="6"/>
  <c r="AK45" i="6"/>
  <c r="AG21" i="5"/>
  <c r="AD21" i="5"/>
  <c r="AF21" i="5"/>
  <c r="AE21" i="5"/>
  <c r="AC21" i="5"/>
  <c r="AA21" i="5"/>
  <c r="AP32" i="6"/>
  <c r="AO43" i="6"/>
  <c r="AP37" i="6" s="1"/>
  <c r="G37" i="8"/>
  <c r="AP11" i="6"/>
  <c r="AP18" i="6"/>
  <c r="AF44" i="6"/>
  <c r="H22" i="9"/>
  <c r="AO43" i="5"/>
  <c r="AN44" i="6"/>
  <c r="C27" i="7"/>
  <c r="D12" i="5"/>
  <c r="AC22" i="5"/>
  <c r="G39" i="8"/>
  <c r="H41" i="9"/>
  <c r="D17" i="9"/>
  <c r="H17" i="9" s="1"/>
  <c r="AG13" i="5"/>
  <c r="AP38" i="6"/>
  <c r="AH16" i="5"/>
  <c r="AH13" i="5"/>
  <c r="AI16" i="5"/>
  <c r="AJ19" i="5"/>
  <c r="AP33" i="6"/>
  <c r="AI13" i="5"/>
  <c r="AJ16" i="5"/>
  <c r="AK13" i="5"/>
  <c r="AL16" i="5"/>
  <c r="C22" i="5"/>
  <c r="D25" i="8"/>
  <c r="B13" i="5"/>
  <c r="AM13" i="5"/>
  <c r="AD18" i="5"/>
  <c r="AP39" i="5"/>
  <c r="AP13" i="6"/>
  <c r="AP21" i="6"/>
  <c r="AP40" i="6"/>
  <c r="E25" i="8"/>
  <c r="E26" i="8" s="1"/>
  <c r="AP28" i="6" l="1"/>
  <c r="AK44" i="5"/>
  <c r="AK45" i="5"/>
  <c r="AP28" i="5"/>
  <c r="C12" i="7"/>
  <c r="AP42" i="5"/>
  <c r="AP41" i="5"/>
  <c r="AP40" i="5"/>
  <c r="AP38" i="5"/>
  <c r="AL20" i="5"/>
  <c r="AI20" i="5"/>
  <c r="AK20" i="5"/>
  <c r="AJ20" i="5"/>
  <c r="AH20" i="5"/>
  <c r="AF20" i="5"/>
  <c r="AE20" i="5"/>
  <c r="AD20" i="5"/>
  <c r="AO20" i="5"/>
  <c r="AM20" i="5"/>
  <c r="AG20" i="5"/>
  <c r="AB20" i="5"/>
  <c r="AC20" i="5"/>
  <c r="AA20" i="5"/>
  <c r="AP37" i="5"/>
  <c r="AL45" i="5"/>
  <c r="AL44" i="5"/>
  <c r="AK17" i="5"/>
  <c r="AH17" i="5"/>
  <c r="AJ17" i="5"/>
  <c r="AI17" i="5"/>
  <c r="AG17" i="5"/>
  <c r="AE17" i="5"/>
  <c r="AD17" i="5"/>
  <c r="AC17" i="5"/>
  <c r="AO17" i="5"/>
  <c r="AM17" i="5"/>
  <c r="AB17" i="5"/>
  <c r="AL17" i="5"/>
  <c r="AF17" i="5"/>
  <c r="AA17" i="5"/>
  <c r="AM45" i="5"/>
  <c r="AM44" i="5"/>
  <c r="AA44" i="5"/>
  <c r="AA45" i="5"/>
  <c r="AP29" i="5"/>
  <c r="AJ44" i="6"/>
  <c r="AJ45" i="6"/>
  <c r="AP15" i="6"/>
  <c r="AL44" i="6"/>
  <c r="AL45" i="6"/>
  <c r="D26" i="8"/>
  <c r="G26" i="8" s="1"/>
  <c r="G25" i="8"/>
  <c r="AP25" i="6"/>
  <c r="AP30" i="6" s="1"/>
  <c r="AF45" i="5"/>
  <c r="AF44" i="5"/>
  <c r="AG44" i="5"/>
  <c r="AG45" i="5"/>
  <c r="AI44" i="5"/>
  <c r="AI45" i="5"/>
  <c r="AB45" i="5"/>
  <c r="AB44" i="5"/>
  <c r="AO24" i="5"/>
  <c r="AP26" i="5"/>
  <c r="C26" i="7"/>
  <c r="AO44" i="6"/>
  <c r="AO45" i="6"/>
  <c r="AE44" i="5"/>
  <c r="AE45" i="5"/>
  <c r="AP41" i="6"/>
  <c r="C28" i="7"/>
  <c r="E28" i="7" s="1"/>
  <c r="AP42" i="6"/>
  <c r="AP39" i="6"/>
  <c r="AP36" i="6"/>
  <c r="AP43" i="6" s="1"/>
  <c r="AP27" i="5"/>
  <c r="AD44" i="5"/>
  <c r="AD45" i="5"/>
  <c r="AM23" i="5"/>
  <c r="AJ23" i="5"/>
  <c r="AL23" i="5"/>
  <c r="AK23" i="5"/>
  <c r="AI23" i="5"/>
  <c r="AG23" i="5"/>
  <c r="AF23" i="5"/>
  <c r="AE23" i="5"/>
  <c r="AH23" i="5"/>
  <c r="AD23" i="5"/>
  <c r="AC23" i="5"/>
  <c r="AB23" i="5"/>
  <c r="AA23" i="5"/>
  <c r="AO23" i="5"/>
  <c r="AD12" i="5"/>
  <c r="AA12" i="5"/>
  <c r="AC12" i="5"/>
  <c r="AB12" i="5"/>
  <c r="AO12" i="5"/>
  <c r="AM12" i="5"/>
  <c r="AL12" i="5"/>
  <c r="AH12" i="5"/>
  <c r="AI12" i="5"/>
  <c r="AK12" i="5"/>
  <c r="AE12" i="5"/>
  <c r="AJ12" i="5"/>
  <c r="AF12" i="5"/>
  <c r="AG12" i="5"/>
  <c r="AP25" i="5"/>
  <c r="AP30" i="5" s="1"/>
  <c r="AP36" i="5"/>
  <c r="AP43" i="5" s="1"/>
  <c r="AP29" i="6"/>
  <c r="AP19" i="6"/>
  <c r="AP10" i="6"/>
  <c r="AP24" i="6" s="1"/>
  <c r="AP23" i="6"/>
  <c r="AI44" i="6"/>
  <c r="AI45" i="6"/>
  <c r="AJ45" i="5"/>
  <c r="AJ44" i="5"/>
  <c r="AR34" i="6" l="1"/>
  <c r="AR33" i="6"/>
  <c r="AR42" i="6"/>
  <c r="AR31" i="6"/>
  <c r="AR22" i="6"/>
  <c r="AR41" i="6"/>
  <c r="AR14" i="6"/>
  <c r="AR36" i="6"/>
  <c r="AR40" i="6"/>
  <c r="AR39" i="6"/>
  <c r="AR38" i="6"/>
  <c r="AR17" i="6"/>
  <c r="AR11" i="6"/>
  <c r="AR16" i="6"/>
  <c r="AR37" i="6"/>
  <c r="AR15" i="6"/>
  <c r="AR20" i="6"/>
  <c r="AR18" i="6"/>
  <c r="AR13" i="6"/>
  <c r="AR12" i="6"/>
  <c r="AR32" i="6"/>
  <c r="AR19" i="6"/>
  <c r="AR23" i="6"/>
  <c r="AR10" i="6"/>
  <c r="AR44" i="6" s="1"/>
  <c r="AR21" i="6"/>
  <c r="AQ34" i="6"/>
  <c r="AQ11" i="6"/>
  <c r="AQ31" i="6"/>
  <c r="AQ22" i="6"/>
  <c r="AQ16" i="6"/>
  <c r="AQ13" i="6"/>
  <c r="AQ21" i="6"/>
  <c r="AQ17" i="6"/>
  <c r="AQ20" i="6"/>
  <c r="AQ19" i="6"/>
  <c r="AQ23" i="6"/>
  <c r="AQ33" i="6"/>
  <c r="AQ15" i="6"/>
  <c r="AQ18" i="6"/>
  <c r="AQ12" i="6"/>
  <c r="AQ14" i="6"/>
  <c r="AQ32" i="6"/>
  <c r="AQ10" i="6"/>
  <c r="C30" i="7"/>
  <c r="D33" i="7" s="1"/>
  <c r="E26" i="7"/>
  <c r="E31" i="7" s="1"/>
  <c r="C31" i="7"/>
  <c r="D34" i="7" s="1"/>
  <c r="AR12" i="5"/>
  <c r="C10" i="7"/>
  <c r="AP10" i="5"/>
  <c r="AO45" i="5"/>
  <c r="AO44" i="5"/>
  <c r="E12" i="7"/>
  <c r="E27" i="7"/>
  <c r="AQ17" i="5"/>
  <c r="AR17" i="5"/>
  <c r="AR23" i="5"/>
  <c r="AQ23" i="5"/>
  <c r="AQ20" i="5"/>
  <c r="AR20" i="5"/>
  <c r="AQ44" i="6" l="1"/>
  <c r="AQ34" i="5"/>
  <c r="AQ10" i="5"/>
  <c r="AQ15" i="5"/>
  <c r="AQ13" i="5"/>
  <c r="AQ32" i="5"/>
  <c r="AQ19" i="5"/>
  <c r="AQ33" i="5"/>
  <c r="AQ21" i="5"/>
  <c r="AQ16" i="5"/>
  <c r="AQ18" i="5"/>
  <c r="AQ31" i="5"/>
  <c r="AQ22" i="5"/>
  <c r="AQ14" i="5"/>
  <c r="AQ11" i="5"/>
  <c r="C15" i="7"/>
  <c r="D18" i="7" s="1"/>
  <c r="C14" i="7"/>
  <c r="E10" i="7"/>
  <c r="E15" i="7" s="1"/>
  <c r="D10" i="7"/>
  <c r="D14" i="7" s="1"/>
  <c r="E11" i="7"/>
  <c r="AR38" i="5"/>
  <c r="AR42" i="5"/>
  <c r="AR34" i="5"/>
  <c r="AR41" i="5"/>
  <c r="AR40" i="5"/>
  <c r="AR13" i="5"/>
  <c r="AR18" i="5"/>
  <c r="AR36" i="5"/>
  <c r="AR19" i="5"/>
  <c r="AR10" i="5"/>
  <c r="AR44" i="5" s="1"/>
  <c r="AR33" i="5"/>
  <c r="AR21" i="5"/>
  <c r="AR39" i="5"/>
  <c r="AR31" i="5"/>
  <c r="AR16" i="5"/>
  <c r="AR15" i="5"/>
  <c r="AR37" i="5"/>
  <c r="AR32" i="5"/>
  <c r="AR14" i="5"/>
  <c r="AR11" i="5"/>
  <c r="AR22" i="5"/>
  <c r="AQ12" i="5"/>
  <c r="AQ44" i="5" l="1"/>
  <c r="D17" i="7"/>
  <c r="D27" i="7"/>
  <c r="D11" i="7"/>
  <c r="D26" i="7"/>
  <c r="D30" i="7" s="1"/>
</calcChain>
</file>

<file path=xl/sharedStrings.xml><?xml version="1.0" encoding="utf-8"?>
<sst xmlns="http://schemas.openxmlformats.org/spreadsheetml/2006/main" count="945" uniqueCount="300">
  <si>
    <t>รายละเอียดขององค์กร</t>
  </si>
  <si>
    <r>
      <rPr>
        <b/>
        <sz val="10"/>
        <color rgb="FF000000"/>
        <rFont val="Tahoma"/>
      </rPr>
      <t>TCFO_R_01</t>
    </r>
    <r>
      <rPr>
        <sz val="10"/>
        <color rgb="FF000000"/>
        <rFont val="Tahoma"/>
      </rPr>
      <t xml:space="preserve">
Version 04 : 21/2/2020</t>
    </r>
  </si>
  <si>
    <t>ชื่อฟอร์ม</t>
  </si>
  <si>
    <t>บัญชีรายการก๊าซเรือนกระจก</t>
  </si>
  <si>
    <t>องค์กร</t>
  </si>
  <si>
    <t xml:space="preserve">หน้าที่ </t>
  </si>
  <si>
    <t>รหัสฟอร์ม</t>
  </si>
  <si>
    <t>Fr-01</t>
  </si>
  <si>
    <t>ผู้จัดทำ</t>
  </si>
  <si>
    <t>วันที่จัดทำ</t>
  </si>
  <si>
    <t>ชื่อองค์กรที่ขอขึ้นทะเบียน</t>
  </si>
  <si>
    <t>รูปขององค์กร</t>
  </si>
  <si>
    <t xml:space="preserve">ขอบเขตขององค์กร </t>
  </si>
  <si>
    <t xml:space="preserve">ประเภท 1 </t>
  </si>
  <si>
    <t>ประเภท 2</t>
  </si>
  <si>
    <t>ประเภท 3</t>
  </si>
  <si>
    <t>ระยะเวลาเก็บข้อมูล</t>
  </si>
  <si>
    <t xml:space="preserve"> ระบุปีที่เก็บข้อมูล เช่น ม.ค.63-ธ.ค.63</t>
  </si>
  <si>
    <t>ผลผลิต</t>
  </si>
  <si>
    <t>ระบุหน่วย</t>
  </si>
  <si>
    <t>ปีฐาน</t>
  </si>
  <si>
    <t xml:space="preserve"> ระบุปีฐาน เช่น ม.ค.61-ธ.ค.61</t>
  </si>
  <si>
    <t>ผลผลิตปีฐาน</t>
  </si>
  <si>
    <t>ข้อมูลองค์กร</t>
  </si>
  <si>
    <t>สถานที่ติดต่อ</t>
  </si>
  <si>
    <t>วันที่ขอขึ้นทะเบียน</t>
  </si>
  <si>
    <t>การแสดงเครื่องหมาย</t>
  </si>
  <si>
    <t>กราฟแท่งแสดงการปล่อย GHG แต่ละขอบเขต</t>
  </si>
  <si>
    <t>แผนภาพองค์กร</t>
  </si>
  <si>
    <t>Fr-02</t>
  </si>
  <si>
    <t>วันที่</t>
  </si>
  <si>
    <t>แผนภาพแสดงโครงสร้างขององค์กรและหน้าที่ความรับผิดชอบ</t>
  </si>
  <si>
    <t>Fr-03.1</t>
  </si>
  <si>
    <t>จัดทำโดย</t>
  </si>
  <si>
    <t>เสร็จสิ้นวันที่</t>
  </si>
  <si>
    <t>ประเมินความมีนัยสำคัญของการปล่อยก๊าซเรือนกระจกทางอ้อม (SCOPE 3)</t>
  </si>
  <si>
    <t>ประเมินความมีนัยสำคัญ Scope3</t>
  </si>
  <si>
    <t>Fr-03.2</t>
  </si>
  <si>
    <t>คำอธิบาย</t>
  </si>
  <si>
    <t>องค์กรจะต้องคัดเลือกแหล่งปล่อยก๊าซเรือนกระจกทางอ้อม (Scope 3) โดยกำหนดเกณฑ์ในการประเมินความมีนัยสำคัญของการปล่อยก๊าซเรือนกระจกทางอ้อม (Scope 3)</t>
  </si>
  <si>
    <t>ประเด็นที่ต้องพิจารณา</t>
  </si>
  <si>
    <t>Source of GHG</t>
  </si>
  <si>
    <t>องค์กรมีแหล่งปล่อยก๊าซเรือนกระจกนี้หรือไม่</t>
  </si>
  <si>
    <t>ขนาด (Magnitude or Size)</t>
  </si>
  <si>
    <t>เป็นกิจกรรมการปล่อยหรือดูดกลับก๊าซเรือนกระจกทางอ้อมซึ่งถูกสันนิษฐานว่ามีปริมาณการปล่อยหรือดูดกลับก๊าซเรือนกระจกในปริมาณมากอย่างมีนัยสำคัญ</t>
  </si>
  <si>
    <t>ระดับของแรงจูงใจ (Level of influence (Reduction of potential))</t>
  </si>
  <si>
    <t>เป็นกิจกรรมการปล่อยหรือดูดกลับก๊าซเรือนกระจกที่องค์กรมีความสามารถในการตรวจติดตามและลดปริมาณการปล่อยหรือดูดกลับก๊าซเรือนกระจกจากกิจกรรมนั้น(ตัวอย่างเช่นเป็นกิจกรรมที่เกี่ยวข้องกับการประเมินประสิทธิภาพพลังงาน การออกแบบเชิงนิเวศเศรษฐกิจ, เกี่ยวข้องกับข้อตกลงที่มีกับลูกค้า, เกี่ยวข้องกับข้อกำหนดขอบเขตงานจากผู้ว่าจ้าง)</t>
  </si>
  <si>
    <t>ความเสี่ยง หรือ โอกาส Risk or opportunity</t>
  </si>
  <si>
    <t>เป็นกิจกรรมการปล่อยหรือดูดกลับก๊าซเรือนกระจกทางอ้อมซึ่งมีส่วนทำให้องค์กรได้รับความเสี่ยง (ตัวอย่างของความเสี่ยงที่มีความเชื่อมโยงกับการเปลี่ยนแปลงสภาพภูมิอากาศ เช่น ความเสี่ยงทางด้านการเงิน, ความเสี่ยงทางด้านกฎระเบียบข้อบังคับ, ความเสี่ยงตลอดห่วงโซ่อุปทาน, ความเสี่ยงเกี่ยวกับสินค้าและลูกค้า, ความเสี่ยงเกี่ยวกับการดำเนินคดี และ ความเสี่ยงด้านชื่อเสียง) หรือได้รับโอกาสต่างๆ ทางธุรกิจ (เช่น การเข้าสู่ช่องทางตลาดใหม่ การเข้าสู่ระบบธุรกิจในรูปแบบใหม่)</t>
  </si>
  <si>
    <t xml:space="preserve">Sector Guidance </t>
  </si>
  <si>
    <t>เป็นกิจกรรมการปล่อยก๊าซเรือนกระจกที่ถูกถือว่ามีนัยสำคัญสำหรับอุตสาหกรรมที่กำลังพิจารณา ตามที่กำหนดไว้ในคู่มือหรือแนวทางที่เฉพาะเจาะจงสำหรับอุตสาหกรรมนั้น</t>
  </si>
  <si>
    <t>Outsourcing</t>
  </si>
  <si>
    <t>เป็นกิจกรรมการปล่อยและดูดกลับก๊าซเรือนกระจกทางอ้อมที่เกิดจากการจัดจ้างบุคคลหรือหน่วยงานภายนอกเข้ามาดำเนินกิจกรรมที่ถือว่า เป็นกิจกรรมหลักในการดำเนินธุรกิจขององค์กร</t>
  </si>
  <si>
    <t>Employee engagement</t>
  </si>
  <si>
    <t>เป็นกิจกรรมการปล่อยก๊าซเรือนกระจกทางอ้อมที่สามารถส่งเสริมให้เกิดการกระตุ้นให้พนักงานมีส่วนร่วมในการลดการปล่อยก๊าซเรือนกระจก ผ่านการลดการใช้พลังงาน หรือการทำงานร่วมกันเป็นทีมภายใต้หลักคิดที่เกี่ยวข้องกับการเปลี่ยนแปลงสภาพภูมิอากาศ (เช่น การสร้างแรงจูงใจในการอนุรักษ์พลังงาน, การเดินทาง โดยใช้รถร่วมกัน, การประเมินราคาคาร์บอนภายในองค์กร เป็นต้น)</t>
  </si>
  <si>
    <t>ที่มา : หัวข้อที่ 12 ข้อกำหนดในการคำนวณและรายงานคาร์บอนฟุตพริ้นท์ขององค์กร พิมพ์ครั้งที่ 7 (ฉบับปรับปรุงครั้งที่ 5, มกราคม 2564)</t>
  </si>
  <si>
    <t>No</t>
  </si>
  <si>
    <t>Category</t>
  </si>
  <si>
    <t>Magnitude</t>
  </si>
  <si>
    <t>Level of influence (Reduction of potential)</t>
  </si>
  <si>
    <t xml:space="preserve">opportunity or Risk </t>
  </si>
  <si>
    <t>Remark</t>
  </si>
  <si>
    <t>Purchased goods and services</t>
  </si>
  <si>
    <t>P</t>
  </si>
  <si>
    <t>Capital goods</t>
  </si>
  <si>
    <t>Fuel- and energy related activities</t>
  </si>
  <si>
    <t>Upstream transportation and distribution</t>
  </si>
  <si>
    <t>Waste generated in operations</t>
  </si>
  <si>
    <t>Business travel</t>
  </si>
  <si>
    <t>Employee commuting</t>
  </si>
  <si>
    <t>Upstream leased assets</t>
  </si>
  <si>
    <t>Downstream transportation and distribution</t>
  </si>
  <si>
    <t>Processing of sold products</t>
  </si>
  <si>
    <t>Use of sold products</t>
  </si>
  <si>
    <t>End-of-life treatment of sold products</t>
  </si>
  <si>
    <t>Downstream leased assets</t>
  </si>
  <si>
    <t>Franchises</t>
  </si>
  <si>
    <t>Investments</t>
  </si>
  <si>
    <t>อธิบาย หลักเกณฑ์ในการประเมินความมีนัยสำคัญ</t>
  </si>
  <si>
    <t>ปีที่เก็บข้อมูล</t>
  </si>
  <si>
    <t>Fr-04.1</t>
  </si>
  <si>
    <t>ขอบเขต</t>
  </si>
  <si>
    <t>รายการ</t>
  </si>
  <si>
    <t xml:space="preserve">ค่า LCI </t>
  </si>
  <si>
    <t>GHG ที่ต้องรายงานตามข้อกำหนด</t>
  </si>
  <si>
    <t>GHG ที่อยู่นอกข้อกำหนด</t>
  </si>
  <si>
    <t>Total (kgCO2e/หน่วย)</t>
  </si>
  <si>
    <t>ที่มา</t>
  </si>
  <si>
    <t>Subsitute</t>
  </si>
  <si>
    <t>แหล่งอ้างอิง</t>
  </si>
  <si>
    <t>ผลคูณ (Ton GHG)</t>
  </si>
  <si>
    <t>ผลคูณ (TonCO2e)</t>
  </si>
  <si>
    <t>Total GHG</t>
  </si>
  <si>
    <t>สัดส่วน (%)</t>
  </si>
  <si>
    <t>สัดส่วน (%) (SCOPE 1+2)</t>
  </si>
  <si>
    <t>สัดส่วน (%) (SCOPE 1+2+3)</t>
  </si>
  <si>
    <t>คำอธิบายเพิ่มเติม</t>
  </si>
  <si>
    <r>
      <t>GWP</t>
    </r>
    <r>
      <rPr>
        <b/>
        <vertAlign val="subscript"/>
        <sz val="11"/>
        <color rgb="FFFFFFFF"/>
        <rFont val="Calibri"/>
      </rPr>
      <t>100</t>
    </r>
  </si>
  <si>
    <t>1st</t>
  </si>
  <si>
    <t>2nd</t>
  </si>
  <si>
    <t>Other</t>
  </si>
  <si>
    <t>IPCC, AR5</t>
  </si>
  <si>
    <t>ค่า EF (kg GHG/หน่วย)</t>
  </si>
  <si>
    <r>
      <t>GWP</t>
    </r>
    <r>
      <rPr>
        <b/>
        <vertAlign val="subscript"/>
        <sz val="8"/>
        <color rgb="FFFFFFFF"/>
        <rFont val="Tahoma"/>
      </rPr>
      <t>100</t>
    </r>
  </si>
  <si>
    <t>Self collct</t>
  </si>
  <si>
    <t>Supplier</t>
  </si>
  <si>
    <t>TH LCI DB</t>
  </si>
  <si>
    <t>TGO EF</t>
  </si>
  <si>
    <t>Thai Res.</t>
  </si>
  <si>
    <t>Int. DB</t>
  </si>
  <si>
    <t xml:space="preserve"> (TonCO2e)</t>
  </si>
  <si>
    <t>CO2</t>
  </si>
  <si>
    <t>หน่วย</t>
  </si>
  <si>
    <t>ปริมาณ</t>
  </si>
  <si>
    <r>
      <t>CO</t>
    </r>
    <r>
      <rPr>
        <b/>
        <vertAlign val="subscript"/>
        <sz val="8"/>
        <color rgb="FFFFFFFF"/>
        <rFont val="Tahoma"/>
      </rPr>
      <t>2</t>
    </r>
  </si>
  <si>
    <t xml:space="preserve">Fossil CH4 </t>
  </si>
  <si>
    <r>
      <t>CH</t>
    </r>
    <r>
      <rPr>
        <b/>
        <vertAlign val="subscript"/>
        <sz val="8"/>
        <color rgb="FFFFFFFF"/>
        <rFont val="Tahoma"/>
      </rPr>
      <t>4</t>
    </r>
  </si>
  <si>
    <r>
      <t>N</t>
    </r>
    <r>
      <rPr>
        <b/>
        <vertAlign val="subscript"/>
        <sz val="8"/>
        <color rgb="FFFFFFFF"/>
        <rFont val="Tahoma"/>
      </rPr>
      <t>2</t>
    </r>
    <r>
      <rPr>
        <b/>
        <sz val="8"/>
        <color rgb="FFFFFFFF"/>
        <rFont val="Tahoma"/>
      </rPr>
      <t>O</t>
    </r>
  </si>
  <si>
    <r>
      <t>SF</t>
    </r>
    <r>
      <rPr>
        <b/>
        <vertAlign val="subscript"/>
        <sz val="8"/>
        <color rgb="FFFFFFFF"/>
        <rFont val="Tahoma"/>
      </rPr>
      <t>6</t>
    </r>
  </si>
  <si>
    <r>
      <t>NF</t>
    </r>
    <r>
      <rPr>
        <b/>
        <vertAlign val="subscript"/>
        <sz val="8"/>
        <color rgb="FFFFFFFF"/>
        <rFont val="Tahoma"/>
      </rPr>
      <t>3</t>
    </r>
  </si>
  <si>
    <t>HFCs</t>
  </si>
  <si>
    <t>PFCs</t>
  </si>
  <si>
    <t>CH4</t>
  </si>
  <si>
    <t>N2O</t>
  </si>
  <si>
    <t>SF6</t>
  </si>
  <si>
    <t>NF3</t>
  </si>
  <si>
    <t>ขอบเขต 1</t>
  </si>
  <si>
    <t>การปล่อย GHG โดยตรงที่ทำการรายงานแยก</t>
  </si>
  <si>
    <t>ขอบเขต 2</t>
  </si>
  <si>
    <t>ขอบเขต 3</t>
  </si>
  <si>
    <t>บัญชีรายการก๊าซเรือนกระจก ปีฐาน (base year)</t>
  </si>
  <si>
    <t>Fr-04.2</t>
  </si>
  <si>
    <t>ระบุความแตกต่างระหว่างการรายงานปริมาณก๊าซเรือนกระจกของปีฐานและปีปัจจุบัน</t>
  </si>
  <si>
    <t>สรุปการปล่อยก๊าซเรือนกระจกขององค์กร</t>
  </si>
  <si>
    <r>
      <rPr>
        <b/>
        <sz val="12"/>
        <color rgb="FF000000"/>
        <rFont val="Tahoma"/>
      </rPr>
      <t>TCFO_R_01</t>
    </r>
    <r>
      <rPr>
        <sz val="11"/>
        <color rgb="FF000000"/>
        <rFont val="Tahoma"/>
      </rPr>
      <t xml:space="preserve">
</t>
    </r>
    <r>
      <rPr>
        <sz val="8"/>
        <color rgb="FF000000"/>
        <rFont val="Tahoma"/>
      </rPr>
      <t>Version 04 : 21/2/2020</t>
    </r>
  </si>
  <si>
    <t>Fr-05</t>
  </si>
  <si>
    <t>ปีปัจจุบัน</t>
  </si>
  <si>
    <t>การปล่อยก๊าซเรือนกระจกขององค์กร</t>
  </si>
  <si>
    <t>สัดส่วนเมื่อเทียบขอบเขต 1 และ 2</t>
  </si>
  <si>
    <t>สัดส่วนเมื่อเทียบขอบเขต 1, 2 และ 3</t>
  </si>
  <si>
    <t>ประเภท 1</t>
  </si>
  <si>
    <t>อื่น ๆ</t>
  </si>
  <si>
    <t>รวม Scope 1 &amp; 2</t>
  </si>
  <si>
    <t>รวม Scope 1 &amp; 2 &amp; 3</t>
  </si>
  <si>
    <t>Carbon intensity (Scope 1+2)</t>
  </si>
  <si>
    <t>TonCO2eq/</t>
  </si>
  <si>
    <t>Carbon intensity (Scope 1+2+3)</t>
  </si>
  <si>
    <t>เปรียบเทียบ</t>
  </si>
  <si>
    <t>ชื่อ</t>
  </si>
  <si>
    <t>Units</t>
  </si>
  <si>
    <t>EMISSION FACTORS</t>
  </si>
  <si>
    <t>แหล่งอ้างอิงข้อมูล</t>
  </si>
  <si>
    <r>
      <t>CO</t>
    </r>
    <r>
      <rPr>
        <b/>
        <vertAlign val="subscript"/>
        <sz val="10"/>
        <color rgb="FFFFFFFF"/>
        <rFont val="Arial"/>
      </rPr>
      <t>2</t>
    </r>
  </si>
  <si>
    <r>
      <t>CH</t>
    </r>
    <r>
      <rPr>
        <b/>
        <vertAlign val="subscript"/>
        <sz val="10"/>
        <color rgb="FFFFFFFF"/>
        <rFont val="Arial"/>
      </rPr>
      <t>4</t>
    </r>
  </si>
  <si>
    <r>
      <t>N</t>
    </r>
    <r>
      <rPr>
        <b/>
        <vertAlign val="subscript"/>
        <sz val="10"/>
        <color rgb="FFFFFFFF"/>
        <rFont val="Arial"/>
      </rPr>
      <t>2</t>
    </r>
    <r>
      <rPr>
        <b/>
        <sz val="10"/>
        <color rgb="FFFFFFFF"/>
        <rFont val="Arial"/>
      </rPr>
      <t>O</t>
    </r>
  </si>
  <si>
    <t>Total</t>
  </si>
  <si>
    <t>IPCC, AR4</t>
  </si>
  <si>
    <r>
      <t>[kg CO</t>
    </r>
    <r>
      <rPr>
        <b/>
        <vertAlign val="subscript"/>
        <sz val="10"/>
        <color rgb="FFFFFFFF"/>
        <rFont val="Arial"/>
      </rPr>
      <t>2</t>
    </r>
    <r>
      <rPr>
        <b/>
        <sz val="10"/>
        <color rgb="FFFFFFFF"/>
        <rFont val="Arial"/>
      </rPr>
      <t>/unit]</t>
    </r>
  </si>
  <si>
    <r>
      <t>[kg CH</t>
    </r>
    <r>
      <rPr>
        <b/>
        <vertAlign val="subscript"/>
        <sz val="10"/>
        <color rgb="FFFFFFFF"/>
        <rFont val="Arial"/>
      </rPr>
      <t>4</t>
    </r>
    <r>
      <rPr>
        <b/>
        <sz val="10"/>
        <color rgb="FFFFFFFF"/>
        <rFont val="Arial"/>
      </rPr>
      <t>/unit]</t>
    </r>
  </si>
  <si>
    <r>
      <t>[kg N</t>
    </r>
    <r>
      <rPr>
        <b/>
        <vertAlign val="subscript"/>
        <sz val="10"/>
        <color rgb="FFFFFFFF"/>
        <rFont val="Arial"/>
      </rPr>
      <t>2</t>
    </r>
    <r>
      <rPr>
        <b/>
        <sz val="10"/>
        <color rgb="FFFFFFFF"/>
        <rFont val="Arial"/>
      </rPr>
      <t>O/unit]</t>
    </r>
  </si>
  <si>
    <r>
      <t>[kg CO</t>
    </r>
    <r>
      <rPr>
        <b/>
        <vertAlign val="subscript"/>
        <sz val="10"/>
        <color rgb="FFFFFFFF"/>
        <rFont val="Arial"/>
      </rPr>
      <t>2</t>
    </r>
    <r>
      <rPr>
        <b/>
        <sz val="10"/>
        <color rgb="FFFFFFFF"/>
        <rFont val="Arial"/>
      </rPr>
      <t>eq/unit]</t>
    </r>
  </si>
  <si>
    <t>Stationary Combustion</t>
  </si>
  <si>
    <t>Natural gas</t>
  </si>
  <si>
    <t>scf</t>
  </si>
  <si>
    <t>IPCC Vol.2 table 2.2, DEDE</t>
  </si>
  <si>
    <t>MJ</t>
  </si>
  <si>
    <t>Lignite</t>
  </si>
  <si>
    <t>kg</t>
  </si>
  <si>
    <t>Fuel oil A</t>
  </si>
  <si>
    <t>litre</t>
  </si>
  <si>
    <t>IPCC Vol.2 table 2.2, PTT</t>
  </si>
  <si>
    <t>PASS: 12345678</t>
  </si>
  <si>
    <t>Fuel oil C</t>
  </si>
  <si>
    <t>Gas/Diesel oil</t>
  </si>
  <si>
    <t>Anthracite</t>
  </si>
  <si>
    <t>Sub-bituminous coal</t>
  </si>
  <si>
    <t>Jet Kerosene</t>
  </si>
  <si>
    <t>LPG</t>
  </si>
  <si>
    <t>IPCC Vol.2 table 2.2, DEDE LPG 1 litre = 0.54 kg</t>
  </si>
  <si>
    <t>Motor gasoline</t>
  </si>
  <si>
    <t>Mobile Combustion (On road)</t>
  </si>
  <si>
    <t xml:space="preserve">Motor Gasoline - uncontrolled </t>
  </si>
  <si>
    <t>IPCC Vol.2 table 3.2.1, 3.2.2, DEDE</t>
  </si>
  <si>
    <t>Motor Gasoline - oxydation catalyst</t>
  </si>
  <si>
    <t>Motor Gasoline - low mileage light duty vihicle vintage 1995 or later</t>
  </si>
  <si>
    <t>Gas/ Diesel Oil</t>
  </si>
  <si>
    <t>Compressed Natural Gas</t>
  </si>
  <si>
    <t>IPCC Vol.2 table 3.2.1, 3.2.2, PTT</t>
  </si>
  <si>
    <t>Liquified Petroleum Gas</t>
  </si>
  <si>
    <t>IPCC Vol.2 table 3.2.1, 3.2.2, DEDE LPG 1 litre = 0.54 kg</t>
  </si>
  <si>
    <t>Mobile Combustion (Off road)</t>
  </si>
  <si>
    <t>Diesel</t>
  </si>
  <si>
    <t>- Agriculture</t>
  </si>
  <si>
    <t>IPCC Vol.2 table 3.3.1, DEDE</t>
  </si>
  <si>
    <t xml:space="preserve">- Forestry </t>
  </si>
  <si>
    <t xml:space="preserve">- Industry </t>
  </si>
  <si>
    <t>- Household</t>
  </si>
  <si>
    <t>Motor Gasoline - 4 stroke</t>
  </si>
  <si>
    <t>Motor Gasoline - 2 stroke</t>
  </si>
  <si>
    <t>IPCC</t>
  </si>
  <si>
    <t>DEDE</t>
  </si>
  <si>
    <t>[kg/TJ]</t>
  </si>
  <si>
    <t>[MJ/unit]</t>
  </si>
  <si>
    <t>unit</t>
  </si>
  <si>
    <t>NCV</t>
  </si>
  <si>
    <t>dry basis</t>
  </si>
  <si>
    <t>*ref. from PTT</t>
  </si>
  <si>
    <t>gasoline</t>
  </si>
  <si>
    <t>Motor Gasoline -oxydation catalyst</t>
  </si>
  <si>
    <t xml:space="preserve">Mobile Combustion (Off road) </t>
  </si>
  <si>
    <r>
      <t>Fossil CH</t>
    </r>
    <r>
      <rPr>
        <b/>
        <vertAlign val="subscript"/>
        <sz val="10"/>
        <color rgb="FFFFFFFF"/>
        <rFont val="Arial"/>
      </rPr>
      <t xml:space="preserve">4 </t>
    </r>
  </si>
  <si>
    <r>
      <t>CH</t>
    </r>
    <r>
      <rPr>
        <b/>
        <vertAlign val="subscript"/>
        <sz val="10"/>
        <color rgb="FFFFFFFF"/>
        <rFont val="Arial"/>
      </rPr>
      <t xml:space="preserve">4 </t>
    </r>
  </si>
  <si>
    <t>FUEL WOOD</t>
  </si>
  <si>
    <t>Bagasse</t>
  </si>
  <si>
    <t xml:space="preserve">Palm kernel shell </t>
  </si>
  <si>
    <t>Cob</t>
  </si>
  <si>
    <t>Biogas</t>
  </si>
  <si>
    <t>m3</t>
  </si>
  <si>
    <t>FUEL WOOD (CO2only)</t>
  </si>
  <si>
    <t>Bagasse (CO2only)</t>
  </si>
  <si>
    <t>Palm kernel shell (CO2only)</t>
  </si>
  <si>
    <t>Cob (CO2only)</t>
  </si>
  <si>
    <t>Biogas (CO2only)</t>
  </si>
  <si>
    <t>Electricity, grid mix (ไฟฟ้า)</t>
  </si>
  <si>
    <t>ไฟฟ้าแบบ grid mix ปี 2016-2018; LCIA
method IPCC 2013 GWP 100a V1.03</t>
  </si>
  <si>
    <t>kWh</t>
  </si>
  <si>
    <t xml:space="preserve"> -</t>
  </si>
  <si>
    <t>Thai National LCI Database,
TIISMTEC-NSTDA, AR5
(with TGO electricity 2016-2018)</t>
  </si>
  <si>
    <t>Refrigerants (สารทำความเย็น)</t>
  </si>
  <si>
    <t>R-22 (HCFC-22)</t>
  </si>
  <si>
    <t>IPCC 2013, AR5</t>
  </si>
  <si>
    <t>R-32</t>
  </si>
  <si>
    <t>R-125</t>
  </si>
  <si>
    <t>R-134</t>
  </si>
  <si>
    <t>R-134a</t>
  </si>
  <si>
    <t>R-143</t>
  </si>
  <si>
    <t>R-143a</t>
  </si>
  <si>
    <t>ทั้งนี้สำหรับ Emission Factor ใน Scope 3 สามารถค้นหาได้ที่</t>
  </si>
  <si>
    <t>http://thaicarbonlabel.tgo.or.th/products_emission/products_emission.pnc</t>
  </si>
  <si>
    <t>Residual fuel oil (Fuel oil A)</t>
  </si>
  <si>
    <t>Residual fuel oil (Fuel oil C)</t>
  </si>
  <si>
    <t>Wood / Wood Waste (FUEL WOOD)</t>
  </si>
  <si>
    <t>Other Primary Solid
Biomass</t>
  </si>
  <si>
    <r>
      <t>m</t>
    </r>
    <r>
      <rPr>
        <vertAlign val="superscript"/>
        <sz val="11"/>
        <color rgb="FF000000"/>
        <rFont val="Calibri"/>
      </rPr>
      <t>3</t>
    </r>
  </si>
  <si>
    <t>บันทึกการแก้ไข</t>
  </si>
  <si>
    <t>ลำดับ</t>
  </si>
  <si>
    <t>Sheet</t>
  </si>
  <si>
    <t>Cell</t>
  </si>
  <si>
    <t>รายละเอียด</t>
  </si>
  <si>
    <t>ผู้ทำการแก้ไข</t>
  </si>
  <si>
    <t>Fr-04</t>
  </si>
  <si>
    <t>AM,AN,AO</t>
  </si>
  <si>
    <t>เพิ่มการคำนวณสัดส่วน (%)</t>
  </si>
  <si>
    <t>มนต์ชัย จิตติปัญญากุล</t>
  </si>
  <si>
    <t>C10-C13</t>
  </si>
  <si>
    <t>ลบสูตร Round up</t>
  </si>
  <si>
    <t>B15</t>
  </si>
  <si>
    <t>เพิ่มการคำนวณรวม Scope 1 &amp; 2 &amp; 3</t>
  </si>
  <si>
    <t>TGO_EF</t>
  </si>
  <si>
    <t>เพิ่ม EF  Gasoline Stationary Combustion</t>
  </si>
  <si>
    <t>เพิ่ม Sheet EF TGO AR5</t>
  </si>
  <si>
    <t>แก้ไขสูตรการคำนวณให้ใช้ GWP AR5</t>
  </si>
  <si>
    <t>ใส่สูตร Roundup ในแต่ละ SCOPE</t>
  </si>
  <si>
    <t>เพิ่ม EF  ไฟฟ้า และสารทำความเย็น</t>
  </si>
  <si>
    <t>Fr-01 Fr-05</t>
  </si>
  <si>
    <t>เพิ่ม การคำนวณ Carbon Intensity</t>
  </si>
  <si>
    <t>Fr-01, Fr-04.2, Fr-05</t>
  </si>
  <si>
    <t>เพิ่ม การคำนวณปีฐาน</t>
  </si>
  <si>
    <t>EF TGO AR5</t>
  </si>
  <si>
    <t>เพิ่ม EF Biomass</t>
  </si>
  <si>
    <t xml:space="preserve">Fr-03.2 </t>
  </si>
  <si>
    <t>เพิ่ม Fr-03.2 ประเมินความมีนัยสำคัญของการปล่อยก๊าซเรือนกระจกทางอ้อม (SCOPE 3)</t>
  </si>
  <si>
    <t>เพิ่มค่า GWP Fossil CH4 และแก้ไขการคำนวณ EF การเผาไหม้เชื้อเพลิงฟอสซิล</t>
  </si>
  <si>
    <t>เพิ่มค่า GWP Fossil CH4 และแก้ไขการคำนวณ Total (kgCO2e/หน่วย)</t>
  </si>
  <si>
    <t>เพิ่มคอลัมน์ Fossil CH4</t>
  </si>
  <si>
    <t>RowId</t>
  </si>
  <si>
    <t>ItemLabel</t>
  </si>
  <si>
    <t>FuelType</t>
  </si>
  <si>
    <t>Evidence</t>
  </si>
  <si>
    <t>Unit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</si>
  <si>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</si>
  <si>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</si>
  <si>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</si>
  <si>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</si>
  <si>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</si>
  <si>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</si>
  <si>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</si>
  <si>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</si>
  <si>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</si>
  <si>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M10</t>
  </si>
  <si>
    <t>M11</t>
  </si>
  <si>
    <t>M12</t>
  </si>
  <si>
    <t>OtherDieselPct</t>
  </si>
  <si>
    <t>OtherBiodieselPct</t>
  </si>
  <si>
    <t>OtherGasolinePct</t>
  </si>
  <si>
    <t>OtherEthanolPct</t>
  </si>
  <si>
    <t>OtherBiodieselDensityKgPerL</t>
  </si>
  <si>
    <t>OtherEthanolDensityKgPerL</t>
  </si>
  <si>
    <t>IncludeFR041</t>
  </si>
  <si>
    <t>Include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</si>
</sst>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87" formatCode="_(* #,##0.0000_);_(* \(#,##0.0000\);_(* &quot;-&quot;??_);_(@_)"/>
    <numFmt numFmtId="188" formatCode="_(* #,##0.00_);_(* \(#,##0.00\);_(* &quot;-&quot;??_);_(@_)"/>
    <numFmt numFmtId="189" formatCode="_(* #,##0_);_(* \(#,##0\);_(* &quot;-&quot;??_);_(@_)"/>
    <numFmt numFmtId="190" formatCode="_-* #,##0.0000_-;\-* #,##0.0000_-;_-* &quot;-&quot;??_-;_-@_-"/>
    <numFmt numFmtId="191" formatCode="0.000000"/>
    <numFmt numFmtId="192" formatCode="0.0000"/>
    <numFmt numFmtId="193" formatCode="_(* #,##0.000000_);_(* \(#,##0.000000\);_(* &quot;-&quot;??_);_(@_)"/>
  </numFmts>
  <fonts count="55" x14ac:knownFonts="1">
    <font>
      <sz val="11"/>
      <color theme="1"/>
      <name val="Tahoma"/>
      <charset val="222"/>
      <scheme val="minor"/>
    </font>
    <font>
      <b/>
      <sz val="10"/>
      <color rgb="FF000000"/>
      <name val="Tahoma"/>
    </font>
    <font>
      <b/>
      <sz val="8"/>
      <color theme="0"/>
      <name val="Tahoma"/>
    </font>
    <font>
      <b/>
      <sz val="8"/>
      <color rgb="FF000000"/>
      <name val="Tahoma"/>
    </font>
    <font>
      <sz val="8"/>
      <color rgb="FF000000"/>
      <name val="Tahoma"/>
    </font>
    <font>
      <sz val="8"/>
      <color rgb="FFFF0000"/>
      <name val="Tahoma"/>
    </font>
    <font>
      <sz val="10"/>
      <color rgb="FF000000"/>
      <name val="Tahoma"/>
    </font>
    <font>
      <sz val="8"/>
      <color theme="0"/>
      <name val="Tahoma"/>
    </font>
    <font>
      <sz val="8"/>
      <color theme="1"/>
      <name val="Tahoma"/>
    </font>
    <font>
      <sz val="8"/>
      <color theme="1"/>
      <name val="Tahoma"/>
      <charset val="222"/>
      <scheme val="minor"/>
    </font>
    <font>
      <b/>
      <u/>
      <sz val="8"/>
      <color rgb="FF000000"/>
      <name val="Tahoma"/>
    </font>
    <font>
      <b/>
      <sz val="10"/>
      <color theme="0"/>
      <name val="Tahoma"/>
    </font>
    <font>
      <sz val="14"/>
      <color theme="1"/>
      <name val="FreesiaUPC"/>
    </font>
    <font>
      <b/>
      <sz val="9"/>
      <color rgb="FF000000"/>
      <name val="Tahoma"/>
    </font>
    <font>
      <i/>
      <sz val="9"/>
      <color rgb="FF0000FF"/>
      <name val="Tahoma"/>
    </font>
    <font>
      <b/>
      <i/>
      <sz val="9"/>
      <color theme="0"/>
      <name val="Tahoma"/>
    </font>
    <font>
      <sz val="10"/>
      <color theme="0"/>
      <name val="Tahoma"/>
    </font>
    <font>
      <b/>
      <sz val="10"/>
      <color theme="1"/>
      <name val="Tahoma"/>
    </font>
    <font>
      <sz val="10"/>
      <color rgb="FF000000"/>
      <name val="Arial"/>
    </font>
    <font>
      <sz val="11"/>
      <color rgb="FF000000"/>
      <name val="Tahoma"/>
    </font>
    <font>
      <sz val="11"/>
      <color rgb="FF000000"/>
      <name val="Tahoma"/>
      <charset val="222"/>
      <scheme val="minor"/>
    </font>
    <font>
      <b/>
      <sz val="11"/>
      <color rgb="FF000000"/>
      <name val="Tahoma"/>
      <charset val="222"/>
      <scheme val="minor"/>
    </font>
    <font>
      <b/>
      <sz val="11"/>
      <color theme="0"/>
      <name val="Tahoma"/>
      <charset val="222"/>
      <scheme val="minor"/>
    </font>
    <font>
      <b/>
      <sz val="10"/>
      <color theme="0"/>
      <name val="Arial"/>
    </font>
    <font>
      <b/>
      <sz val="10"/>
      <color rgb="FF000000"/>
      <name val="Arial"/>
    </font>
    <font>
      <sz val="10"/>
      <color theme="0"/>
      <name val="Arial"/>
    </font>
    <font>
      <b/>
      <sz val="9"/>
      <color theme="0"/>
      <name val="Tahoma"/>
    </font>
    <font>
      <b/>
      <i/>
      <sz val="8"/>
      <color rgb="FF3333FF"/>
      <name val="Tahoma"/>
    </font>
    <font>
      <sz val="10"/>
      <color theme="1"/>
      <name val="Tahoma"/>
    </font>
    <font>
      <u/>
      <sz val="11"/>
      <color theme="10"/>
      <name val="Tahoma"/>
      <charset val="222"/>
      <scheme val="minor"/>
    </font>
    <font>
      <sz val="10"/>
      <color rgb="FF0070C0"/>
      <name val="Tahoma"/>
    </font>
    <font>
      <i/>
      <sz val="10"/>
      <color rgb="FF0000FF"/>
      <name val="Tahoma"/>
    </font>
    <font>
      <sz val="11"/>
      <color theme="1"/>
      <name val="Tahoma"/>
    </font>
    <font>
      <b/>
      <sz val="10"/>
      <color rgb="FF0070C0"/>
      <name val="Tahoma"/>
    </font>
    <font>
      <sz val="10"/>
      <color theme="1"/>
      <name val="Wingdings 2"/>
      <charset val="2"/>
    </font>
    <font>
      <b/>
      <sz val="14"/>
      <color rgb="FF000000"/>
      <name val="Tahoma"/>
    </font>
    <font>
      <sz val="10"/>
      <color theme="1"/>
      <name val="Arial"/>
    </font>
    <font>
      <b/>
      <i/>
      <sz val="10"/>
      <color rgb="FF0000FF"/>
      <name val="Tahoma"/>
    </font>
    <font>
      <b/>
      <sz val="10"/>
      <color rgb="FF3333FF"/>
      <name val="Tahoma"/>
    </font>
    <font>
      <sz val="10"/>
      <color rgb="FFD9D9D9"/>
      <name val="Tahoma"/>
    </font>
    <font>
      <b/>
      <sz val="10"/>
      <color rgb="FFFFFF00"/>
      <name val="Tahoma"/>
    </font>
    <font>
      <b/>
      <sz val="10"/>
      <color rgb="FFFFFF00"/>
      <name val="Arial"/>
    </font>
    <font>
      <b/>
      <sz val="16"/>
      <color rgb="FF000000"/>
      <name val="Tahoma"/>
    </font>
    <font>
      <sz val="9"/>
      <color rgb="FF000000"/>
      <name val="Tahoma"/>
    </font>
    <font>
      <b/>
      <sz val="18"/>
      <color rgb="FF000000"/>
      <name val="Tahoma"/>
    </font>
    <font>
      <b/>
      <i/>
      <sz val="10"/>
      <color rgb="FF558ED5"/>
      <name val="Tahoma"/>
    </font>
    <font>
      <b/>
      <sz val="12"/>
      <color rgb="FF000000"/>
      <name val="Tahoma"/>
    </font>
    <font>
      <sz val="18"/>
      <color rgb="FF000000"/>
      <name val="Tahoma"/>
    </font>
    <font>
      <sz val="11"/>
      <color theme="0"/>
      <name val="Tahoma"/>
      <charset val="222"/>
      <scheme val="minor"/>
    </font>
    <font>
      <b/>
      <vertAlign val="subscript"/>
      <sz val="11"/>
      <color rgb="FFFFFFFF"/>
      <name val="Calibri"/>
    </font>
    <font>
      <b/>
      <vertAlign val="subscript"/>
      <sz val="8"/>
      <color rgb="FFFFFFFF"/>
      <name val="Tahoma"/>
    </font>
    <font>
      <b/>
      <sz val="8"/>
      <color rgb="FFFFFFFF"/>
      <name val="Tahoma"/>
    </font>
    <font>
      <b/>
      <vertAlign val="subscript"/>
      <sz val="10"/>
      <color rgb="FFFFFFFF"/>
      <name val="Arial"/>
    </font>
    <font>
      <b/>
      <sz val="10"/>
      <color rgb="FFFFFFFF"/>
      <name val="Arial"/>
    </font>
    <font>
      <vertAlign val="superscript"/>
      <sz val="11"/>
      <color rgb="FF000000"/>
      <name val="Calibri"/>
    </font>
  </fonts>
  <fills count="30">
    <fill>
      <patternFill patternType="none"/>
    </fill>
    <fill>
      <patternFill patternType="gray125"/>
    </fill>
    <fill>
      <patternFill patternType="solid">
        <fgColor rgb="FF4B462A"/>
        <bgColor rgb="FFFFFFFF"/>
      </patternFill>
    </fill>
    <fill>
      <patternFill patternType="solid">
        <fgColor rgb="FF77943C"/>
        <bgColor rgb="FFFFFFFF"/>
      </patternFill>
    </fill>
    <fill>
      <patternFill patternType="solid">
        <fgColor rgb="FF953735"/>
        <bgColor rgb="FFFFFFFF"/>
      </patternFill>
    </fill>
    <fill>
      <patternFill patternType="solid">
        <fgColor rgb="FFBFBFBF"/>
        <bgColor rgb="FFFFFFFF"/>
      </patternFill>
    </fill>
    <fill>
      <patternFill patternType="solid">
        <fgColor rgb="FFEBF1DE"/>
        <bgColor rgb="FFFFFFFF"/>
      </patternFill>
    </fill>
    <fill>
      <patternFill patternType="solid">
        <fgColor rgb="FF808080"/>
        <bgColor rgb="FFFFFFFF"/>
      </patternFill>
    </fill>
    <fill>
      <patternFill patternType="solid">
        <fgColor rgb="FFFFFF00"/>
        <bgColor rgb="FFFFFFFF"/>
      </patternFill>
    </fill>
    <fill>
      <patternFill patternType="solid">
        <fgColor rgb="FF002060"/>
        <bgColor rgb="FFFFFFFF"/>
      </patternFill>
    </fill>
    <fill>
      <patternFill patternType="solid">
        <fgColor rgb="FFDBE5F2"/>
        <bgColor rgb="FFFFFFFF"/>
      </patternFill>
    </fill>
    <fill>
      <patternFill patternType="solid">
        <fgColor rgb="FFDBEFF4"/>
        <bgColor rgb="FFFFFFFF"/>
      </patternFill>
    </fill>
    <fill>
      <patternFill patternType="solid">
        <fgColor rgb="FFF2F2F2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E46C0A"/>
        <bgColor rgb="FFFFFFFF"/>
      </patternFill>
    </fill>
    <fill>
      <patternFill patternType="solid">
        <fgColor rgb="FF254061"/>
        <bgColor rgb="FFFFFFFF"/>
      </patternFill>
    </fill>
    <fill>
      <patternFill patternType="solid">
        <fgColor rgb="FF595959"/>
        <bgColor rgb="FFFFFFFF"/>
      </patternFill>
    </fill>
    <fill>
      <patternFill patternType="solid">
        <fgColor rgb="FFFCD5B6"/>
        <bgColor rgb="FFFFFFFF"/>
      </patternFill>
    </fill>
    <fill>
      <patternFill patternType="solid">
        <fgColor rgb="FF8EAADB"/>
        <bgColor rgb="FFFFFFFF"/>
      </patternFill>
    </fill>
    <fill>
      <patternFill patternType="solid">
        <fgColor rgb="FFA8D08D"/>
        <bgColor rgb="FFFFFFFF"/>
      </patternFill>
    </fill>
    <fill>
      <patternFill patternType="solid">
        <fgColor rgb="FFF4B083"/>
        <bgColor rgb="FFFFFFFF"/>
      </patternFill>
    </fill>
    <fill>
      <patternFill patternType="solid">
        <fgColor rgb="FFD9E2F3"/>
        <bgColor rgb="FFFFFFFF"/>
      </patternFill>
    </fill>
    <fill>
      <patternFill patternType="solid">
        <fgColor rgb="FFE2EFD9"/>
        <bgColor rgb="FFFFFFFF"/>
      </patternFill>
    </fill>
    <fill>
      <patternFill patternType="solid">
        <fgColor rgb="FFFBE4D5"/>
        <bgColor rgb="FFFFFFFF"/>
      </patternFill>
    </fill>
    <fill>
      <patternFill patternType="solid">
        <fgColor rgb="FFD7E4BD"/>
        <bgColor rgb="FFFFFFFF"/>
      </patternFill>
    </fill>
    <fill>
      <patternFill patternType="solid">
        <fgColor rgb="FFC3D69B"/>
        <bgColor rgb="FFFFFFFF"/>
      </patternFill>
    </fill>
    <fill>
      <patternFill patternType="solid">
        <fgColor rgb="FF376093"/>
        <bgColor rgb="FFFFFFFF"/>
      </patternFill>
    </fill>
    <fill>
      <patternFill patternType="solid">
        <fgColor rgb="FF31869B"/>
        <bgColor rgb="FFFFFFFF"/>
      </patternFill>
    </fill>
    <fill>
      <patternFill patternType="solid">
        <fgColor rgb="FF5F497A"/>
        <bgColor rgb="FFFFFFFF"/>
      </patternFill>
    </fill>
    <fill>
      <patternFill patternType="solid">
        <fgColor rgb="FF0070C0"/>
        <bgColor rgb="FFFFFFFF"/>
      </patternFill>
    </fill>
  </fills>
  <borders count="3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FFFFFF"/>
      </left>
      <right style="thin">
        <color rgb="FF000000"/>
      </right>
      <top style="thin">
        <color rgb="FFFFFFFF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FFFFFF"/>
      </right>
      <top style="thin">
        <color rgb="FF000000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000000"/>
      </top>
      <bottom/>
      <diagonal/>
    </border>
    <border>
      <left style="thin">
        <color rgb="FFFFFFFF"/>
      </left>
      <right/>
      <top/>
      <bottom style="thin">
        <color rgb="FFFFFFFF"/>
      </bottom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 style="thin">
        <color rgb="FF000000"/>
      </right>
      <top style="thin">
        <color rgb="FF000000"/>
      </top>
      <bottom/>
      <diagonal/>
    </border>
    <border>
      <left style="thin">
        <color rgb="FFFFFFFF"/>
      </left>
      <right style="thin">
        <color rgb="FF000000"/>
      </right>
      <top/>
      <bottom/>
      <diagonal/>
    </border>
    <border>
      <left style="thin">
        <color rgb="FFFFFFFF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 style="thin">
        <color rgb="FF000000"/>
      </left>
      <right/>
      <top/>
      <bottom style="thin">
        <color rgb="FFFFFFFF"/>
      </bottom>
      <diagonal/>
    </border>
  </borders>
  <cellStyleXfs count="1">
    <xf numFmtId="0" fontId="0" fillId="0" borderId="0"/>
  </cellStyleXfs>
  <cellXfs count="551">
    <xf numFmtId="0" fontId="0" fillId="0" borderId="0" xfId="0"/>
    <xf numFmtId="187" fontId="1" fillId="0" borderId="0" xfId="0" applyNumberFormat="1" applyFont="1" applyAlignment="1">
      <alignment horizontal="center"/>
    </xf>
    <xf numFmtId="0" fontId="0" fillId="0" borderId="1" xfId="0" applyBorder="1"/>
    <xf numFmtId="0" fontId="2" fillId="2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188" fontId="2" fillId="3" borderId="3" xfId="0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vertical="center" wrapText="1"/>
    </xf>
    <xf numFmtId="0" fontId="3" fillId="0" borderId="10" xfId="0" applyFont="1" applyBorder="1"/>
    <xf numFmtId="0" fontId="4" fillId="0" borderId="10" xfId="0" applyFont="1" applyBorder="1" applyAlignment="1">
      <alignment horizontal="center"/>
    </xf>
    <xf numFmtId="188" fontId="4" fillId="0" borderId="11" xfId="0" applyNumberFormat="1" applyFont="1" applyBorder="1"/>
    <xf numFmtId="187" fontId="4" fillId="0" borderId="11" xfId="0" applyNumberFormat="1" applyFont="1" applyBorder="1"/>
    <xf numFmtId="187" fontId="4" fillId="0" borderId="0" xfId="0" applyNumberFormat="1" applyFont="1"/>
    <xf numFmtId="187" fontId="4" fillId="0" borderId="10" xfId="0" applyNumberFormat="1" applyFont="1" applyBorder="1"/>
    <xf numFmtId="187" fontId="4" fillId="5" borderId="11" xfId="0" applyNumberFormat="1" applyFont="1" applyFill="1" applyBorder="1"/>
    <xf numFmtId="187" fontId="4" fillId="5" borderId="0" xfId="0" applyNumberFormat="1" applyFont="1" applyFill="1"/>
    <xf numFmtId="187" fontId="4" fillId="6" borderId="1" xfId="0" applyNumberFormat="1" applyFont="1" applyFill="1" applyBorder="1"/>
    <xf numFmtId="188" fontId="4" fillId="6" borderId="11" xfId="0" applyNumberFormat="1" applyFont="1" applyFill="1" applyBorder="1"/>
    <xf numFmtId="188" fontId="4" fillId="5" borderId="11" xfId="0" applyNumberFormat="1" applyFont="1" applyFill="1" applyBorder="1"/>
    <xf numFmtId="0" fontId="4" fillId="0" borderId="1" xfId="0" applyFont="1" applyBorder="1"/>
    <xf numFmtId="0" fontId="4" fillId="0" borderId="10" xfId="0" applyFont="1" applyBorder="1"/>
    <xf numFmtId="188" fontId="4" fillId="0" borderId="12" xfId="0" applyNumberFormat="1" applyFont="1" applyBorder="1"/>
    <xf numFmtId="187" fontId="4" fillId="0" borderId="12" xfId="0" applyNumberFormat="1" applyFont="1" applyBorder="1"/>
    <xf numFmtId="187" fontId="4" fillId="5" borderId="12" xfId="0" applyNumberFormat="1" applyFont="1" applyFill="1" applyBorder="1"/>
    <xf numFmtId="188" fontId="5" fillId="0" borderId="1" xfId="0" applyNumberFormat="1" applyFont="1" applyBorder="1"/>
    <xf numFmtId="187" fontId="6" fillId="0" borderId="0" xfId="0" applyNumberFormat="1" applyFont="1"/>
    <xf numFmtId="188" fontId="4" fillId="0" borderId="12" xfId="0" applyNumberFormat="1" applyFont="1" applyBorder="1" applyAlignment="1">
      <alignment vertical="center" wrapText="1"/>
    </xf>
    <xf numFmtId="187" fontId="4" fillId="5" borderId="10" xfId="0" applyNumberFormat="1" applyFont="1" applyFill="1" applyBorder="1"/>
    <xf numFmtId="0" fontId="5" fillId="0" borderId="1" xfId="0" applyFont="1" applyBorder="1"/>
    <xf numFmtId="188" fontId="4" fillId="0" borderId="13" xfId="0" applyNumberFormat="1" applyFont="1" applyBorder="1" applyAlignment="1">
      <alignment vertical="center" wrapText="1"/>
    </xf>
    <xf numFmtId="187" fontId="4" fillId="0" borderId="13" xfId="0" applyNumberFormat="1" applyFont="1" applyBorder="1"/>
    <xf numFmtId="187" fontId="4" fillId="0" borderId="8" xfId="0" applyNumberFormat="1" applyFont="1" applyBorder="1"/>
    <xf numFmtId="0" fontId="4" fillId="7" borderId="14" xfId="0" applyFont="1" applyFill="1" applyBorder="1"/>
    <xf numFmtId="0" fontId="3" fillId="7" borderId="1" xfId="0" applyFont="1" applyFill="1" applyBorder="1" applyAlignment="1">
      <alignment horizontal="center"/>
    </xf>
    <xf numFmtId="188" fontId="4" fillId="7" borderId="15" xfId="0" applyNumberFormat="1" applyFont="1" applyFill="1" applyBorder="1"/>
    <xf numFmtId="188" fontId="2" fillId="7" borderId="11" xfId="0" applyNumberFormat="1" applyFont="1" applyFill="1" applyBorder="1"/>
    <xf numFmtId="188" fontId="7" fillId="7" borderId="1" xfId="0" applyNumberFormat="1" applyFont="1" applyFill="1" applyBorder="1"/>
    <xf numFmtId="0" fontId="4" fillId="0" borderId="11" xfId="0" applyFont="1" applyBorder="1"/>
    <xf numFmtId="0" fontId="8" fillId="0" borderId="11" xfId="0" applyFont="1" applyBorder="1" applyAlignment="1">
      <alignment horizontal="center"/>
    </xf>
    <xf numFmtId="188" fontId="9" fillId="0" borderId="11" xfId="0" applyNumberFormat="1" applyFont="1" applyBorder="1"/>
    <xf numFmtId="187" fontId="4" fillId="5" borderId="16" xfId="0" applyNumberFormat="1" applyFont="1" applyFill="1" applyBorder="1"/>
    <xf numFmtId="187" fontId="4" fillId="5" borderId="17" xfId="0" applyNumberFormat="1" applyFont="1" applyFill="1" applyBorder="1"/>
    <xf numFmtId="187" fontId="4" fillId="5" borderId="15" xfId="0" applyNumberFormat="1" applyFont="1" applyFill="1" applyBorder="1"/>
    <xf numFmtId="188" fontId="4" fillId="5" borderId="16" xfId="0" applyNumberFormat="1" applyFont="1" applyFill="1" applyBorder="1"/>
    <xf numFmtId="188" fontId="4" fillId="5" borderId="17" xfId="0" applyNumberFormat="1" applyFont="1" applyFill="1" applyBorder="1"/>
    <xf numFmtId="0" fontId="4" fillId="0" borderId="12" xfId="0" applyFont="1" applyBorder="1"/>
    <xf numFmtId="0" fontId="8" fillId="0" borderId="12" xfId="0" applyFont="1" applyBorder="1" applyAlignment="1">
      <alignment horizontal="center"/>
    </xf>
    <xf numFmtId="188" fontId="9" fillId="0" borderId="12" xfId="0" applyNumberFormat="1" applyFont="1" applyBorder="1"/>
    <xf numFmtId="187" fontId="4" fillId="5" borderId="18" xfId="0" applyNumberFormat="1" applyFont="1" applyFill="1" applyBorder="1"/>
    <xf numFmtId="188" fontId="4" fillId="5" borderId="10" xfId="0" applyNumberFormat="1" applyFont="1" applyFill="1" applyBorder="1"/>
    <xf numFmtId="188" fontId="4" fillId="5" borderId="0" xfId="0" applyNumberFormat="1" applyFont="1" applyFill="1"/>
    <xf numFmtId="188" fontId="5" fillId="0" borderId="19" xfId="0" applyNumberFormat="1" applyFont="1" applyBorder="1"/>
    <xf numFmtId="0" fontId="9" fillId="0" borderId="12" xfId="0" applyFont="1" applyBorder="1" applyAlignment="1">
      <alignment horizontal="center"/>
    </xf>
    <xf numFmtId="188" fontId="9" fillId="0" borderId="10" xfId="0" applyNumberFormat="1" applyFont="1" applyBorder="1"/>
    <xf numFmtId="188" fontId="9" fillId="5" borderId="0" xfId="0" applyNumberFormat="1" applyFont="1" applyFill="1"/>
    <xf numFmtId="0" fontId="4" fillId="0" borderId="19" xfId="0" applyFont="1" applyBorder="1"/>
    <xf numFmtId="187" fontId="4" fillId="5" borderId="8" xfId="0" applyNumberFormat="1" applyFont="1" applyFill="1" applyBorder="1"/>
    <xf numFmtId="187" fontId="4" fillId="5" borderId="6" xfId="0" applyNumberFormat="1" applyFont="1" applyFill="1" applyBorder="1"/>
    <xf numFmtId="188" fontId="9" fillId="5" borderId="6" xfId="0" applyNumberFormat="1" applyFont="1" applyFill="1" applyBorder="1"/>
    <xf numFmtId="187" fontId="4" fillId="5" borderId="20" xfId="0" applyNumberFormat="1" applyFont="1" applyFill="1" applyBorder="1"/>
    <xf numFmtId="188" fontId="9" fillId="0" borderId="13" xfId="0" applyNumberFormat="1" applyFont="1" applyBorder="1"/>
    <xf numFmtId="188" fontId="4" fillId="5" borderId="8" xfId="0" applyNumberFormat="1" applyFont="1" applyFill="1" applyBorder="1"/>
    <xf numFmtId="188" fontId="4" fillId="5" borderId="6" xfId="0" applyNumberFormat="1" applyFont="1" applyFill="1" applyBorder="1"/>
    <xf numFmtId="188" fontId="2" fillId="7" borderId="1" xfId="0" applyNumberFormat="1" applyFont="1" applyFill="1" applyBorder="1"/>
    <xf numFmtId="188" fontId="2" fillId="7" borderId="13" xfId="0" applyNumberFormat="1" applyFont="1" applyFill="1" applyBorder="1"/>
    <xf numFmtId="0" fontId="7" fillId="7" borderId="19" xfId="0" applyFont="1" applyFill="1" applyBorder="1"/>
    <xf numFmtId="0" fontId="4" fillId="0" borderId="0" xfId="0" applyFont="1"/>
    <xf numFmtId="188" fontId="8" fillId="0" borderId="11" xfId="0" applyNumberFormat="1" applyFont="1" applyBorder="1"/>
    <xf numFmtId="0" fontId="6" fillId="0" borderId="0" xfId="0" applyFont="1" applyAlignment="1">
      <alignment vertical="center" wrapText="1"/>
    </xf>
    <xf numFmtId="188" fontId="6" fillId="0" borderId="0" xfId="0" applyNumberFormat="1" applyFont="1"/>
    <xf numFmtId="188" fontId="4" fillId="0" borderId="13" xfId="0" applyNumberFormat="1" applyFont="1" applyBorder="1"/>
    <xf numFmtId="0" fontId="1" fillId="0" borderId="0" xfId="0" applyFont="1" applyAlignment="1">
      <alignment horizontal="center" vertical="center"/>
    </xf>
    <xf numFmtId="0" fontId="7" fillId="7" borderId="1" xfId="0" applyFont="1" applyFill="1" applyBorder="1"/>
    <xf numFmtId="0" fontId="4" fillId="0" borderId="17" xfId="0" applyFont="1" applyBorder="1"/>
    <xf numFmtId="0" fontId="4" fillId="0" borderId="11" xfId="0" applyFont="1" applyBorder="1" applyAlignment="1">
      <alignment horizontal="center"/>
    </xf>
    <xf numFmtId="188" fontId="4" fillId="0" borderId="17" xfId="0" applyNumberFormat="1" applyFont="1" applyBorder="1"/>
    <xf numFmtId="0" fontId="4" fillId="0" borderId="12" xfId="0" applyFont="1" applyBorder="1" applyAlignment="1">
      <alignment horizontal="center"/>
    </xf>
    <xf numFmtId="188" fontId="4" fillId="0" borderId="0" xfId="0" applyNumberFormat="1" applyFont="1"/>
    <xf numFmtId="0" fontId="6" fillId="0" borderId="0" xfId="0" applyFont="1"/>
    <xf numFmtId="0" fontId="4" fillId="0" borderId="13" xfId="0" applyFont="1" applyBorder="1"/>
    <xf numFmtId="0" fontId="3" fillId="0" borderId="10" xfId="0" applyFont="1" applyBorder="1" applyAlignment="1">
      <alignment horizontal="center" vertical="center" textRotation="90"/>
    </xf>
    <xf numFmtId="0" fontId="4" fillId="0" borderId="0" xfId="0" applyFont="1" applyAlignment="1">
      <alignment horizontal="center"/>
    </xf>
    <xf numFmtId="188" fontId="10" fillId="8" borderId="19" xfId="0" applyNumberFormat="1" applyFont="1" applyFill="1" applyBorder="1" applyAlignment="1">
      <alignment horizontal="right" vertical="center"/>
    </xf>
    <xf numFmtId="0" fontId="3" fillId="0" borderId="19" xfId="0" applyFont="1" applyBorder="1" applyAlignment="1">
      <alignment horizontal="left" vertical="center"/>
    </xf>
    <xf numFmtId="0" fontId="11" fillId="9" borderId="1" xfId="0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left" vertical="center"/>
    </xf>
    <xf numFmtId="0" fontId="0" fillId="10" borderId="19" xfId="0" applyFill="1" applyBorder="1" applyAlignment="1">
      <alignment horizontal="center" vertical="center"/>
    </xf>
    <xf numFmtId="0" fontId="6" fillId="0" borderId="0" xfId="0" applyFont="1" applyAlignment="1">
      <alignment horizontal="center"/>
    </xf>
    <xf numFmtId="187" fontId="6" fillId="0" borderId="0" xfId="0" applyNumberFormat="1" applyFont="1" applyAlignment="1">
      <alignment horizontal="center" vertical="center"/>
    </xf>
    <xf numFmtId="0" fontId="12" fillId="0" borderId="0" xfId="0" applyFont="1"/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1" fillId="0" borderId="0" xfId="0" applyFont="1"/>
    <xf numFmtId="0" fontId="13" fillId="11" borderId="14" xfId="0" applyFont="1" applyFill="1" applyBorder="1" applyAlignment="1">
      <alignment horizontal="center" vertical="center" wrapText="1"/>
    </xf>
    <xf numFmtId="188" fontId="14" fillId="0" borderId="19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3" fillId="11" borderId="14" xfId="0" applyFont="1" applyFill="1" applyBorder="1" applyAlignment="1">
      <alignment horizontal="center" vertical="center"/>
    </xf>
    <xf numFmtId="0" fontId="13" fillId="11" borderId="1" xfId="0" applyFont="1" applyFill="1" applyBorder="1" applyAlignment="1">
      <alignment horizontal="center" vertical="center"/>
    </xf>
    <xf numFmtId="188" fontId="14" fillId="0" borderId="1" xfId="0" applyNumberFormat="1" applyFont="1" applyBorder="1" applyAlignment="1">
      <alignment horizontal="center" vertical="center"/>
    </xf>
    <xf numFmtId="188" fontId="15" fillId="7" borderId="1" xfId="0" applyNumberFormat="1" applyFont="1" applyFill="1" applyBorder="1" applyAlignment="1">
      <alignment horizontal="center" vertical="center"/>
    </xf>
    <xf numFmtId="0" fontId="16" fillId="9" borderId="0" xfId="0" applyFont="1" applyFill="1" applyAlignment="1">
      <alignment vertical="center"/>
    </xf>
    <xf numFmtId="0" fontId="4" fillId="7" borderId="15" xfId="0" applyFont="1" applyFill="1" applyBorder="1"/>
    <xf numFmtId="0" fontId="4" fillId="7" borderId="20" xfId="0" applyFont="1" applyFill="1" applyBorder="1"/>
    <xf numFmtId="0" fontId="17" fillId="10" borderId="3" xfId="0" applyFont="1" applyFill="1" applyBorder="1" applyAlignment="1">
      <alignment horizontal="center" vertical="center"/>
    </xf>
    <xf numFmtId="0" fontId="4" fillId="7" borderId="19" xfId="0" applyFont="1" applyFill="1" applyBorder="1"/>
    <xf numFmtId="0" fontId="18" fillId="0" borderId="0" xfId="0" applyFont="1"/>
    <xf numFmtId="0" fontId="6" fillId="0" borderId="0" xfId="0" applyFont="1" applyAlignment="1">
      <alignment horizontal="left" vertical="center"/>
    </xf>
    <xf numFmtId="0" fontId="6" fillId="12" borderId="10" xfId="0" applyFont="1" applyFill="1" applyBorder="1"/>
    <xf numFmtId="0" fontId="6" fillId="12" borderId="18" xfId="0" applyFont="1" applyFill="1" applyBorder="1"/>
    <xf numFmtId="0" fontId="6" fillId="12" borderId="10" xfId="0" applyFont="1" applyFill="1" applyBorder="1" applyAlignment="1">
      <alignment vertical="center"/>
    </xf>
    <xf numFmtId="0" fontId="6" fillId="12" borderId="18" xfId="0" applyFont="1" applyFill="1" applyBorder="1" applyAlignment="1">
      <alignment vertical="center"/>
    </xf>
    <xf numFmtId="0" fontId="6" fillId="6" borderId="1" xfId="0" applyFont="1" applyFill="1" applyBorder="1" applyAlignment="1">
      <alignment horizontal="center"/>
    </xf>
    <xf numFmtId="0" fontId="6" fillId="12" borderId="14" xfId="0" applyFont="1" applyFill="1" applyBorder="1"/>
    <xf numFmtId="0" fontId="6" fillId="12" borderId="3" xfId="0" applyFont="1" applyFill="1" applyBorder="1"/>
    <xf numFmtId="0" fontId="6" fillId="12" borderId="19" xfId="0" applyFont="1" applyFill="1" applyBorder="1"/>
    <xf numFmtId="0" fontId="19" fillId="0" borderId="0" xfId="0" applyFon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16" fillId="9" borderId="8" xfId="0" applyFont="1" applyFill="1" applyBorder="1" applyAlignment="1">
      <alignment horizontal="center" vertical="center"/>
    </xf>
    <xf numFmtId="189" fontId="15" fillId="7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0" fillId="13" borderId="0" xfId="0" applyFont="1" applyFill="1"/>
    <xf numFmtId="0" fontId="20" fillId="13" borderId="1" xfId="0" applyFont="1" applyFill="1" applyBorder="1"/>
    <xf numFmtId="0" fontId="20" fillId="13" borderId="1" xfId="0" applyFont="1" applyFill="1" applyBorder="1" applyAlignment="1">
      <alignment horizontal="center" vertical="top"/>
    </xf>
    <xf numFmtId="0" fontId="20" fillId="13" borderId="1" xfId="0" applyFont="1" applyFill="1" applyBorder="1" applyAlignment="1">
      <alignment vertical="top"/>
    </xf>
    <xf numFmtId="0" fontId="20" fillId="13" borderId="1" xfId="0" applyFont="1" applyFill="1" applyBorder="1" applyAlignment="1">
      <alignment horizontal="center" vertical="center"/>
    </xf>
    <xf numFmtId="0" fontId="20" fillId="13" borderId="1" xfId="0" applyFont="1" applyFill="1" applyBorder="1" applyAlignment="1">
      <alignment horizontal="center"/>
    </xf>
    <xf numFmtId="0" fontId="21" fillId="13" borderId="1" xfId="0" applyFont="1" applyFill="1" applyBorder="1" applyAlignment="1">
      <alignment vertical="top"/>
    </xf>
    <xf numFmtId="49" fontId="20" fillId="13" borderId="1" xfId="0" applyNumberFormat="1" applyFont="1" applyFill="1" applyBorder="1" applyAlignment="1">
      <alignment vertical="top"/>
    </xf>
    <xf numFmtId="0" fontId="22" fillId="14" borderId="0" xfId="0" applyFont="1" applyFill="1"/>
    <xf numFmtId="0" fontId="20" fillId="14" borderId="0" xfId="0" applyFont="1" applyFill="1"/>
    <xf numFmtId="190" fontId="20" fillId="13" borderId="0" xfId="0" applyNumberFormat="1" applyFont="1" applyFill="1"/>
    <xf numFmtId="190" fontId="20" fillId="13" borderId="0" xfId="0" applyNumberFormat="1" applyFont="1" applyFill="1" applyAlignment="1">
      <alignment horizontal="center"/>
    </xf>
    <xf numFmtId="190" fontId="20" fillId="13" borderId="1" xfId="0" applyNumberFormat="1" applyFont="1" applyFill="1" applyBorder="1" applyAlignment="1">
      <alignment horizontal="center"/>
    </xf>
    <xf numFmtId="0" fontId="20" fillId="13" borderId="0" xfId="0" applyFont="1" applyFill="1" applyAlignment="1">
      <alignment horizontal="center"/>
    </xf>
    <xf numFmtId="190" fontId="20" fillId="13" borderId="1" xfId="0" applyNumberFormat="1" applyFont="1" applyFill="1" applyBorder="1"/>
    <xf numFmtId="188" fontId="4" fillId="6" borderId="15" xfId="0" applyNumberFormat="1" applyFont="1" applyFill="1" applyBorder="1"/>
    <xf numFmtId="188" fontId="2" fillId="7" borderId="19" xfId="0" applyNumberFormat="1" applyFont="1" applyFill="1" applyBorder="1"/>
    <xf numFmtId="191" fontId="20" fillId="13" borderId="1" xfId="0" applyNumberFormat="1" applyFont="1" applyFill="1" applyBorder="1" applyAlignment="1">
      <alignment horizontal="center" vertical="top"/>
    </xf>
    <xf numFmtId="0" fontId="23" fillId="15" borderId="1" xfId="0" applyFont="1" applyFill="1" applyBorder="1" applyAlignment="1">
      <alignment horizontal="center" vertical="center"/>
    </xf>
    <xf numFmtId="0" fontId="24" fillId="13" borderId="1" xfId="0" applyFont="1" applyFill="1" applyBorder="1" applyAlignment="1">
      <alignment horizontal="left" vertical="center"/>
    </xf>
    <xf numFmtId="0" fontId="24" fillId="13" borderId="1" xfId="0" applyFont="1" applyFill="1" applyBorder="1" applyAlignment="1">
      <alignment horizontal="center" vertical="center"/>
    </xf>
    <xf numFmtId="11" fontId="24" fillId="13" borderId="1" xfId="0" applyNumberFormat="1" applyFont="1" applyFill="1" applyBorder="1" applyAlignment="1">
      <alignment horizontal="center" vertical="center"/>
    </xf>
    <xf numFmtId="192" fontId="24" fillId="13" borderId="1" xfId="0" applyNumberFormat="1" applyFont="1" applyFill="1" applyBorder="1" applyAlignment="1">
      <alignment horizontal="center" vertical="center"/>
    </xf>
    <xf numFmtId="0" fontId="20" fillId="13" borderId="0" xfId="0" applyFont="1" applyFill="1" applyAlignment="1">
      <alignment horizontal="left" vertical="top"/>
    </xf>
    <xf numFmtId="190" fontId="20" fillId="13" borderId="0" xfId="0" applyNumberFormat="1" applyFont="1" applyFill="1" applyAlignment="1">
      <alignment horizontal="left" vertical="top"/>
    </xf>
    <xf numFmtId="0" fontId="20" fillId="14" borderId="0" xfId="0" applyFont="1" applyFill="1" applyAlignment="1">
      <alignment horizontal="left" vertical="top"/>
    </xf>
    <xf numFmtId="190" fontId="20" fillId="14" borderId="0" xfId="0" applyNumberFormat="1" applyFont="1" applyFill="1" applyAlignment="1">
      <alignment horizontal="left" vertical="top"/>
    </xf>
    <xf numFmtId="190" fontId="20" fillId="14" borderId="0" xfId="0" applyNumberFormat="1" applyFont="1" applyFill="1" applyAlignment="1">
      <alignment horizontal="left" vertical="top" wrapText="1"/>
    </xf>
    <xf numFmtId="190" fontId="20" fillId="14" borderId="0" xfId="0" applyNumberFormat="1" applyFont="1" applyFill="1"/>
    <xf numFmtId="187" fontId="20" fillId="13" borderId="0" xfId="0" applyNumberFormat="1" applyFont="1" applyFill="1"/>
    <xf numFmtId="188" fontId="20" fillId="13" borderId="0" xfId="0" applyNumberFormat="1" applyFont="1" applyFill="1"/>
    <xf numFmtId="192" fontId="20" fillId="13" borderId="0" xfId="0" applyNumberFormat="1" applyFont="1" applyFill="1"/>
    <xf numFmtId="2" fontId="20" fillId="13" borderId="1" xfId="0" applyNumberFormat="1" applyFont="1" applyFill="1" applyBorder="1" applyAlignment="1">
      <alignment horizontal="center"/>
    </xf>
    <xf numFmtId="189" fontId="0" fillId="0" borderId="1" xfId="0" applyNumberFormat="1" applyBorder="1"/>
    <xf numFmtId="0" fontId="25" fillId="3" borderId="3" xfId="0" applyFont="1" applyFill="1" applyBorder="1" applyAlignment="1">
      <alignment horizontal="left" vertical="center"/>
    </xf>
    <xf numFmtId="0" fontId="20" fillId="13" borderId="1" xfId="0" applyFont="1" applyFill="1" applyBorder="1" applyAlignment="1">
      <alignment horizontal="center" vertical="center" wrapText="1"/>
    </xf>
    <xf numFmtId="0" fontId="20" fillId="13" borderId="1" xfId="0" applyFont="1" applyFill="1" applyBorder="1" applyAlignment="1">
      <alignment vertical="center"/>
    </xf>
    <xf numFmtId="0" fontId="20" fillId="13" borderId="1" xfId="0" applyFont="1" applyFill="1" applyBorder="1" applyAlignment="1">
      <alignment vertical="center" wrapText="1"/>
    </xf>
    <xf numFmtId="187" fontId="23" fillId="15" borderId="1" xfId="0" applyNumberFormat="1" applyFont="1" applyFill="1" applyBorder="1" applyAlignment="1">
      <alignment horizontal="center" vertical="center"/>
    </xf>
    <xf numFmtId="187" fontId="24" fillId="13" borderId="1" xfId="0" applyNumberFormat="1" applyFont="1" applyFill="1" applyBorder="1" applyAlignment="1">
      <alignment horizontal="center" vertical="center"/>
    </xf>
    <xf numFmtId="187" fontId="24" fillId="13" borderId="0" xfId="0" applyNumberFormat="1" applyFont="1" applyFill="1" applyAlignment="1">
      <alignment horizontal="center" vertical="center"/>
    </xf>
    <xf numFmtId="187" fontId="20" fillId="14" borderId="0" xfId="0" applyNumberFormat="1" applyFont="1" applyFill="1"/>
    <xf numFmtId="187" fontId="20" fillId="13" borderId="0" xfId="0" applyNumberFormat="1" applyFont="1" applyFill="1" applyAlignment="1">
      <alignment horizontal="center"/>
    </xf>
    <xf numFmtId="187" fontId="20" fillId="13" borderId="1" xfId="0" applyNumberFormat="1" applyFont="1" applyFill="1" applyBorder="1" applyAlignment="1">
      <alignment horizontal="center"/>
    </xf>
    <xf numFmtId="187" fontId="20" fillId="13" borderId="1" xfId="0" applyNumberFormat="1" applyFont="1" applyFill="1" applyBorder="1"/>
    <xf numFmtId="0" fontId="21" fillId="13" borderId="1" xfId="0" applyFont="1" applyFill="1" applyBorder="1" applyAlignment="1">
      <alignment vertical="center"/>
    </xf>
    <xf numFmtId="0" fontId="6" fillId="13" borderId="8" xfId="0" applyFont="1" applyFill="1" applyBorder="1"/>
    <xf numFmtId="0" fontId="6" fillId="13" borderId="6" xfId="0" applyFont="1" applyFill="1" applyBorder="1"/>
    <xf numFmtId="0" fontId="6" fillId="13" borderId="20" xfId="0" applyFont="1" applyFill="1" applyBorder="1"/>
    <xf numFmtId="0" fontId="6" fillId="13" borderId="0" xfId="0" applyFont="1" applyFill="1"/>
    <xf numFmtId="0" fontId="26" fillId="16" borderId="1" xfId="0" applyFont="1" applyFill="1" applyBorder="1" applyAlignment="1">
      <alignment horizontal="center" vertical="center" wrapText="1"/>
    </xf>
    <xf numFmtId="0" fontId="6" fillId="13" borderId="10" xfId="0" applyFont="1" applyFill="1" applyBorder="1"/>
    <xf numFmtId="0" fontId="6" fillId="13" borderId="18" xfId="0" applyFont="1" applyFill="1" applyBorder="1"/>
    <xf numFmtId="0" fontId="6" fillId="12" borderId="0" xfId="0" applyFont="1" applyFill="1"/>
    <xf numFmtId="0" fontId="27" fillId="6" borderId="1" xfId="0" applyFont="1" applyFill="1" applyBorder="1" applyAlignment="1">
      <alignment horizontal="center" vertical="center"/>
    </xf>
    <xf numFmtId="0" fontId="6" fillId="6" borderId="14" xfId="0" applyFont="1" applyFill="1" applyBorder="1"/>
    <xf numFmtId="0" fontId="6" fillId="6" borderId="1" xfId="0" applyFont="1" applyFill="1" applyBorder="1"/>
    <xf numFmtId="0" fontId="6" fillId="6" borderId="14" xfId="0" applyFont="1" applyFill="1" applyBorder="1" applyAlignment="1">
      <alignment horizontal="right"/>
    </xf>
    <xf numFmtId="0" fontId="6" fillId="6" borderId="19" xfId="0" applyFont="1" applyFill="1" applyBorder="1"/>
    <xf numFmtId="0" fontId="28" fillId="6" borderId="14" xfId="0" applyFont="1" applyFill="1" applyBorder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8" fillId="6" borderId="19" xfId="0" applyFont="1" applyFill="1" applyBorder="1" applyAlignment="1">
      <alignment horizontal="center"/>
    </xf>
    <xf numFmtId="0" fontId="20" fillId="13" borderId="0" xfId="0" applyFont="1" applyFill="1" applyAlignment="1">
      <alignment vertical="center"/>
    </xf>
    <xf numFmtId="0" fontId="20" fillId="13" borderId="0" xfId="0" applyFont="1" applyFill="1" applyAlignment="1">
      <alignment vertical="center" wrapText="1"/>
    </xf>
    <xf numFmtId="0" fontId="20" fillId="13" borderId="0" xfId="0" applyFont="1" applyFill="1" applyAlignment="1">
      <alignment horizontal="center" vertical="center"/>
    </xf>
    <xf numFmtId="11" fontId="24" fillId="13" borderId="0" xfId="0" applyNumberFormat="1" applyFont="1" applyFill="1" applyAlignment="1">
      <alignment horizontal="center" vertical="center"/>
    </xf>
    <xf numFmtId="0" fontId="20" fillId="13" borderId="0" xfId="0" applyFont="1" applyFill="1" applyAlignment="1">
      <alignment horizontal="center" vertical="center" wrapText="1"/>
    </xf>
    <xf numFmtId="49" fontId="20" fillId="13" borderId="0" xfId="0" applyNumberFormat="1" applyFont="1" applyFill="1" applyAlignment="1">
      <alignment vertical="top"/>
    </xf>
    <xf numFmtId="11" fontId="29" fillId="13" borderId="0" xfId="0" applyNumberFormat="1" applyFont="1" applyFill="1" applyAlignment="1">
      <alignment horizontal="left" vertical="center"/>
    </xf>
    <xf numFmtId="0" fontId="20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top"/>
    </xf>
    <xf numFmtId="0" fontId="0" fillId="0" borderId="1" xfId="0" applyBorder="1" applyAlignment="1">
      <alignment horizontal="center" vertical="center"/>
    </xf>
    <xf numFmtId="0" fontId="6" fillId="13" borderId="0" xfId="0" applyFont="1" applyFill="1" applyAlignment="1">
      <alignment horizontal="center"/>
    </xf>
    <xf numFmtId="0" fontId="6" fillId="13" borderId="18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center"/>
    </xf>
    <xf numFmtId="0" fontId="6" fillId="13" borderId="10" xfId="0" applyFont="1" applyFill="1" applyBorder="1" applyAlignment="1">
      <alignment horizontal="left"/>
    </xf>
    <xf numFmtId="0" fontId="6" fillId="13" borderId="16" xfId="0" applyFont="1" applyFill="1" applyBorder="1"/>
    <xf numFmtId="0" fontId="6" fillId="13" borderId="17" xfId="0" applyFont="1" applyFill="1" applyBorder="1"/>
    <xf numFmtId="0" fontId="6" fillId="13" borderId="15" xfId="0" applyFont="1" applyFill="1" applyBorder="1"/>
    <xf numFmtId="193" fontId="4" fillId="0" borderId="11" xfId="0" applyNumberFormat="1" applyFont="1" applyBorder="1"/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17" fillId="10" borderId="1" xfId="0" applyFont="1" applyFill="1" applyBorder="1" applyAlignment="1">
      <alignment horizontal="center"/>
    </xf>
    <xf numFmtId="0" fontId="31" fillId="10" borderId="3" xfId="0" applyFont="1" applyFill="1" applyBorder="1"/>
    <xf numFmtId="0" fontId="32" fillId="0" borderId="0" xfId="0" applyFont="1"/>
    <xf numFmtId="0" fontId="28" fillId="10" borderId="3" xfId="0" applyFont="1" applyFill="1" applyBorder="1"/>
    <xf numFmtId="0" fontId="28" fillId="10" borderId="19" xfId="0" applyFont="1" applyFill="1" applyBorder="1"/>
    <xf numFmtId="0" fontId="28" fillId="0" borderId="0" xfId="0" applyFont="1"/>
    <xf numFmtId="0" fontId="32" fillId="13" borderId="10" xfId="0" applyFont="1" applyFill="1" applyBorder="1"/>
    <xf numFmtId="0" fontId="32" fillId="13" borderId="0" xfId="0" applyFont="1" applyFill="1"/>
    <xf numFmtId="0" fontId="32" fillId="13" borderId="18" xfId="0" applyFont="1" applyFill="1" applyBorder="1"/>
    <xf numFmtId="0" fontId="32" fillId="13" borderId="8" xfId="0" applyFont="1" applyFill="1" applyBorder="1"/>
    <xf numFmtId="0" fontId="32" fillId="13" borderId="6" xfId="0" applyFont="1" applyFill="1" applyBorder="1"/>
    <xf numFmtId="0" fontId="32" fillId="13" borderId="20" xfId="0" applyFont="1" applyFill="1" applyBorder="1"/>
    <xf numFmtId="0" fontId="33" fillId="13" borderId="14" xfId="0" applyFont="1" applyFill="1" applyBorder="1" applyAlignment="1">
      <alignment vertical="center"/>
    </xf>
    <xf numFmtId="0" fontId="33" fillId="13" borderId="19" xfId="0" applyFont="1" applyFill="1" applyBorder="1" applyAlignment="1">
      <alignment vertical="center"/>
    </xf>
    <xf numFmtId="0" fontId="33" fillId="13" borderId="3" xfId="0" applyFont="1" applyFill="1" applyBorder="1" applyAlignment="1">
      <alignment vertical="center"/>
    </xf>
    <xf numFmtId="0" fontId="33" fillId="0" borderId="19" xfId="0" applyFont="1" applyBorder="1" applyAlignment="1">
      <alignment horizontal="left" vertical="center"/>
    </xf>
    <xf numFmtId="0" fontId="1" fillId="0" borderId="1" xfId="0" applyFont="1" applyBorder="1" applyAlignment="1">
      <alignment vertical="center"/>
    </xf>
    <xf numFmtId="0" fontId="1" fillId="17" borderId="16" xfId="0" applyFont="1" applyFill="1" applyBorder="1" applyAlignment="1">
      <alignment horizontal="center"/>
    </xf>
    <xf numFmtId="0" fontId="28" fillId="13" borderId="10" xfId="0" applyFont="1" applyFill="1" applyBorder="1"/>
    <xf numFmtId="0" fontId="28" fillId="13" borderId="0" xfId="0" applyFont="1" applyFill="1"/>
    <xf numFmtId="0" fontId="17" fillId="5" borderId="1" xfId="0" applyFont="1" applyFill="1" applyBorder="1" applyAlignment="1">
      <alignment horizontal="center" vertical="center" wrapText="1"/>
    </xf>
    <xf numFmtId="0" fontId="1" fillId="18" borderId="1" xfId="0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28" fillId="0" borderId="1" xfId="0" applyFont="1" applyBorder="1" applyAlignment="1">
      <alignment horizontal="center"/>
    </xf>
    <xf numFmtId="0" fontId="28" fillId="0" borderId="1" xfId="0" applyFont="1" applyBorder="1"/>
    <xf numFmtId="0" fontId="34" fillId="21" borderId="1" xfId="0" applyFont="1" applyFill="1" applyBorder="1" applyAlignment="1">
      <alignment horizontal="center"/>
    </xf>
    <xf numFmtId="10" fontId="6" fillId="22" borderId="13" xfId="0" applyNumberFormat="1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10" fontId="6" fillId="22" borderId="1" xfId="0" applyNumberFormat="1" applyFont="1" applyFill="1" applyBorder="1" applyAlignment="1">
      <alignment horizontal="center"/>
    </xf>
    <xf numFmtId="0" fontId="11" fillId="3" borderId="8" xfId="0" applyFont="1" applyFill="1" applyBorder="1" applyAlignment="1">
      <alignment vertical="center"/>
    </xf>
    <xf numFmtId="0" fontId="11" fillId="3" borderId="6" xfId="0" applyFont="1" applyFill="1" applyBorder="1" applyAlignment="1">
      <alignment vertical="center"/>
    </xf>
    <xf numFmtId="0" fontId="11" fillId="3" borderId="20" xfId="0" applyFont="1" applyFill="1" applyBorder="1" applyAlignment="1">
      <alignment vertical="center"/>
    </xf>
    <xf numFmtId="0" fontId="28" fillId="6" borderId="14" xfId="0" applyFont="1" applyFill="1" applyBorder="1"/>
    <xf numFmtId="0" fontId="28" fillId="6" borderId="3" xfId="0" applyFont="1" applyFill="1" applyBorder="1"/>
    <xf numFmtId="0" fontId="28" fillId="6" borderId="19" xfId="0" applyFont="1" applyFill="1" applyBorder="1"/>
    <xf numFmtId="0" fontId="28" fillId="6" borderId="1" xfId="0" applyFont="1" applyFill="1" applyBorder="1"/>
    <xf numFmtId="0" fontId="36" fillId="6" borderId="1" xfId="0" applyFont="1" applyFill="1" applyBorder="1"/>
    <xf numFmtId="0" fontId="6" fillId="12" borderId="12" xfId="0" applyFont="1" applyFill="1" applyBorder="1"/>
    <xf numFmtId="0" fontId="6" fillId="12" borderId="13" xfId="0" applyFont="1" applyFill="1" applyBorder="1"/>
    <xf numFmtId="0" fontId="39" fillId="12" borderId="10" xfId="0" applyFont="1" applyFill="1" applyBorder="1"/>
    <xf numFmtId="0" fontId="39" fillId="12" borderId="0" xfId="0" applyFont="1" applyFill="1"/>
    <xf numFmtId="0" fontId="39" fillId="12" borderId="18" xfId="0" applyFont="1" applyFill="1" applyBorder="1"/>
    <xf numFmtId="0" fontId="6" fillId="12" borderId="12" xfId="0" applyFont="1" applyFill="1" applyBorder="1" applyAlignment="1">
      <alignment horizontal="left" vertical="center"/>
    </xf>
    <xf numFmtId="0" fontId="18" fillId="12" borderId="10" xfId="0" applyFont="1" applyFill="1" applyBorder="1"/>
    <xf numFmtId="0" fontId="18" fillId="12" borderId="12" xfId="0" applyFont="1" applyFill="1" applyBorder="1"/>
    <xf numFmtId="0" fontId="11" fillId="3" borderId="14" xfId="0" applyFont="1" applyFill="1" applyBorder="1" applyAlignment="1">
      <alignment horizontal="left" vertical="center"/>
    </xf>
    <xf numFmtId="0" fontId="11" fillId="3" borderId="3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6" fillId="0" borderId="10" xfId="0" applyFont="1" applyBorder="1" applyAlignment="1">
      <alignment horizontal="left" vertical="center"/>
    </xf>
    <xf numFmtId="0" fontId="18" fillId="0" borderId="0" xfId="0" applyFont="1"/>
    <xf numFmtId="0" fontId="18" fillId="0" borderId="18" xfId="0" applyFont="1" applyBorder="1"/>
    <xf numFmtId="0" fontId="18" fillId="0" borderId="10" xfId="0" applyFont="1" applyBorder="1"/>
    <xf numFmtId="0" fontId="18" fillId="0" borderId="8" xfId="0" applyFont="1" applyBorder="1"/>
    <xf numFmtId="0" fontId="18" fillId="0" borderId="6" xfId="0" applyFont="1" applyBorder="1"/>
    <xf numFmtId="0" fontId="18" fillId="0" borderId="20" xfId="0" applyFont="1" applyBorder="1"/>
    <xf numFmtId="0" fontId="6" fillId="0" borderId="0" xfId="0" applyFont="1" applyAlignment="1">
      <alignment horizontal="left" vertical="center"/>
    </xf>
    <xf numFmtId="0" fontId="6" fillId="0" borderId="18" xfId="0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37" fillId="0" borderId="16" xfId="0" applyFont="1" applyBorder="1" applyAlignment="1">
      <alignment horizontal="center" vertical="center"/>
    </xf>
    <xf numFmtId="0" fontId="18" fillId="0" borderId="17" xfId="0" applyFont="1" applyBorder="1" applyAlignment="1">
      <alignment horizontal="center"/>
    </xf>
    <xf numFmtId="0" fontId="18" fillId="0" borderId="15" xfId="0" applyFont="1" applyBorder="1" applyAlignment="1">
      <alignment horizontal="center"/>
    </xf>
    <xf numFmtId="0" fontId="18" fillId="0" borderId="10" xfId="0" applyFont="1" applyBorder="1" applyAlignment="1">
      <alignment horizontal="center"/>
    </xf>
    <xf numFmtId="0" fontId="18" fillId="0" borderId="0" xfId="0" applyFont="1" applyAlignment="1">
      <alignment horizontal="center"/>
    </xf>
    <xf numFmtId="0" fontId="18" fillId="0" borderId="18" xfId="0" applyFont="1" applyBorder="1" applyAlignment="1">
      <alignment horizontal="center"/>
    </xf>
    <xf numFmtId="0" fontId="18" fillId="0" borderId="8" xfId="0" applyFont="1" applyBorder="1" applyAlignment="1">
      <alignment horizontal="center"/>
    </xf>
    <xf numFmtId="0" fontId="18" fillId="0" borderId="6" xfId="0" applyFont="1" applyBorder="1" applyAlignment="1">
      <alignment horizontal="center"/>
    </xf>
    <xf numFmtId="0" fontId="18" fillId="0" borderId="20" xfId="0" applyFont="1" applyBorder="1" applyAlignment="1">
      <alignment horizontal="center"/>
    </xf>
    <xf numFmtId="0" fontId="40" fillId="14" borderId="16" xfId="0" applyFont="1" applyFill="1" applyBorder="1" applyAlignment="1">
      <alignment horizontal="center" vertical="center"/>
    </xf>
    <xf numFmtId="0" fontId="41" fillId="14" borderId="17" xfId="0" applyFont="1" applyFill="1" applyBorder="1" applyAlignment="1">
      <alignment horizontal="center" vertical="center"/>
    </xf>
    <xf numFmtId="0" fontId="41" fillId="14" borderId="15" xfId="0" applyFont="1" applyFill="1" applyBorder="1" applyAlignment="1">
      <alignment horizontal="center" vertical="center"/>
    </xf>
    <xf numFmtId="188" fontId="38" fillId="6" borderId="14" xfId="0" applyNumberFormat="1" applyFont="1" applyFill="1" applyBorder="1" applyAlignment="1">
      <alignment horizontal="center" vertical="center"/>
    </xf>
    <xf numFmtId="188" fontId="38" fillId="6" borderId="19" xfId="0" applyNumberFormat="1" applyFont="1" applyFill="1" applyBorder="1" applyAlignment="1">
      <alignment horizontal="center" vertical="center"/>
    </xf>
    <xf numFmtId="0" fontId="28" fillId="6" borderId="3" xfId="0" applyFont="1" applyFill="1" applyBorder="1" applyAlignment="1">
      <alignment horizontal="left" vertical="center"/>
    </xf>
    <xf numFmtId="0" fontId="36" fillId="6" borderId="19" xfId="0" applyFont="1" applyFill="1" applyBorder="1" applyAlignment="1">
      <alignment horizontal="left" vertical="center"/>
    </xf>
    <xf numFmtId="0" fontId="25" fillId="3" borderId="3" xfId="0" applyFont="1" applyFill="1" applyBorder="1" applyAlignment="1">
      <alignment horizontal="left" vertical="center"/>
    </xf>
    <xf numFmtId="0" fontId="6" fillId="0" borderId="16" xfId="0" applyFont="1" applyBorder="1" applyAlignment="1">
      <alignment horizontal="center" vertical="center" wrapText="1"/>
    </xf>
    <xf numFmtId="0" fontId="6" fillId="0" borderId="15" xfId="0" applyFont="1" applyBorder="1" applyAlignment="1">
      <alignment horizontal="center" vertical="center" wrapText="1"/>
    </xf>
    <xf numFmtId="0" fontId="6" fillId="0" borderId="8" xfId="0" applyFont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37" fillId="0" borderId="14" xfId="0" applyFont="1" applyBorder="1" applyAlignment="1">
      <alignment horizontal="center" vertical="center"/>
    </xf>
    <xf numFmtId="0" fontId="37" fillId="0" borderId="3" xfId="0" applyFont="1" applyBorder="1" applyAlignment="1">
      <alignment horizontal="center" vertical="center"/>
    </xf>
    <xf numFmtId="0" fontId="37" fillId="0" borderId="19" xfId="0" applyFont="1" applyBorder="1" applyAlignment="1">
      <alignment horizontal="center" vertical="center"/>
    </xf>
    <xf numFmtId="0" fontId="28" fillId="6" borderId="14" xfId="0" applyFont="1" applyFill="1" applyBorder="1" applyAlignment="1">
      <alignment horizontal="center"/>
    </xf>
    <xf numFmtId="0" fontId="28" fillId="6" borderId="3" xfId="0" applyFont="1" applyFill="1" applyBorder="1" applyAlignment="1">
      <alignment horizontal="center"/>
    </xf>
    <xf numFmtId="0" fontId="28" fillId="6" borderId="19" xfId="0" applyFont="1" applyFill="1" applyBorder="1" applyAlignment="1">
      <alignment horizontal="center"/>
    </xf>
    <xf numFmtId="0" fontId="27" fillId="6" borderId="14" xfId="0" applyFont="1" applyFill="1" applyBorder="1" applyAlignment="1">
      <alignment horizontal="center" vertical="center"/>
    </xf>
    <xf numFmtId="0" fontId="27" fillId="6" borderId="3" xfId="0" applyFont="1" applyFill="1" applyBorder="1" applyAlignment="1">
      <alignment horizontal="center" vertical="center"/>
    </xf>
    <xf numFmtId="0" fontId="27" fillId="6" borderId="19" xfId="0" applyFont="1" applyFill="1" applyBorder="1" applyAlignment="1">
      <alignment horizontal="center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8" xfId="0" applyFont="1" applyFill="1" applyBorder="1" applyAlignment="1">
      <alignment horizontal="left" vertical="center"/>
    </xf>
    <xf numFmtId="0" fontId="11" fillId="3" borderId="20" xfId="0" applyFont="1" applyFill="1" applyBorder="1" applyAlignment="1">
      <alignment horizontal="left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35" fillId="0" borderId="16" xfId="0" applyFont="1" applyBorder="1" applyAlignment="1">
      <alignment horizontal="center" vertical="center"/>
    </xf>
    <xf numFmtId="0" fontId="35" fillId="0" borderId="17" xfId="0" applyFont="1" applyBorder="1" applyAlignment="1">
      <alignment horizontal="center" vertical="center"/>
    </xf>
    <xf numFmtId="0" fontId="35" fillId="0" borderId="15" xfId="0" applyFont="1" applyBorder="1" applyAlignment="1">
      <alignment horizontal="center" vertical="center"/>
    </xf>
    <xf numFmtId="0" fontId="35" fillId="0" borderId="8" xfId="0" applyFont="1" applyBorder="1" applyAlignment="1">
      <alignment horizontal="center" vertical="center"/>
    </xf>
    <xf numFmtId="0" fontId="35" fillId="0" borderId="6" xfId="0" applyFont="1" applyBorder="1" applyAlignment="1">
      <alignment horizontal="center" vertical="center"/>
    </xf>
    <xf numFmtId="0" fontId="35" fillId="0" borderId="20" xfId="0" applyFont="1" applyBorder="1" applyAlignment="1">
      <alignment horizontal="center" vertical="center"/>
    </xf>
    <xf numFmtId="0" fontId="33" fillId="0" borderId="14" xfId="0" applyFont="1" applyBorder="1" applyAlignment="1">
      <alignment horizontal="left" vertical="center"/>
    </xf>
    <xf numFmtId="0" fontId="33" fillId="0" borderId="3" xfId="0" applyFont="1" applyBorder="1" applyAlignment="1">
      <alignment horizontal="left" vertical="center"/>
    </xf>
    <xf numFmtId="0" fontId="1" fillId="0" borderId="14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6" fillId="0" borderId="16" xfId="0" applyFont="1" applyBorder="1"/>
    <xf numFmtId="0" fontId="6" fillId="0" borderId="17" xfId="0" applyFont="1" applyBorder="1"/>
    <xf numFmtId="0" fontId="6" fillId="0" borderId="15" xfId="0" applyFont="1" applyBorder="1"/>
    <xf numFmtId="0" fontId="6" fillId="0" borderId="10" xfId="0" applyFont="1" applyBorder="1"/>
    <xf numFmtId="0" fontId="6" fillId="0" borderId="0" xfId="0" applyFont="1"/>
    <xf numFmtId="0" fontId="6" fillId="0" borderId="18" xfId="0" applyFont="1" applyBorder="1"/>
    <xf numFmtId="0" fontId="6" fillId="0" borderId="8" xfId="0" applyFont="1" applyBorder="1"/>
    <xf numFmtId="0" fontId="6" fillId="0" borderId="6" xfId="0" applyFont="1" applyBorder="1"/>
    <xf numFmtId="0" fontId="6" fillId="0" borderId="20" xfId="0" applyFont="1" applyBorder="1"/>
    <xf numFmtId="0" fontId="33" fillId="0" borderId="19" xfId="0" applyFont="1" applyBorder="1" applyAlignment="1">
      <alignment horizontal="left" vertical="center"/>
    </xf>
    <xf numFmtId="0" fontId="17" fillId="10" borderId="14" xfId="0" applyFont="1" applyFill="1" applyBorder="1" applyAlignment="1">
      <alignment horizontal="center" vertical="center"/>
    </xf>
    <xf numFmtId="0" fontId="17" fillId="10" borderId="3" xfId="0" applyFont="1" applyFill="1" applyBorder="1" applyAlignment="1">
      <alignment horizontal="center" vertical="center"/>
    </xf>
    <xf numFmtId="0" fontId="17" fillId="10" borderId="19" xfId="0" applyFont="1" applyFill="1" applyBorder="1" applyAlignment="1">
      <alignment horizontal="center" vertical="center"/>
    </xf>
    <xf numFmtId="0" fontId="6" fillId="10" borderId="14" xfId="0" applyFont="1" applyFill="1" applyBorder="1" applyAlignment="1">
      <alignment horizontal="center" vertical="center"/>
    </xf>
    <xf numFmtId="0" fontId="6" fillId="10" borderId="3" xfId="0" applyFont="1" applyFill="1" applyBorder="1" applyAlignment="1">
      <alignment horizontal="center" vertical="center"/>
    </xf>
    <xf numFmtId="0" fontId="6" fillId="10" borderId="19" xfId="0" applyFont="1" applyFill="1" applyBorder="1" applyAlignment="1">
      <alignment horizontal="center" vertical="center"/>
    </xf>
    <xf numFmtId="0" fontId="6" fillId="12" borderId="16" xfId="0" applyFont="1" applyFill="1" applyBorder="1"/>
    <xf numFmtId="0" fontId="0" fillId="12" borderId="17" xfId="0" applyFill="1" applyBorder="1"/>
    <xf numFmtId="0" fontId="0" fillId="12" borderId="15" xfId="0" applyFill="1" applyBorder="1"/>
    <xf numFmtId="0" fontId="18" fillId="12" borderId="17" xfId="0" applyFont="1" applyFill="1" applyBorder="1"/>
    <xf numFmtId="0" fontId="18" fillId="12" borderId="15" xfId="0" applyFont="1" applyFill="1" applyBorder="1"/>
    <xf numFmtId="0" fontId="42" fillId="0" borderId="16" xfId="0" applyFont="1" applyBorder="1" applyAlignment="1">
      <alignment horizontal="center" vertical="center"/>
    </xf>
    <xf numFmtId="0" fontId="42" fillId="0" borderId="17" xfId="0" applyFont="1" applyBorder="1" applyAlignment="1">
      <alignment horizontal="center" vertical="center"/>
    </xf>
    <xf numFmtId="0" fontId="42" fillId="0" borderId="15" xfId="0" applyFont="1" applyBorder="1" applyAlignment="1">
      <alignment horizontal="center" vertical="center"/>
    </xf>
    <xf numFmtId="0" fontId="42" fillId="0" borderId="8" xfId="0" applyFont="1" applyBorder="1" applyAlignment="1">
      <alignment horizontal="center" vertical="center"/>
    </xf>
    <xf numFmtId="0" fontId="42" fillId="0" borderId="6" xfId="0" applyFont="1" applyBorder="1" applyAlignment="1">
      <alignment horizontal="center" vertical="center"/>
    </xf>
    <xf numFmtId="0" fontId="42" fillId="0" borderId="20" xfId="0" applyFont="1" applyBorder="1" applyAlignment="1">
      <alignment horizontal="center" vertical="center"/>
    </xf>
    <xf numFmtId="0" fontId="33" fillId="0" borderId="14" xfId="0" applyFont="1" applyBorder="1" applyAlignment="1">
      <alignment horizontal="center" vertical="center"/>
    </xf>
    <xf numFmtId="0" fontId="33" fillId="0" borderId="3" xfId="0" applyFont="1" applyBorder="1" applyAlignment="1">
      <alignment horizontal="center" vertical="center"/>
    </xf>
    <xf numFmtId="0" fontId="33" fillId="0" borderId="19" xfId="0" applyFont="1" applyBorder="1" applyAlignment="1">
      <alignment horizontal="center" vertical="center"/>
    </xf>
    <xf numFmtId="10" fontId="6" fillId="22" borderId="1" xfId="0" applyNumberFormat="1" applyFont="1" applyFill="1" applyBorder="1" applyAlignment="1">
      <alignment horizontal="center"/>
    </xf>
    <xf numFmtId="10" fontId="6" fillId="22" borderId="14" xfId="0" applyNumberFormat="1" applyFont="1" applyFill="1" applyBorder="1" applyAlignment="1">
      <alignment horizontal="center"/>
    </xf>
    <xf numFmtId="10" fontId="6" fillId="22" borderId="3" xfId="0" applyNumberFormat="1" applyFont="1" applyFill="1" applyBorder="1" applyAlignment="1">
      <alignment horizontal="center"/>
    </xf>
    <xf numFmtId="10" fontId="6" fillId="22" borderId="19" xfId="0" applyNumberFormat="1" applyFont="1" applyFill="1" applyBorder="1" applyAlignment="1">
      <alignment horizontal="center"/>
    </xf>
    <xf numFmtId="0" fontId="34" fillId="23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0" fontId="1" fillId="19" borderId="1" xfId="0" applyFont="1" applyFill="1" applyBorder="1" applyAlignment="1">
      <alignment horizontal="center" vertical="center" wrapText="1"/>
    </xf>
    <xf numFmtId="0" fontId="1" fillId="19" borderId="14" xfId="0" applyFont="1" applyFill="1" applyBorder="1" applyAlignment="1">
      <alignment horizontal="center" vertical="center" wrapText="1"/>
    </xf>
    <xf numFmtId="0" fontId="1" fillId="19" borderId="3" xfId="0" applyFont="1" applyFill="1" applyBorder="1" applyAlignment="1">
      <alignment horizontal="center" vertical="center" wrapText="1"/>
    </xf>
    <xf numFmtId="0" fontId="1" fillId="19" borderId="19" xfId="0" applyFont="1" applyFill="1" applyBorder="1" applyAlignment="1">
      <alignment horizontal="center" vertical="center" wrapText="1"/>
    </xf>
    <xf numFmtId="0" fontId="1" fillId="20" borderId="1" xfId="0" applyFont="1" applyFill="1" applyBorder="1" applyAlignment="1">
      <alignment horizontal="center" vertical="center" wrapText="1"/>
    </xf>
    <xf numFmtId="0" fontId="6" fillId="24" borderId="1" xfId="0" applyFont="1" applyFill="1" applyBorder="1" applyAlignment="1">
      <alignment horizontal="left" vertical="center" wrapText="1"/>
    </xf>
    <xf numFmtId="0" fontId="28" fillId="6" borderId="1" xfId="0" applyFont="1" applyFill="1" applyBorder="1" applyAlignment="1">
      <alignment horizontal="left" vertical="center" wrapText="1"/>
    </xf>
    <xf numFmtId="0" fontId="6" fillId="6" borderId="14" xfId="0" applyFont="1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6" fillId="6" borderId="19" xfId="0" applyFont="1" applyFill="1" applyBorder="1" applyAlignment="1">
      <alignment horizontal="left" vertical="center" wrapText="1"/>
    </xf>
    <xf numFmtId="0" fontId="35" fillId="0" borderId="1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33" fillId="0" borderId="1" xfId="0" applyFont="1" applyBorder="1" applyAlignment="1">
      <alignment horizontal="left" vertical="center"/>
    </xf>
    <xf numFmtId="0" fontId="33" fillId="0" borderId="1" xfId="0" applyFont="1" applyBorder="1" applyAlignment="1">
      <alignment horizontal="center" vertical="center"/>
    </xf>
    <xf numFmtId="0" fontId="6" fillId="12" borderId="14" xfId="0" applyFont="1" applyFill="1" applyBorder="1" applyAlignment="1">
      <alignment horizontal="center"/>
    </xf>
    <xf numFmtId="0" fontId="6" fillId="12" borderId="3" xfId="0" applyFont="1" applyFill="1" applyBorder="1" applyAlignment="1">
      <alignment horizontal="center"/>
    </xf>
    <xf numFmtId="0" fontId="6" fillId="12" borderId="19" xfId="0" applyFont="1" applyFill="1" applyBorder="1" applyAlignment="1">
      <alignment horizontal="center"/>
    </xf>
    <xf numFmtId="0" fontId="6" fillId="17" borderId="17" xfId="0" applyFont="1" applyFill="1" applyBorder="1" applyAlignment="1">
      <alignment horizontal="left"/>
    </xf>
    <xf numFmtId="0" fontId="6" fillId="17" borderId="15" xfId="0" applyFont="1" applyFill="1" applyBorder="1" applyAlignment="1">
      <alignment horizontal="left"/>
    </xf>
    <xf numFmtId="0" fontId="6" fillId="0" borderId="17" xfId="0" applyFont="1" applyBorder="1" applyAlignment="1">
      <alignment horizontal="center"/>
    </xf>
    <xf numFmtId="0" fontId="17" fillId="25" borderId="1" xfId="0" applyFont="1" applyFill="1" applyBorder="1" applyAlignment="1">
      <alignment horizontal="center"/>
    </xf>
    <xf numFmtId="0" fontId="22" fillId="29" borderId="14" xfId="0" applyFont="1" applyFill="1" applyBorder="1" applyAlignment="1">
      <alignment horizontal="center"/>
    </xf>
    <xf numFmtId="0" fontId="22" fillId="29" borderId="19" xfId="0" applyFont="1" applyFill="1" applyBorder="1" applyAlignment="1">
      <alignment horizontal="center"/>
    </xf>
    <xf numFmtId="2" fontId="2" fillId="2" borderId="11" xfId="0" applyNumberFormat="1" applyFont="1" applyFill="1" applyBorder="1" applyAlignment="1">
      <alignment horizontal="center" vertical="center" wrapText="1"/>
    </xf>
    <xf numFmtId="2" fontId="2" fillId="2" borderId="12" xfId="0" applyNumberFormat="1" applyFont="1" applyFill="1" applyBorder="1" applyAlignment="1">
      <alignment horizontal="center" vertical="center" wrapText="1"/>
    </xf>
    <xf numFmtId="2" fontId="2" fillId="2" borderId="13" xfId="0" applyNumberFormat="1" applyFont="1" applyFill="1" applyBorder="1" applyAlignment="1">
      <alignment horizontal="center" vertical="center" wrapText="1"/>
    </xf>
    <xf numFmtId="188" fontId="1" fillId="0" borderId="14" xfId="0" applyNumberFormat="1" applyFont="1" applyBorder="1" applyAlignment="1">
      <alignment horizontal="center" vertical="center"/>
    </xf>
    <xf numFmtId="188" fontId="1" fillId="0" borderId="3" xfId="0" applyNumberFormat="1" applyFont="1" applyBorder="1" applyAlignment="1">
      <alignment horizontal="center" vertical="center"/>
    </xf>
    <xf numFmtId="188" fontId="1" fillId="0" borderId="19" xfId="0" applyNumberFormat="1" applyFont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2" fillId="2" borderId="28" xfId="0" applyFont="1" applyFill="1" applyBorder="1" applyAlignment="1">
      <alignment horizontal="center" vertical="center"/>
    </xf>
    <xf numFmtId="0" fontId="2" fillId="2" borderId="29" xfId="0" applyFont="1" applyFill="1" applyBorder="1" applyAlignment="1">
      <alignment horizontal="center" vertical="center"/>
    </xf>
    <xf numFmtId="0" fontId="2" fillId="2" borderId="30" xfId="0" applyFont="1" applyFill="1" applyBorder="1" applyAlignment="1">
      <alignment horizontal="center" vertical="center"/>
    </xf>
    <xf numFmtId="0" fontId="44" fillId="0" borderId="16" xfId="0" applyFont="1" applyBorder="1" applyAlignment="1">
      <alignment horizontal="center" vertical="center"/>
    </xf>
    <xf numFmtId="0" fontId="44" fillId="0" borderId="17" xfId="0" applyFont="1" applyBorder="1" applyAlignment="1">
      <alignment horizontal="center" vertical="center"/>
    </xf>
    <xf numFmtId="0" fontId="44" fillId="0" borderId="15" xfId="0" applyFont="1" applyBorder="1" applyAlignment="1">
      <alignment horizontal="center" vertical="center"/>
    </xf>
    <xf numFmtId="0" fontId="44" fillId="0" borderId="8" xfId="0" applyFont="1" applyBorder="1" applyAlignment="1">
      <alignment horizontal="center" vertical="center"/>
    </xf>
    <xf numFmtId="0" fontId="44" fillId="0" borderId="6" xfId="0" applyFont="1" applyBorder="1" applyAlignment="1">
      <alignment horizontal="center" vertical="center"/>
    </xf>
    <xf numFmtId="0" fontId="44" fillId="0" borderId="20" xfId="0" applyFont="1" applyBorder="1" applyAlignment="1">
      <alignment horizontal="center" vertical="center"/>
    </xf>
    <xf numFmtId="0" fontId="33" fillId="13" borderId="14" xfId="0" applyFont="1" applyFill="1" applyBorder="1" applyAlignment="1">
      <alignment horizontal="center" vertical="center"/>
    </xf>
    <xf numFmtId="0" fontId="33" fillId="13" borderId="3" xfId="0" applyFont="1" applyFill="1" applyBorder="1" applyAlignment="1">
      <alignment horizontal="center" vertical="center"/>
    </xf>
    <xf numFmtId="0" fontId="33" fillId="13" borderId="19" xfId="0" applyFont="1" applyFill="1" applyBorder="1" applyAlignment="1">
      <alignment horizontal="center" vertical="center"/>
    </xf>
    <xf numFmtId="0" fontId="45" fillId="0" borderId="14" xfId="0" applyFont="1" applyBorder="1" applyAlignment="1">
      <alignment horizontal="center" vertical="center"/>
    </xf>
    <xf numFmtId="0" fontId="45" fillId="0" borderId="3" xfId="0" applyFont="1" applyBorder="1" applyAlignment="1">
      <alignment horizontal="center" vertical="center"/>
    </xf>
    <xf numFmtId="0" fontId="45" fillId="0" borderId="19" xfId="0" applyFont="1" applyBorder="1" applyAlignment="1">
      <alignment horizontal="center" vertical="center"/>
    </xf>
    <xf numFmtId="0" fontId="1" fillId="13" borderId="14" xfId="0" applyFont="1" applyFill="1" applyBorder="1" applyAlignment="1">
      <alignment horizontal="center" vertical="center"/>
    </xf>
    <xf numFmtId="0" fontId="1" fillId="13" borderId="3" xfId="0" applyFont="1" applyFill="1" applyBorder="1" applyAlignment="1">
      <alignment horizontal="center" vertical="center"/>
    </xf>
    <xf numFmtId="0" fontId="1" fillId="13" borderId="19" xfId="0" applyFont="1" applyFill="1" applyBorder="1" applyAlignment="1">
      <alignment horizontal="center" vertical="center"/>
    </xf>
    <xf numFmtId="0" fontId="7" fillId="26" borderId="11" xfId="0" applyFont="1" applyFill="1" applyBorder="1" applyAlignment="1">
      <alignment horizontal="center" vertical="center" textRotation="90"/>
    </xf>
    <xf numFmtId="0" fontId="7" fillId="26" borderId="13" xfId="0" applyFont="1" applyFill="1" applyBorder="1" applyAlignment="1">
      <alignment horizontal="center" vertical="center" textRotation="90"/>
    </xf>
    <xf numFmtId="0" fontId="6" fillId="12" borderId="14" xfId="0" applyFont="1" applyFill="1" applyBorder="1"/>
    <xf numFmtId="0" fontId="6" fillId="12" borderId="3" xfId="0" applyFont="1" applyFill="1" applyBorder="1"/>
    <xf numFmtId="0" fontId="6" fillId="12" borderId="19" xfId="0" applyFont="1" applyFill="1" applyBorder="1"/>
    <xf numFmtId="0" fontId="2" fillId="27" borderId="11" xfId="0" applyFont="1" applyFill="1" applyBorder="1" applyAlignment="1">
      <alignment horizontal="center" vertical="center"/>
    </xf>
    <xf numFmtId="0" fontId="2" fillId="27" borderId="12" xfId="0" applyFont="1" applyFill="1" applyBorder="1" applyAlignment="1">
      <alignment horizontal="center" vertical="center"/>
    </xf>
    <xf numFmtId="0" fontId="2" fillId="27" borderId="13" xfId="0" applyFont="1" applyFill="1" applyBorder="1" applyAlignment="1">
      <alignment horizontal="center" vertical="center"/>
    </xf>
    <xf numFmtId="0" fontId="2" fillId="28" borderId="11" xfId="0" applyFont="1" applyFill="1" applyBorder="1" applyAlignment="1">
      <alignment horizontal="center" vertical="center"/>
    </xf>
    <xf numFmtId="0" fontId="25" fillId="28" borderId="12" xfId="0" applyFont="1" applyFill="1" applyBorder="1" applyAlignment="1">
      <alignment vertical="center"/>
    </xf>
    <xf numFmtId="0" fontId="25" fillId="28" borderId="13" xfId="0" applyFont="1" applyFill="1" applyBorder="1" applyAlignment="1">
      <alignment vertical="center"/>
    </xf>
    <xf numFmtId="0" fontId="2" fillId="3" borderId="16" xfId="0" applyFont="1" applyFill="1" applyBorder="1" applyAlignment="1">
      <alignment horizontal="center" vertical="center" wrapText="1"/>
    </xf>
    <xf numFmtId="0" fontId="2" fillId="3" borderId="21" xfId="0" applyFont="1" applyFill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22" xfId="0" applyFont="1" applyFill="1" applyBorder="1" applyAlignment="1">
      <alignment horizontal="center" vertical="center" wrapText="1"/>
    </xf>
    <xf numFmtId="0" fontId="2" fillId="3" borderId="8" xfId="0" applyFont="1" applyFill="1" applyBorder="1" applyAlignment="1">
      <alignment horizontal="center" vertical="center" wrapText="1"/>
    </xf>
    <xf numFmtId="0" fontId="2" fillId="3" borderId="23" xfId="0" applyFont="1" applyFill="1" applyBorder="1" applyAlignment="1">
      <alignment horizontal="center" vertical="center" wrapText="1"/>
    </xf>
    <xf numFmtId="0" fontId="2" fillId="4" borderId="24" xfId="0" applyFont="1" applyFill="1" applyBorder="1" applyAlignment="1">
      <alignment horizontal="center" vertical="center" wrapText="1"/>
    </xf>
    <xf numFmtId="0" fontId="2" fillId="4" borderId="17" xfId="0" applyFont="1" applyFill="1" applyBorder="1" applyAlignment="1">
      <alignment horizontal="center" vertical="center" wrapText="1"/>
    </xf>
    <xf numFmtId="0" fontId="2" fillId="4" borderId="21" xfId="0" applyFont="1" applyFill="1" applyBorder="1" applyAlignment="1">
      <alignment horizontal="center" vertical="center" wrapText="1"/>
    </xf>
    <xf numFmtId="0" fontId="2" fillId="4" borderId="25" xfId="0" applyFont="1" applyFill="1" applyBorder="1" applyAlignment="1">
      <alignment horizontal="center" vertical="center" wrapText="1"/>
    </xf>
    <xf numFmtId="0" fontId="2" fillId="4" borderId="26" xfId="0" applyFont="1" applyFill="1" applyBorder="1" applyAlignment="1">
      <alignment horizontal="center" vertical="center" wrapText="1"/>
    </xf>
    <xf numFmtId="0" fontId="2" fillId="4" borderId="27" xfId="0" applyFont="1" applyFill="1" applyBorder="1" applyAlignment="1">
      <alignment horizontal="center" vertical="center" wrapText="1"/>
    </xf>
    <xf numFmtId="0" fontId="2" fillId="4" borderId="28" xfId="0" applyFont="1" applyFill="1" applyBorder="1" applyAlignment="1">
      <alignment horizontal="center" vertical="center" wrapText="1"/>
    </xf>
    <xf numFmtId="0" fontId="2" fillId="4" borderId="29" xfId="0" applyFont="1" applyFill="1" applyBorder="1" applyAlignment="1">
      <alignment horizontal="center" vertical="center" wrapText="1"/>
    </xf>
    <xf numFmtId="0" fontId="2" fillId="4" borderId="30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2" fillId="4" borderId="32" xfId="0" applyFont="1" applyFill="1" applyBorder="1" applyAlignment="1">
      <alignment horizontal="center" vertical="center" wrapText="1"/>
    </xf>
    <xf numFmtId="0" fontId="2" fillId="4" borderId="33" xfId="0" applyFont="1" applyFill="1" applyBorder="1" applyAlignment="1">
      <alignment horizontal="center" vertical="center" wrapText="1"/>
    </xf>
    <xf numFmtId="0" fontId="2" fillId="4" borderId="34" xfId="0" applyFont="1" applyFill="1" applyBorder="1" applyAlignment="1">
      <alignment horizontal="center" vertical="center" wrapText="1"/>
    </xf>
    <xf numFmtId="0" fontId="2" fillId="4" borderId="9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center" vertical="center" textRotation="90"/>
    </xf>
    <xf numFmtId="0" fontId="1" fillId="0" borderId="12" xfId="0" applyFont="1" applyBorder="1" applyAlignment="1">
      <alignment horizontal="center" vertical="center" textRotation="90"/>
    </xf>
    <xf numFmtId="0" fontId="1" fillId="0" borderId="13" xfId="0" applyFont="1" applyBorder="1" applyAlignment="1">
      <alignment horizontal="center" vertical="center" textRotation="90"/>
    </xf>
    <xf numFmtId="0" fontId="4" fillId="7" borderId="16" xfId="0" applyFont="1" applyFill="1" applyBorder="1"/>
    <xf numFmtId="0" fontId="4" fillId="7" borderId="17" xfId="0" applyFont="1" applyFill="1" applyBorder="1"/>
    <xf numFmtId="0" fontId="4" fillId="7" borderId="15" xfId="0" applyFont="1" applyFill="1" applyBorder="1"/>
    <xf numFmtId="0" fontId="2" fillId="26" borderId="11" xfId="0" applyFont="1" applyFill="1" applyBorder="1" applyAlignment="1">
      <alignment horizontal="center" vertical="center"/>
    </xf>
    <xf numFmtId="0" fontId="25" fillId="26" borderId="12" xfId="0" applyFont="1" applyFill="1" applyBorder="1" applyAlignment="1">
      <alignment horizontal="center" vertical="center"/>
    </xf>
    <xf numFmtId="0" fontId="7" fillId="26" borderId="12" xfId="0" applyFont="1" applyFill="1" applyBorder="1" applyAlignment="1">
      <alignment horizontal="center" vertical="center" textRotation="90"/>
    </xf>
    <xf numFmtId="0" fontId="7" fillId="26" borderId="16" xfId="0" applyFont="1" applyFill="1" applyBorder="1" applyAlignment="1">
      <alignment horizontal="center" vertical="center" textRotation="90"/>
    </xf>
    <xf numFmtId="0" fontId="7" fillId="26" borderId="8" xfId="0" applyFont="1" applyFill="1" applyBorder="1" applyAlignment="1">
      <alignment horizontal="center" vertical="center" textRotation="90"/>
    </xf>
    <xf numFmtId="0" fontId="2" fillId="26" borderId="14" xfId="0" applyFont="1" applyFill="1" applyBorder="1" applyAlignment="1">
      <alignment horizontal="center"/>
    </xf>
    <xf numFmtId="0" fontId="2" fillId="26" borderId="3" xfId="0" applyFont="1" applyFill="1" applyBorder="1" applyAlignment="1">
      <alignment horizontal="center"/>
    </xf>
    <xf numFmtId="0" fontId="7" fillId="26" borderId="15" xfId="0" applyFont="1" applyFill="1" applyBorder="1" applyAlignment="1">
      <alignment horizontal="center" vertical="center" textRotation="90"/>
    </xf>
    <xf numFmtId="0" fontId="7" fillId="26" borderId="20" xfId="0" applyFont="1" applyFill="1" applyBorder="1" applyAlignment="1">
      <alignment horizontal="center" vertical="center" textRotation="90"/>
    </xf>
    <xf numFmtId="0" fontId="2" fillId="26" borderId="19" xfId="0" applyFont="1" applyFill="1" applyBorder="1" applyAlignment="1">
      <alignment horizontal="center"/>
    </xf>
    <xf numFmtId="0" fontId="2" fillId="26" borderId="1" xfId="0" applyFont="1" applyFill="1" applyBorder="1" applyAlignment="1">
      <alignment horizontal="center"/>
    </xf>
    <xf numFmtId="0" fontId="1" fillId="0" borderId="11" xfId="0" applyFont="1" applyBorder="1" applyAlignment="1">
      <alignment horizontal="center" vertical="center" textRotation="90" wrapText="1"/>
    </xf>
    <xf numFmtId="0" fontId="1" fillId="0" borderId="12" xfId="0" applyFont="1" applyBorder="1" applyAlignment="1">
      <alignment horizontal="center" vertical="center" textRotation="90" wrapText="1"/>
    </xf>
    <xf numFmtId="0" fontId="1" fillId="0" borderId="13" xfId="0" applyFont="1" applyBorder="1" applyAlignment="1">
      <alignment horizontal="center" vertical="center" textRotation="90" wrapText="1"/>
    </xf>
    <xf numFmtId="0" fontId="4" fillId="7" borderId="8" xfId="0" applyFont="1" applyFill="1" applyBorder="1"/>
    <xf numFmtId="0" fontId="4" fillId="7" borderId="6" xfId="0" applyFont="1" applyFill="1" applyBorder="1"/>
    <xf numFmtId="0" fontId="4" fillId="7" borderId="20" xfId="0" applyFont="1" applyFill="1" applyBorder="1"/>
    <xf numFmtId="187" fontId="43" fillId="5" borderId="16" xfId="0" applyNumberFormat="1" applyFont="1" applyFill="1" applyBorder="1" applyAlignment="1">
      <alignment horizontal="center" vertical="center"/>
    </xf>
    <xf numFmtId="187" fontId="43" fillId="5" borderId="17" xfId="0" applyNumberFormat="1" applyFont="1" applyFill="1" applyBorder="1" applyAlignment="1">
      <alignment horizontal="center" vertical="center"/>
    </xf>
    <xf numFmtId="187" fontId="43" fillId="5" borderId="15" xfId="0" applyNumberFormat="1" applyFont="1" applyFill="1" applyBorder="1" applyAlignment="1">
      <alignment horizontal="center" vertical="center"/>
    </xf>
    <xf numFmtId="187" fontId="43" fillId="5" borderId="10" xfId="0" applyNumberFormat="1" applyFont="1" applyFill="1" applyBorder="1" applyAlignment="1">
      <alignment horizontal="center" vertical="center"/>
    </xf>
    <xf numFmtId="187" fontId="43" fillId="5" borderId="0" xfId="0" applyNumberFormat="1" applyFont="1" applyFill="1" applyAlignment="1">
      <alignment horizontal="center" vertical="center"/>
    </xf>
    <xf numFmtId="187" fontId="43" fillId="5" borderId="18" xfId="0" applyNumberFormat="1" applyFont="1" applyFill="1" applyBorder="1" applyAlignment="1">
      <alignment horizontal="center" vertical="center"/>
    </xf>
    <xf numFmtId="187" fontId="43" fillId="5" borderId="8" xfId="0" applyNumberFormat="1" applyFont="1" applyFill="1" applyBorder="1" applyAlignment="1">
      <alignment horizontal="center" vertical="center"/>
    </xf>
    <xf numFmtId="187" fontId="43" fillId="5" borderId="6" xfId="0" applyNumberFormat="1" applyFont="1" applyFill="1" applyBorder="1" applyAlignment="1">
      <alignment horizontal="center" vertical="center"/>
    </xf>
    <xf numFmtId="187" fontId="43" fillId="5" borderId="20" xfId="0" applyNumberFormat="1" applyFont="1" applyFill="1" applyBorder="1" applyAlignment="1">
      <alignment horizontal="center" vertical="center"/>
    </xf>
    <xf numFmtId="188" fontId="4" fillId="5" borderId="17" xfId="0" applyNumberFormat="1" applyFont="1" applyFill="1" applyBorder="1" applyAlignment="1">
      <alignment horizontal="center" vertical="center"/>
    </xf>
    <xf numFmtId="188" fontId="4" fillId="5" borderId="15" xfId="0" applyNumberFormat="1" applyFont="1" applyFill="1" applyBorder="1" applyAlignment="1">
      <alignment horizontal="center" vertical="center"/>
    </xf>
    <xf numFmtId="188" fontId="4" fillId="5" borderId="0" xfId="0" applyNumberFormat="1" applyFont="1" applyFill="1" applyAlignment="1">
      <alignment horizontal="center" vertical="center"/>
    </xf>
    <xf numFmtId="188" fontId="4" fillId="5" borderId="18" xfId="0" applyNumberFormat="1" applyFont="1" applyFill="1" applyBorder="1" applyAlignment="1">
      <alignment horizontal="center" vertical="center"/>
    </xf>
    <xf numFmtId="188" fontId="4" fillId="5" borderId="6" xfId="0" applyNumberFormat="1" applyFont="1" applyFill="1" applyBorder="1" applyAlignment="1">
      <alignment horizontal="center" vertical="center"/>
    </xf>
    <xf numFmtId="188" fontId="4" fillId="5" borderId="20" xfId="0" applyNumberFormat="1" applyFont="1" applyFill="1" applyBorder="1" applyAlignment="1">
      <alignment horizontal="center" vertical="center"/>
    </xf>
    <xf numFmtId="0" fontId="4" fillId="7" borderId="14" xfId="0" applyFont="1" applyFill="1" applyBorder="1"/>
    <xf numFmtId="0" fontId="4" fillId="7" borderId="3" xfId="0" applyFont="1" applyFill="1" applyBorder="1"/>
    <xf numFmtId="0" fontId="4" fillId="7" borderId="19" xfId="0" applyFont="1" applyFill="1" applyBorder="1"/>
    <xf numFmtId="187" fontId="4" fillId="5" borderId="16" xfId="0" applyNumberFormat="1" applyFont="1" applyFill="1" applyBorder="1" applyAlignment="1">
      <alignment horizontal="center" vertical="center"/>
    </xf>
    <xf numFmtId="187" fontId="4" fillId="5" borderId="17" xfId="0" applyNumberFormat="1" applyFont="1" applyFill="1" applyBorder="1" applyAlignment="1">
      <alignment horizontal="center" vertical="center"/>
    </xf>
    <xf numFmtId="187" fontId="4" fillId="5" borderId="10" xfId="0" applyNumberFormat="1" applyFont="1" applyFill="1" applyBorder="1" applyAlignment="1">
      <alignment horizontal="center" vertical="center"/>
    </xf>
    <xf numFmtId="187" fontId="4" fillId="5" borderId="0" xfId="0" applyNumberFormat="1" applyFont="1" applyFill="1" applyAlignment="1">
      <alignment horizontal="center" vertical="center"/>
    </xf>
    <xf numFmtId="187" fontId="4" fillId="5" borderId="8" xfId="0" applyNumberFormat="1" applyFont="1" applyFill="1" applyBorder="1" applyAlignment="1">
      <alignment horizontal="center" vertical="center"/>
    </xf>
    <xf numFmtId="187" fontId="4" fillId="5" borderId="6" xfId="0" applyNumberFormat="1" applyFont="1" applyFill="1" applyBorder="1" applyAlignment="1">
      <alignment horizontal="center" vertical="center"/>
    </xf>
    <xf numFmtId="0" fontId="46" fillId="0" borderId="16" xfId="0" applyFont="1" applyBorder="1" applyAlignment="1">
      <alignment horizontal="center" vertical="center"/>
    </xf>
    <xf numFmtId="0" fontId="46" fillId="0" borderId="17" xfId="0" applyFont="1" applyBorder="1" applyAlignment="1">
      <alignment horizontal="center" vertical="center"/>
    </xf>
    <xf numFmtId="0" fontId="46" fillId="0" borderId="15" xfId="0" applyFont="1" applyBorder="1" applyAlignment="1">
      <alignment horizontal="center" vertical="center"/>
    </xf>
    <xf numFmtId="0" fontId="46" fillId="0" borderId="8" xfId="0" applyFont="1" applyBorder="1" applyAlignment="1">
      <alignment horizontal="center" vertical="center"/>
    </xf>
    <xf numFmtId="0" fontId="46" fillId="0" borderId="6" xfId="0" applyFont="1" applyBorder="1" applyAlignment="1">
      <alignment horizontal="center" vertical="center"/>
    </xf>
    <xf numFmtId="0" fontId="46" fillId="0" borderId="20" xfId="0" applyFont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1" fillId="3" borderId="13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18" xfId="0" applyFont="1" applyBorder="1" applyAlignment="1">
      <alignment horizontal="center"/>
    </xf>
    <xf numFmtId="0" fontId="6" fillId="25" borderId="14" xfId="0" applyFont="1" applyFill="1" applyBorder="1" applyAlignment="1">
      <alignment horizontal="left"/>
    </xf>
    <xf numFmtId="0" fontId="6" fillId="25" borderId="19" xfId="0" applyFont="1" applyFill="1" applyBorder="1" applyAlignment="1">
      <alignment horizontal="left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  <xf numFmtId="0" fontId="47" fillId="0" borderId="1" xfId="0" applyFont="1" applyBorder="1" applyAlignment="1">
      <alignment horizontal="center" vertical="center"/>
    </xf>
    <xf numFmtId="0" fontId="46" fillId="0" borderId="1" xfId="0" applyFont="1" applyBorder="1" applyAlignment="1">
      <alignment horizontal="center" vertical="center"/>
    </xf>
    <xf numFmtId="188" fontId="14" fillId="0" borderId="11" xfId="0" applyNumberFormat="1" applyFont="1" applyBorder="1" applyAlignment="1">
      <alignment horizontal="center" vertical="center"/>
    </xf>
    <xf numFmtId="188" fontId="14" fillId="0" borderId="13" xfId="0" applyNumberFormat="1" applyFont="1" applyBorder="1" applyAlignment="1">
      <alignment horizontal="center" vertical="center"/>
    </xf>
    <xf numFmtId="0" fontId="17" fillId="10" borderId="8" xfId="0" applyFont="1" applyFill="1" applyBorder="1" applyAlignment="1">
      <alignment horizontal="left" vertical="center"/>
    </xf>
    <xf numFmtId="0" fontId="17" fillId="10" borderId="6" xfId="0" applyFont="1" applyFill="1" applyBorder="1" applyAlignment="1">
      <alignment horizontal="left" vertical="center"/>
    </xf>
    <xf numFmtId="0" fontId="17" fillId="0" borderId="6" xfId="0" applyFont="1" applyBorder="1" applyAlignment="1">
      <alignment horizontal="left" vertical="center"/>
    </xf>
    <xf numFmtId="0" fontId="17" fillId="0" borderId="20" xfId="0" applyFont="1" applyBorder="1" applyAlignment="1">
      <alignment horizontal="left" vertical="center"/>
    </xf>
    <xf numFmtId="0" fontId="28" fillId="10" borderId="8" xfId="0" applyFont="1" applyFill="1" applyBorder="1" applyAlignment="1">
      <alignment vertical="center"/>
    </xf>
    <xf numFmtId="0" fontId="28" fillId="10" borderId="6" xfId="0" applyFont="1" applyFill="1" applyBorder="1" applyAlignment="1">
      <alignment vertical="center"/>
    </xf>
    <xf numFmtId="0" fontId="28" fillId="10" borderId="20" xfId="0" applyFont="1" applyFill="1" applyBorder="1" applyAlignment="1">
      <alignment vertical="center"/>
    </xf>
    <xf numFmtId="0" fontId="11" fillId="27" borderId="10" xfId="0" applyFont="1" applyFill="1" applyBorder="1" applyAlignment="1">
      <alignment horizontal="center" vertical="center" wrapText="1"/>
    </xf>
    <xf numFmtId="0" fontId="11" fillId="28" borderId="10" xfId="0" applyFont="1" applyFill="1" applyBorder="1" applyAlignment="1">
      <alignment horizontal="center" vertical="center" wrapText="1"/>
    </xf>
    <xf numFmtId="0" fontId="11" fillId="28" borderId="8" xfId="0" applyFont="1" applyFill="1" applyBorder="1" applyAlignment="1">
      <alignment horizontal="center" vertical="center" wrapText="1"/>
    </xf>
    <xf numFmtId="0" fontId="11" fillId="26" borderId="12" xfId="0" applyFont="1" applyFill="1" applyBorder="1" applyAlignment="1">
      <alignment horizontal="center" vertical="center" wrapText="1"/>
    </xf>
    <xf numFmtId="0" fontId="11" fillId="26" borderId="13" xfId="0" applyFont="1" applyFill="1" applyBorder="1" applyAlignment="1">
      <alignment horizontal="center" vertical="center" wrapText="1"/>
    </xf>
    <xf numFmtId="0" fontId="11" fillId="27" borderId="16" xfId="0" applyFont="1" applyFill="1" applyBorder="1" applyAlignment="1">
      <alignment horizontal="center" vertical="center" wrapText="1"/>
    </xf>
    <xf numFmtId="0" fontId="11" fillId="28" borderId="16" xfId="0" applyFont="1" applyFill="1" applyBorder="1" applyAlignment="1">
      <alignment horizontal="center" vertical="center" wrapText="1"/>
    </xf>
    <xf numFmtId="0" fontId="11" fillId="26" borderId="11" xfId="0" applyFont="1" applyFill="1" applyBorder="1" applyAlignment="1">
      <alignment horizontal="center" vertical="center" wrapText="1"/>
    </xf>
    <xf numFmtId="0" fontId="6" fillId="13" borderId="0" xfId="0" applyFont="1" applyFill="1" applyAlignment="1">
      <alignment horizontal="center"/>
    </xf>
    <xf numFmtId="0" fontId="22" fillId="29" borderId="3" xfId="0" applyFont="1" applyFill="1" applyBorder="1" applyAlignment="1">
      <alignment horizontal="center"/>
    </xf>
    <xf numFmtId="0" fontId="23" fillId="15" borderId="1" xfId="0" applyFont="1" applyFill="1" applyBorder="1" applyAlignment="1">
      <alignment horizontal="center" vertical="center"/>
    </xf>
    <xf numFmtId="0" fontId="48" fillId="15" borderId="1" xfId="0" applyFont="1" applyFill="1" applyBorder="1" applyAlignment="1">
      <alignment horizontal="center" vertical="center"/>
    </xf>
    <xf numFmtId="0" fontId="23" fillId="15" borderId="14" xfId="0" applyFont="1" applyFill="1" applyBorder="1" applyAlignment="1">
      <alignment horizontal="center" vertical="center"/>
    </xf>
    <xf numFmtId="0" fontId="23" fillId="15" borderId="3" xfId="0" applyFont="1" applyFill="1" applyBorder="1" applyAlignment="1">
      <alignment horizontal="center" vertical="center"/>
    </xf>
    <xf numFmtId="191" fontId="20" fillId="13" borderId="1" xfId="0" applyNumberFormat="1" applyFont="1" applyFill="1" applyBorder="1" applyAlignment="1">
      <alignment horizontal="center" vertical="top"/>
    </xf>
    <xf numFmtId="190" fontId="20" fillId="13" borderId="6" xfId="0" applyNumberFormat="1" applyFont="1" applyFill="1" applyBorder="1" applyAlignment="1">
      <alignment horizontal="center"/>
    </xf>
    <xf numFmtId="0" fontId="20" fillId="13" borderId="14" xfId="0" applyFont="1" applyFill="1" applyBorder="1" applyAlignment="1">
      <alignment horizontal="center" vertical="top"/>
    </xf>
    <xf numFmtId="0" fontId="20" fillId="13" borderId="3" xfId="0" applyFont="1" applyFill="1" applyBorder="1" applyAlignment="1">
      <alignment horizontal="center" vertical="top"/>
    </xf>
    <xf numFmtId="0" fontId="20" fillId="13" borderId="19" xfId="0" applyFont="1" applyFill="1" applyBorder="1" applyAlignment="1">
      <alignment horizontal="center" vertical="top"/>
    </xf>
    <xf numFmtId="191" fontId="20" fillId="13" borderId="14" xfId="0" applyNumberFormat="1" applyFont="1" applyFill="1" applyBorder="1" applyAlignment="1">
      <alignment horizontal="center" vertical="top"/>
    </xf>
    <xf numFmtId="191" fontId="20" fillId="13" borderId="3" xfId="0" applyNumberFormat="1" applyFont="1" applyFill="1" applyBorder="1" applyAlignment="1">
      <alignment horizontal="center" vertical="top"/>
    </xf>
    <xf numFmtId="191" fontId="20" fillId="13" borderId="19" xfId="0" applyNumberFormat="1" applyFont="1" applyFill="1" applyBorder="1" applyAlignment="1">
      <alignment horizontal="center" vertical="top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36</xdr:row>
      <xdr:rowOff>38100</xdr:rowOff>
    </xdr:from>
    <xdr:to>
      <xdr:col>3</xdr:col>
      <xdr:colOff>666750</xdr:colOff>
      <xdr:row>45</xdr:row>
      <xdr:rowOff>142875</xdr:rowOff>
    </xdr:to>
    <xdr:pic>
      <xdr:nvPicPr>
        <xdr:cNvPr id="2" name="รูปภาพ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857500" cy="18097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5</xdr:row>
      <xdr:rowOff>104775</xdr:rowOff>
    </xdr:from>
    <xdr:to>
      <xdr:col>12</xdr:col>
      <xdr:colOff>451485</xdr:colOff>
      <xdr:row>24</xdr:row>
      <xdr:rowOff>127635</xdr:rowOff>
    </xdr:to>
    <xdr:sp macro="" textlink="">
      <xdr:nvSpPr>
        <xdr:cNvPr id="2" name="AutoShape 16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>
          <a:spLocks noChangeAspect="1" noChangeArrowheads="1"/>
        </xdr:cNvSpPr>
      </xdr:nvSpPr>
      <xdr:spPr bwMode="auto">
        <a:xfrm>
          <a:off x="47625" y="1209675"/>
          <a:ext cx="7719060" cy="3642360"/>
        </a:xfrm>
        <a:prstGeom prst="rect">
          <a:avLst/>
        </a:prstGeom>
        <a:noFill/>
        <a:ln w="19050">
          <a:solidFill>
            <a:srgbClr val="FF0000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138545</xdr:colOff>
      <xdr:row>6</xdr:row>
      <xdr:rowOff>121228</xdr:rowOff>
    </xdr:from>
    <xdr:to>
      <xdr:col>12</xdr:col>
      <xdr:colOff>623455</xdr:colOff>
      <xdr:row>24</xdr:row>
      <xdr:rowOff>34636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138545" y="1264228"/>
          <a:ext cx="9286010" cy="3342408"/>
        </a:xfrm>
        <a:prstGeom prst="rect">
          <a:avLst/>
        </a:prstGeom>
        <a:noFill/>
        <a:ln>
          <a:prstDash val="sysDash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endParaRPr lang="th-TH"/>
        </a:p>
      </xdr:txBody>
    </xdr:sp>
    <xdr:clientData/>
  </xdr:twoCellAnchor>
  <xdr:twoCellAnchor>
    <xdr:from>
      <xdr:col>2</xdr:col>
      <xdr:colOff>114300</xdr:colOff>
      <xdr:row>15</xdr:row>
      <xdr:rowOff>152401</xdr:rowOff>
    </xdr:from>
    <xdr:to>
      <xdr:col>10</xdr:col>
      <xdr:colOff>582399</xdr:colOff>
      <xdr:row>18</xdr:row>
      <xdr:rowOff>93414</xdr:rowOff>
    </xdr:to>
    <xdr:sp macro="" textlink="">
      <xdr:nvSpPr>
        <xdr:cNvPr id="6" name="Rectangle 26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1466850" y="2952751"/>
          <a:ext cx="5935449" cy="426788"/>
        </a:xfrm>
        <a:prstGeom prst="rect">
          <a:avLst/>
        </a:prstGeom>
        <a:solidFill>
          <a:srgbClr val="00B0F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ตัวแทนฝ่ายบริหารระบบการจัดการด้านสิ่งแวดล้อม และผู้แทนโรงงาน</a:t>
          </a: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000000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11</xdr:row>
      <xdr:rowOff>142876</xdr:rowOff>
    </xdr:from>
    <xdr:to>
      <xdr:col>8</xdr:col>
      <xdr:colOff>123832</xdr:colOff>
      <xdr:row>15</xdr:row>
      <xdr:rowOff>19050</xdr:rowOff>
    </xdr:to>
    <xdr:sp macro="" textlink="">
      <xdr:nvSpPr>
        <xdr:cNvPr id="7" name="Rectangle 27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348124" y="2295526"/>
          <a:ext cx="2185908" cy="523874"/>
        </a:xfrm>
        <a:prstGeom prst="rect">
          <a:avLst/>
        </a:prstGeom>
        <a:solidFill>
          <a:srgbClr val="0070C0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rgbClr val="FFFFFF"/>
              </a:solidFill>
              <a:latin typeface="Cordia New (Thai)"/>
            </a:rPr>
            <a:t>ตัวแทนผู้จัดการ</a:t>
          </a: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  <a:p>
          <a:pPr algn="ctr" rtl="0">
            <a:defRPr sz="1000"/>
          </a:pPr>
          <a:endParaRPr lang="th-TH" sz="1100" b="1" i="0" u="none" strike="noStrike" baseline="0">
            <a:solidFill>
              <a:srgbClr val="FFFFFF"/>
            </a:solidFill>
            <a:latin typeface="Times New Roman"/>
          </a:endParaRPr>
        </a:p>
      </xdr:txBody>
    </xdr:sp>
    <xdr:clientData/>
  </xdr:twoCellAnchor>
  <xdr:twoCellAnchor>
    <xdr:from>
      <xdr:col>4</xdr:col>
      <xdr:colOff>643024</xdr:colOff>
      <xdr:row>7</xdr:row>
      <xdr:rowOff>133350</xdr:rowOff>
    </xdr:from>
    <xdr:to>
      <xdr:col>8</xdr:col>
      <xdr:colOff>123832</xdr:colOff>
      <xdr:row>10</xdr:row>
      <xdr:rowOff>66676</xdr:rowOff>
    </xdr:to>
    <xdr:sp macro="" textlink="">
      <xdr:nvSpPr>
        <xdr:cNvPr id="8" name="Rectangle 28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348124" y="1638300"/>
          <a:ext cx="2185908" cy="419101"/>
        </a:xfrm>
        <a:prstGeom prst="rect">
          <a:avLst/>
        </a:prstGeom>
        <a:solidFill>
          <a:srgbClr val="17365D"/>
        </a:solidFill>
        <a:ln w="9525">
          <a:noFill/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th-TH" sz="1400" b="1" i="0" u="none" strike="noStrike" baseline="0">
              <a:solidFill>
                <a:schemeClr val="bg1"/>
              </a:solidFill>
              <a:latin typeface="Cordia New (Thai)"/>
            </a:rPr>
            <a:t>ประธาน 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  <a:p>
          <a:pPr algn="ctr" rtl="0">
            <a:defRPr sz="1000"/>
          </a:pPr>
          <a:r>
            <a:rPr lang="en-US" sz="1100" b="1" i="0" u="none" strike="noStrike" baseline="0">
              <a:solidFill>
                <a:schemeClr val="bg1"/>
              </a:solidFill>
              <a:latin typeface="Times New Roman"/>
            </a:rPr>
            <a:t>//////////</a:t>
          </a:r>
          <a:endParaRPr lang="th-TH" sz="1100" b="1" i="0" u="none" strike="noStrike" baseline="0">
            <a:solidFill>
              <a:schemeClr val="bg1"/>
            </a:solidFill>
            <a:latin typeface="Times New Roman"/>
          </a:endParaRPr>
        </a:p>
      </xdr:txBody>
    </xdr:sp>
    <xdr:clientData/>
  </xdr:twoCellAnchor>
  <xdr:twoCellAnchor>
    <xdr:from>
      <xdr:col>5</xdr:col>
      <xdr:colOff>124344</xdr:colOff>
      <xdr:row>20</xdr:row>
      <xdr:rowOff>1386</xdr:rowOff>
    </xdr:from>
    <xdr:to>
      <xdr:col>7</xdr:col>
      <xdr:colOff>485428</xdr:colOff>
      <xdr:row>22</xdr:row>
      <xdr:rowOff>94039</xdr:rowOff>
    </xdr:to>
    <xdr:sp macro="" textlink="">
      <xdr:nvSpPr>
        <xdr:cNvPr id="9" name="Rectangle 2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505719" y="3611361"/>
          <a:ext cx="1713634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B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2</xdr:col>
      <xdr:colOff>30999</xdr:colOff>
      <xdr:row>20</xdr:row>
      <xdr:rowOff>1386</xdr:rowOff>
    </xdr:from>
    <xdr:to>
      <xdr:col>4</xdr:col>
      <xdr:colOff>408222</xdr:colOff>
      <xdr:row>22</xdr:row>
      <xdr:rowOff>94039</xdr:rowOff>
    </xdr:to>
    <xdr:sp macro="" textlink="">
      <xdr:nvSpPr>
        <xdr:cNvPr id="10" name="Rectangle 2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1383549" y="3611361"/>
          <a:ext cx="1729773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A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8</xdr:col>
      <xdr:colOff>173874</xdr:colOff>
      <xdr:row>20</xdr:row>
      <xdr:rowOff>1386</xdr:rowOff>
    </xdr:from>
    <xdr:to>
      <xdr:col>10</xdr:col>
      <xdr:colOff>489546</xdr:colOff>
      <xdr:row>22</xdr:row>
      <xdr:rowOff>94039</xdr:rowOff>
    </xdr:to>
    <xdr:sp macro="" textlink="">
      <xdr:nvSpPr>
        <xdr:cNvPr id="11" name="Rectangle 2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5584074" y="3611361"/>
          <a:ext cx="1725372" cy="416503"/>
        </a:xfrm>
        <a:prstGeom prst="rect">
          <a:avLst/>
        </a:prstGeom>
        <a:noFill/>
        <a:ln w="9525">
          <a:solidFill>
            <a:srgbClr val="00B0F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0">
            <a:defRPr sz="1000"/>
          </a:pPr>
          <a:r>
            <a:rPr lang="en-US" sz="1100" b="0" i="0" u="none" strike="noStrike" baseline="0">
              <a:solidFill>
                <a:srgbClr val="000000"/>
              </a:solidFill>
              <a:latin typeface="Calibri"/>
            </a:rPr>
            <a:t>C</a:t>
          </a:r>
        </a:p>
        <a:p>
          <a:pPr algn="ctr" rtl="0">
            <a:defRPr sz="1000"/>
          </a:pPr>
          <a:endParaRPr lang="en-US" sz="1100" b="0" i="0" u="none" strike="noStrike" baseline="0">
            <a:solidFill>
              <a:srgbClr val="000000"/>
            </a:solidFill>
            <a:latin typeface="Calibri"/>
          </a:endParaRPr>
        </a:p>
      </xdr:txBody>
    </xdr:sp>
    <xdr:clientData/>
  </xdr:twoCellAnchor>
  <xdr:twoCellAnchor>
    <xdr:from>
      <xdr:col>6</xdr:col>
      <xdr:colOff>302895</xdr:colOff>
      <xdr:row>9</xdr:row>
      <xdr:rowOff>152400</xdr:rowOff>
    </xdr:from>
    <xdr:to>
      <xdr:col>6</xdr:col>
      <xdr:colOff>302895</xdr:colOff>
      <xdr:row>11</xdr:row>
      <xdr:rowOff>152400</xdr:rowOff>
    </xdr:to>
    <xdr:cxnSp macro="">
      <xdr:nvCxnSpPr>
        <xdr:cNvPr id="12" name="AutoShape 2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CxnSpPr>
          <a:cxnSpLocks noChangeShapeType="1"/>
        </xdr:cNvCxnSpPr>
      </xdr:nvCxnSpPr>
      <xdr:spPr bwMode="auto">
        <a:xfrm>
          <a:off x="4360545" y="1981200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2</xdr:col>
      <xdr:colOff>28575</xdr:colOff>
      <xdr:row>19</xdr:row>
      <xdr:rowOff>59055</xdr:rowOff>
    </xdr:from>
    <xdr:to>
      <xdr:col>10</xdr:col>
      <xdr:colOff>493395</xdr:colOff>
      <xdr:row>19</xdr:row>
      <xdr:rowOff>59055</xdr:rowOff>
    </xdr:to>
    <xdr:cxnSp macro="">
      <xdr:nvCxnSpPr>
        <xdr:cNvPr id="13" name="AutoShape 25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CxnSpPr>
          <a:cxnSpLocks noChangeShapeType="1"/>
        </xdr:cNvCxnSpPr>
      </xdr:nvCxnSpPr>
      <xdr:spPr bwMode="auto">
        <a:xfrm>
          <a:off x="1381125" y="3507105"/>
          <a:ext cx="5932170" cy="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6</xdr:col>
      <xdr:colOff>302895</xdr:colOff>
      <xdr:row>14</xdr:row>
      <xdr:rowOff>121920</xdr:rowOff>
    </xdr:from>
    <xdr:to>
      <xdr:col>6</xdr:col>
      <xdr:colOff>302895</xdr:colOff>
      <xdr:row>16</xdr:row>
      <xdr:rowOff>121920</xdr:rowOff>
    </xdr:to>
    <xdr:cxnSp macro="">
      <xdr:nvCxnSpPr>
        <xdr:cNvPr id="14" name="AutoShape 29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CxnSpPr>
          <a:cxnSpLocks noChangeShapeType="1"/>
        </xdr:cNvCxnSpPr>
      </xdr:nvCxnSpPr>
      <xdr:spPr bwMode="auto">
        <a:xfrm>
          <a:off x="4360545" y="2760345"/>
          <a:ext cx="0" cy="323850"/>
        </a:xfrm>
        <a:prstGeom prst="straightConnector1">
          <a:avLst/>
        </a:prstGeom>
        <a:noFill/>
        <a:ln w="9525">
          <a:solidFill>
            <a:srgbClr val="0070C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blScope11Stationary" ref="A1:X201">
  <autoFilter ref="A1:X201" xr:uid="{00000000-0009-0000-0100-000001000000}"/>
  <tableColumns count="24">
    <tableColumn id="1" xr3:uid="{00000000-0010-0000-0000-000001000000}" name="RowId"/>
    <tableColumn id="2" xr3:uid="{00000000-0010-0000-0000-000002000000}" name="ItemLabel"/>
    <tableColumn id="3" xr3:uid="{00000000-0010-0000-0000-000003000000}" name="FuelType"/>
    <tableColumn id="4" xr3:uid="{00000000-0010-0000-0000-000004000000}" name="Evidence"/>
    <tableColumn id="5" xr3:uid="{00000000-0010-0000-0000-000005000000}" name="Unit"/>
    <tableColumn id="6" xr3:uid="{00000000-0010-0000-0000-000006000000}" name="M1"/>
    <tableColumn id="7" xr3:uid="{00000000-0010-0000-0000-000007000000}" name="M2"/>
    <tableColumn id="8" xr3:uid="{00000000-0010-0000-0000-000008000000}" name="M3"/>
    <tableColumn id="9" xr3:uid="{00000000-0010-0000-0000-000009000000}" name="M4"/>
    <tableColumn id="10" xr3:uid="{00000000-0010-0000-0000-00000A000000}" name="M5"/>
    <tableColumn id="11" xr3:uid="{00000000-0010-0000-0000-00000B000000}" name="M6"/>
    <tableColumn id="12" xr3:uid="{00000000-0010-0000-0000-00000C000000}" name="M7"/>
    <tableColumn id="13" xr3:uid="{00000000-0010-0000-0000-00000D000000}" name="M8"/>
    <tableColumn id="14" xr3:uid="{00000000-0010-0000-0000-00000E000000}" name="M9"/>
    <tableColumn id="15" xr3:uid="{00000000-0010-0000-0000-00000F000000}" name="M10"/>
    <tableColumn id="16" xr3:uid="{00000000-0010-0000-0000-000010000000}" name="M11"/>
    <tableColumn id="17" xr3:uid="{00000000-0010-0000-0000-000011000000}" name="M12"/>
    <tableColumn id="18" xr3:uid="{00000000-0010-0000-0000-000012000000}" name="OtherDieselPct"/>
    <tableColumn id="19" xr3:uid="{00000000-0010-0000-0000-000013000000}" name="OtherBiodieselPct"/>
    <tableColumn id="20" xr3:uid="{00000000-0010-0000-0000-000014000000}" name="OtherGasolinePct"/>
    <tableColumn id="21" xr3:uid="{00000000-0010-0000-0000-000015000000}" name="OtherEthanolPct"/>
    <tableColumn id="22" xr3:uid="{00000000-0010-0000-0000-000016000000}" name="OtherBiodieselDensityKgPerL"/>
    <tableColumn id="23" xr3:uid="{00000000-0010-0000-0000-000017000000}" name="OtherEthanolDensityKgPerL"/>
    <tableColumn id="24" xr3:uid="{00000000-0010-0000-0000-000018000000}" name="IncludeFR041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blFR041Sel" ref="A1:B201">
  <autoFilter ref="A1:B201" xr:uid="{00000000-0009-0000-0100-000002000000}"/>
  <tableColumns count="2">
    <tableColumn id="1" xr3:uid="{00000000-0010-0000-0100-000001000000}" name="RowId"/>
    <tableColumn id="2" xr3:uid="{00000000-0010-0000-0100-000002000000}" name="Include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thaicarbonlabel.tgo.or.th/products_emission/products_emission.pnc" TargetMode="Externa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"/>
  <sheetViews>
    <sheetView workbookViewId="0">
      <selection activeCell="K35" sqref="K35"/>
    </sheetView>
  </sheetViews>
  <sheetFormatPr defaultRowHeight="13.8" x14ac:dyDescent="0.25"/>
  <cols>
    <col min="2" max="2" width="10.09765625" customWidth="1"/>
    <col min="3" max="4" width="16.296875" customWidth="1"/>
    <col min="5" max="5" width="2.59765625" customWidth="1"/>
    <col min="6" max="6" width="6.8984375" customWidth="1"/>
    <col min="7" max="7" width="9.09765625" customWidth="1"/>
    <col min="8" max="8" width="15.296875" customWidth="1"/>
    <col min="9" max="9" width="23.3984375" customWidth="1"/>
    <col min="10" max="10" width="9.09765625" customWidth="1"/>
  </cols>
  <sheetData>
    <row r="1" spans="1:11" s="212" customFormat="1" ht="18.75" customHeight="1" x14ac:dyDescent="0.25">
      <c r="A1" s="308"/>
      <c r="B1" s="311" t="s">
        <v>0</v>
      </c>
      <c r="C1" s="312"/>
      <c r="D1" s="312"/>
      <c r="E1" s="312"/>
      <c r="F1" s="312"/>
      <c r="G1" s="312"/>
      <c r="H1" s="313"/>
      <c r="I1" s="288" t="s">
        <v>1</v>
      </c>
      <c r="J1" s="289"/>
      <c r="K1" s="97"/>
    </row>
    <row r="2" spans="1:11" s="212" customFormat="1" ht="18.75" customHeight="1" x14ac:dyDescent="0.25">
      <c r="A2" s="309"/>
      <c r="B2" s="314"/>
      <c r="C2" s="315"/>
      <c r="D2" s="315"/>
      <c r="E2" s="315"/>
      <c r="F2" s="315"/>
      <c r="G2" s="315"/>
      <c r="H2" s="316"/>
      <c r="I2" s="290"/>
      <c r="J2" s="291"/>
      <c r="K2" s="84"/>
    </row>
    <row r="3" spans="1:11" s="212" customFormat="1" ht="18.75" customHeight="1" x14ac:dyDescent="0.25">
      <c r="A3" s="309"/>
      <c r="B3" s="207" t="s">
        <v>2</v>
      </c>
      <c r="C3" s="317" t="s">
        <v>3</v>
      </c>
      <c r="D3" s="318"/>
      <c r="E3" s="319" t="s">
        <v>4</v>
      </c>
      <c r="F3" s="320"/>
      <c r="G3" s="317" t="str">
        <f>B6</f>
        <v>ชื่อองค์กรที่ขอขึ้นทะเบียน</v>
      </c>
      <c r="H3" s="318"/>
      <c r="I3" s="208" t="s">
        <v>5</v>
      </c>
      <c r="J3" s="209">
        <v>1</v>
      </c>
      <c r="K3" s="112"/>
    </row>
    <row r="4" spans="1:11" s="212" customFormat="1" ht="18.75" customHeight="1" x14ac:dyDescent="0.25">
      <c r="A4" s="310"/>
      <c r="B4" s="207" t="s">
        <v>6</v>
      </c>
      <c r="C4" s="317" t="s">
        <v>7</v>
      </c>
      <c r="D4" s="318"/>
      <c r="E4" s="319" t="s">
        <v>8</v>
      </c>
      <c r="F4" s="320"/>
      <c r="G4" s="317"/>
      <c r="H4" s="318"/>
      <c r="I4" s="208" t="s">
        <v>9</v>
      </c>
      <c r="J4" s="209"/>
      <c r="K4" s="112"/>
    </row>
    <row r="5" spans="1:11" ht="18.75" customHeight="1" x14ac:dyDescent="0.25">
      <c r="A5" s="113"/>
      <c r="B5" s="180"/>
      <c r="C5" s="180"/>
      <c r="D5" s="180"/>
      <c r="E5" s="180"/>
      <c r="F5" s="180"/>
      <c r="G5" s="180"/>
      <c r="H5" s="180"/>
      <c r="I5" s="180"/>
      <c r="J5" s="114"/>
      <c r="K5" s="97"/>
    </row>
    <row r="6" spans="1:11" x14ac:dyDescent="0.25">
      <c r="A6" s="115"/>
      <c r="B6" s="293" t="s">
        <v>10</v>
      </c>
      <c r="C6" s="294"/>
      <c r="D6" s="294"/>
      <c r="E6" s="294"/>
      <c r="F6" s="294"/>
      <c r="G6" s="294"/>
      <c r="H6" s="294"/>
      <c r="I6" s="295"/>
      <c r="J6" s="116"/>
      <c r="K6" s="84"/>
    </row>
    <row r="7" spans="1:11" x14ac:dyDescent="0.25">
      <c r="A7" s="113"/>
      <c r="B7" s="180"/>
      <c r="C7" s="180"/>
      <c r="D7" s="180"/>
      <c r="E7" s="180"/>
      <c r="F7" s="180"/>
      <c r="G7" s="180"/>
      <c r="H7" s="180"/>
      <c r="I7" s="180"/>
      <c r="J7" s="114"/>
      <c r="K7" s="112"/>
    </row>
    <row r="8" spans="1:11" ht="12" customHeight="1" x14ac:dyDescent="0.25">
      <c r="A8" s="271" t="s">
        <v>11</v>
      </c>
      <c r="B8" s="272"/>
      <c r="C8" s="272"/>
      <c r="D8" s="273"/>
      <c r="E8" s="253"/>
      <c r="F8" s="256" t="s">
        <v>12</v>
      </c>
      <c r="G8" s="257"/>
      <c r="H8" s="257"/>
      <c r="I8" s="257"/>
      <c r="J8" s="258"/>
      <c r="K8" s="112"/>
    </row>
    <row r="9" spans="1:11" ht="18" customHeight="1" x14ac:dyDescent="0.25">
      <c r="A9" s="274"/>
      <c r="B9" s="275"/>
      <c r="C9" s="275"/>
      <c r="D9" s="276"/>
      <c r="E9" s="254"/>
      <c r="F9" s="302" t="s">
        <v>13</v>
      </c>
      <c r="G9" s="303"/>
      <c r="H9" s="296"/>
      <c r="I9" s="297"/>
      <c r="J9" s="298"/>
      <c r="K9" s="112"/>
    </row>
    <row r="10" spans="1:11" ht="18" customHeight="1" x14ac:dyDescent="0.25">
      <c r="A10" s="274"/>
      <c r="B10" s="275"/>
      <c r="C10" s="275"/>
      <c r="D10" s="276"/>
      <c r="E10" s="254"/>
      <c r="F10" s="304"/>
      <c r="G10" s="305"/>
      <c r="H10" s="186"/>
      <c r="I10" s="187"/>
      <c r="J10" s="188"/>
      <c r="K10" s="112"/>
    </row>
    <row r="11" spans="1:11" ht="18" customHeight="1" x14ac:dyDescent="0.25">
      <c r="A11" s="274"/>
      <c r="B11" s="275"/>
      <c r="C11" s="275"/>
      <c r="D11" s="276"/>
      <c r="E11" s="254"/>
      <c r="F11" s="304"/>
      <c r="G11" s="305"/>
      <c r="H11" s="186"/>
      <c r="I11" s="187"/>
      <c r="J11" s="188"/>
      <c r="K11" s="112"/>
    </row>
    <row r="12" spans="1:11" ht="18" customHeight="1" x14ac:dyDescent="0.25">
      <c r="A12" s="274"/>
      <c r="B12" s="275"/>
      <c r="C12" s="275"/>
      <c r="D12" s="276"/>
      <c r="E12" s="254"/>
      <c r="F12" s="304"/>
      <c r="G12" s="305"/>
      <c r="H12" s="186"/>
      <c r="I12" s="187"/>
      <c r="J12" s="188"/>
      <c r="K12" s="112"/>
    </row>
    <row r="13" spans="1:11" ht="18" customHeight="1" x14ac:dyDescent="0.25">
      <c r="A13" s="274"/>
      <c r="B13" s="275"/>
      <c r="C13" s="275"/>
      <c r="D13" s="276"/>
      <c r="E13" s="254"/>
      <c r="F13" s="304"/>
      <c r="G13" s="305"/>
      <c r="H13" s="186"/>
      <c r="I13" s="187"/>
      <c r="J13" s="188"/>
      <c r="K13" s="112"/>
    </row>
    <row r="14" spans="1:11" ht="18" customHeight="1" x14ac:dyDescent="0.25">
      <c r="A14" s="274"/>
      <c r="B14" s="275"/>
      <c r="C14" s="275"/>
      <c r="D14" s="276"/>
      <c r="E14" s="254"/>
      <c r="F14" s="304"/>
      <c r="G14" s="305"/>
      <c r="H14" s="186"/>
      <c r="I14" s="187"/>
      <c r="J14" s="188"/>
      <c r="K14" s="112"/>
    </row>
    <row r="15" spans="1:11" ht="18" customHeight="1" x14ac:dyDescent="0.25">
      <c r="A15" s="274"/>
      <c r="B15" s="275"/>
      <c r="C15" s="275"/>
      <c r="D15" s="276"/>
      <c r="E15" s="254"/>
      <c r="F15" s="304"/>
      <c r="G15" s="305"/>
      <c r="H15" s="186"/>
      <c r="I15" s="187"/>
      <c r="J15" s="188"/>
      <c r="K15" s="112"/>
    </row>
    <row r="16" spans="1:11" ht="18" customHeight="1" x14ac:dyDescent="0.25">
      <c r="A16" s="274"/>
      <c r="B16" s="275"/>
      <c r="C16" s="275"/>
      <c r="D16" s="276"/>
      <c r="E16" s="254"/>
      <c r="F16" s="304"/>
      <c r="G16" s="305"/>
      <c r="H16" s="186"/>
      <c r="I16" s="187"/>
      <c r="J16" s="188"/>
      <c r="K16" s="112"/>
    </row>
    <row r="17" spans="1:11" ht="18" customHeight="1" x14ac:dyDescent="0.25">
      <c r="A17" s="274"/>
      <c r="B17" s="275"/>
      <c r="C17" s="275"/>
      <c r="D17" s="276"/>
      <c r="E17" s="254"/>
      <c r="F17" s="306"/>
      <c r="G17" s="307"/>
      <c r="H17" s="186"/>
      <c r="I17" s="187"/>
      <c r="J17" s="188"/>
      <c r="K17" s="112"/>
    </row>
    <row r="18" spans="1:11" ht="17.25" customHeight="1" x14ac:dyDescent="0.25">
      <c r="A18" s="274"/>
      <c r="B18" s="275"/>
      <c r="C18" s="275"/>
      <c r="D18" s="276"/>
      <c r="E18" s="254"/>
      <c r="F18" s="302" t="s">
        <v>14</v>
      </c>
      <c r="G18" s="303"/>
      <c r="H18" s="296"/>
      <c r="I18" s="297"/>
      <c r="J18" s="298"/>
      <c r="K18" s="112"/>
    </row>
    <row r="19" spans="1:11" ht="17.25" customHeight="1" x14ac:dyDescent="0.25">
      <c r="A19" s="274"/>
      <c r="B19" s="275"/>
      <c r="C19" s="275"/>
      <c r="D19" s="276"/>
      <c r="E19" s="254"/>
      <c r="F19" s="304"/>
      <c r="G19" s="305"/>
      <c r="H19" s="186"/>
      <c r="I19" s="187"/>
      <c r="J19" s="188"/>
      <c r="K19" s="112"/>
    </row>
    <row r="20" spans="1:11" ht="17.25" customHeight="1" x14ac:dyDescent="0.25">
      <c r="A20" s="274"/>
      <c r="B20" s="275"/>
      <c r="C20" s="275"/>
      <c r="D20" s="276"/>
      <c r="E20" s="254"/>
      <c r="F20" s="306"/>
      <c r="G20" s="307"/>
      <c r="H20" s="186"/>
      <c r="I20" s="187"/>
      <c r="J20" s="188"/>
      <c r="K20" s="112"/>
    </row>
    <row r="21" spans="1:11" x14ac:dyDescent="0.25">
      <c r="A21" s="274"/>
      <c r="B21" s="275"/>
      <c r="C21" s="275"/>
      <c r="D21" s="276"/>
      <c r="E21" s="254"/>
      <c r="F21" s="292" t="s">
        <v>15</v>
      </c>
      <c r="G21" s="292"/>
      <c r="H21" s="296"/>
      <c r="I21" s="297"/>
      <c r="J21" s="298"/>
      <c r="K21" s="111"/>
    </row>
    <row r="22" spans="1:11" x14ac:dyDescent="0.25">
      <c r="A22" s="274"/>
      <c r="B22" s="275"/>
      <c r="C22" s="275"/>
      <c r="D22" s="276"/>
      <c r="E22" s="254"/>
      <c r="F22" s="292" t="s">
        <v>16</v>
      </c>
      <c r="G22" s="292"/>
      <c r="H22" s="299" t="s">
        <v>17</v>
      </c>
      <c r="I22" s="300"/>
      <c r="J22" s="301"/>
      <c r="K22" s="111"/>
    </row>
    <row r="23" spans="1:11" x14ac:dyDescent="0.25">
      <c r="A23" s="274"/>
      <c r="B23" s="275"/>
      <c r="C23" s="275"/>
      <c r="D23" s="276"/>
      <c r="E23" s="254"/>
      <c r="F23" s="256" t="s">
        <v>18</v>
      </c>
      <c r="G23" s="258"/>
      <c r="H23" s="283">
        <v>0</v>
      </c>
      <c r="I23" s="284"/>
      <c r="J23" s="181" t="s">
        <v>19</v>
      </c>
      <c r="K23" s="111"/>
    </row>
    <row r="24" spans="1:11" x14ac:dyDescent="0.25">
      <c r="A24" s="274"/>
      <c r="B24" s="275"/>
      <c r="C24" s="275"/>
      <c r="D24" s="276"/>
      <c r="E24" s="254"/>
      <c r="F24" s="292" t="s">
        <v>20</v>
      </c>
      <c r="G24" s="292"/>
      <c r="H24" s="299" t="s">
        <v>21</v>
      </c>
      <c r="I24" s="300"/>
      <c r="J24" s="301"/>
      <c r="K24" s="111"/>
    </row>
    <row r="25" spans="1:11" x14ac:dyDescent="0.25">
      <c r="A25" s="274"/>
      <c r="B25" s="275"/>
      <c r="C25" s="275"/>
      <c r="D25" s="276"/>
      <c r="E25" s="254"/>
      <c r="F25" s="256" t="s">
        <v>22</v>
      </c>
      <c r="G25" s="258"/>
      <c r="H25" s="283">
        <v>0</v>
      </c>
      <c r="I25" s="284"/>
      <c r="J25" s="181" t="str">
        <f>J23</f>
        <v>ระบุหน่วย</v>
      </c>
      <c r="K25" s="111"/>
    </row>
    <row r="26" spans="1:11" x14ac:dyDescent="0.25">
      <c r="A26" s="274"/>
      <c r="B26" s="275"/>
      <c r="C26" s="275"/>
      <c r="D26" s="276"/>
      <c r="E26" s="255"/>
      <c r="F26" s="240" t="s">
        <v>23</v>
      </c>
      <c r="G26" s="241"/>
      <c r="H26" s="241"/>
      <c r="I26" s="241"/>
      <c r="J26" s="242"/>
      <c r="K26" s="111"/>
    </row>
    <row r="27" spans="1:11" x14ac:dyDescent="0.25">
      <c r="A27" s="274"/>
      <c r="B27" s="275"/>
      <c r="C27" s="275"/>
      <c r="D27" s="276"/>
      <c r="E27" s="255"/>
      <c r="F27" s="117">
        <v>1</v>
      </c>
      <c r="G27" s="243"/>
      <c r="H27" s="244"/>
      <c r="I27" s="244"/>
      <c r="J27" s="245"/>
      <c r="K27" s="111"/>
    </row>
    <row r="28" spans="1:11" x14ac:dyDescent="0.25">
      <c r="A28" s="274"/>
      <c r="B28" s="275"/>
      <c r="C28" s="275"/>
      <c r="D28" s="276"/>
      <c r="E28" s="255"/>
      <c r="F28" s="117">
        <v>2</v>
      </c>
      <c r="G28" s="246"/>
      <c r="H28" s="246"/>
      <c r="I28" s="247"/>
      <c r="J28" s="247"/>
      <c r="K28" s="84"/>
    </row>
    <row r="29" spans="1:11" x14ac:dyDescent="0.25">
      <c r="A29" s="274"/>
      <c r="B29" s="275"/>
      <c r="C29" s="275"/>
      <c r="D29" s="276"/>
      <c r="E29" s="255"/>
      <c r="F29" s="117">
        <v>3</v>
      </c>
      <c r="G29" s="246"/>
      <c r="H29" s="246"/>
      <c r="I29" s="247"/>
      <c r="J29" s="247"/>
      <c r="K29" s="84"/>
    </row>
    <row r="30" spans="1:11" x14ac:dyDescent="0.25">
      <c r="A30" s="274"/>
      <c r="B30" s="275"/>
      <c r="C30" s="275"/>
      <c r="D30" s="276"/>
      <c r="E30" s="255"/>
      <c r="F30" s="117">
        <v>4</v>
      </c>
      <c r="G30" s="246"/>
      <c r="H30" s="246"/>
      <c r="I30" s="247"/>
      <c r="J30" s="247"/>
      <c r="K30" s="111"/>
    </row>
    <row r="31" spans="1:11" x14ac:dyDescent="0.25">
      <c r="A31" s="274"/>
      <c r="B31" s="275"/>
      <c r="C31" s="275"/>
      <c r="D31" s="276"/>
      <c r="E31" s="255"/>
      <c r="F31" s="117">
        <v>5</v>
      </c>
      <c r="G31" s="246"/>
      <c r="H31" s="246"/>
      <c r="I31" s="247"/>
      <c r="J31" s="247"/>
      <c r="K31" s="111"/>
    </row>
    <row r="32" spans="1:11" x14ac:dyDescent="0.25">
      <c r="A32" s="274"/>
      <c r="B32" s="275"/>
      <c r="C32" s="275"/>
      <c r="D32" s="276"/>
      <c r="E32" s="255"/>
      <c r="F32" s="256" t="s">
        <v>24</v>
      </c>
      <c r="G32" s="287"/>
      <c r="H32" s="161"/>
      <c r="I32" s="285"/>
      <c r="J32" s="286"/>
      <c r="K32" s="112"/>
    </row>
    <row r="33" spans="1:11" x14ac:dyDescent="0.25">
      <c r="A33" s="277"/>
      <c r="B33" s="278"/>
      <c r="C33" s="278"/>
      <c r="D33" s="279"/>
      <c r="E33" s="255"/>
      <c r="F33" s="256" t="s">
        <v>25</v>
      </c>
      <c r="G33" s="287"/>
      <c r="H33" s="161"/>
      <c r="I33" s="285"/>
      <c r="J33" s="286"/>
      <c r="K33" s="111"/>
    </row>
    <row r="34" spans="1:11" x14ac:dyDescent="0.25">
      <c r="A34" s="250"/>
      <c r="B34" s="251"/>
      <c r="C34" s="251"/>
      <c r="D34" s="251"/>
      <c r="E34" s="251"/>
      <c r="F34" s="251"/>
      <c r="G34" s="251"/>
      <c r="H34" s="251"/>
      <c r="I34" s="251"/>
      <c r="J34" s="252"/>
      <c r="K34" s="111"/>
    </row>
    <row r="35" spans="1:11" x14ac:dyDescent="0.25">
      <c r="A35" s="280" t="s">
        <v>26</v>
      </c>
      <c r="B35" s="281"/>
      <c r="C35" s="281"/>
      <c r="D35" s="282"/>
      <c r="E35" s="248"/>
      <c r="F35" s="280" t="s">
        <v>27</v>
      </c>
      <c r="G35" s="281"/>
      <c r="H35" s="281"/>
      <c r="I35" s="281"/>
      <c r="J35" s="282"/>
      <c r="K35" s="111"/>
    </row>
    <row r="36" spans="1:11" x14ac:dyDescent="0.25">
      <c r="A36" s="259"/>
      <c r="B36" s="266"/>
      <c r="C36" s="266"/>
      <c r="D36" s="267"/>
      <c r="E36" s="248"/>
      <c r="F36" s="259"/>
      <c r="G36" s="260"/>
      <c r="H36" s="260"/>
      <c r="I36" s="260"/>
      <c r="J36" s="261"/>
      <c r="K36" s="111"/>
    </row>
    <row r="37" spans="1:11" x14ac:dyDescent="0.25">
      <c r="A37" s="259"/>
      <c r="B37" s="266"/>
      <c r="C37" s="266"/>
      <c r="D37" s="267"/>
      <c r="E37" s="248"/>
      <c r="F37" s="262"/>
      <c r="G37" s="260"/>
      <c r="H37" s="260"/>
      <c r="I37" s="260"/>
      <c r="J37" s="261"/>
      <c r="K37" s="111"/>
    </row>
    <row r="38" spans="1:11" x14ac:dyDescent="0.25">
      <c r="A38" s="259"/>
      <c r="B38" s="266"/>
      <c r="C38" s="266"/>
      <c r="D38" s="267"/>
      <c r="E38" s="248"/>
      <c r="F38" s="262"/>
      <c r="G38" s="260"/>
      <c r="H38" s="260"/>
      <c r="I38" s="260"/>
      <c r="J38" s="261"/>
      <c r="K38" s="111"/>
    </row>
    <row r="39" spans="1:11" x14ac:dyDescent="0.25">
      <c r="A39" s="259"/>
      <c r="B39" s="266"/>
      <c r="C39" s="266"/>
      <c r="D39" s="267"/>
      <c r="E39" s="248"/>
      <c r="F39" s="262"/>
      <c r="G39" s="260"/>
      <c r="H39" s="260"/>
      <c r="I39" s="260"/>
      <c r="J39" s="261"/>
      <c r="K39" s="111"/>
    </row>
    <row r="40" spans="1:11" x14ac:dyDescent="0.25">
      <c r="A40" s="259"/>
      <c r="B40" s="266"/>
      <c r="C40" s="266"/>
      <c r="D40" s="267"/>
      <c r="E40" s="248"/>
      <c r="F40" s="262"/>
      <c r="G40" s="260"/>
      <c r="H40" s="260"/>
      <c r="I40" s="260"/>
      <c r="J40" s="261"/>
      <c r="K40" s="111"/>
    </row>
    <row r="41" spans="1:11" x14ac:dyDescent="0.25">
      <c r="A41" s="259"/>
      <c r="B41" s="266"/>
      <c r="C41" s="266"/>
      <c r="D41" s="267"/>
      <c r="E41" s="248"/>
      <c r="F41" s="262"/>
      <c r="G41" s="260"/>
      <c r="H41" s="260"/>
      <c r="I41" s="260"/>
      <c r="J41" s="261"/>
      <c r="K41" s="111"/>
    </row>
    <row r="42" spans="1:11" x14ac:dyDescent="0.25">
      <c r="A42" s="259"/>
      <c r="B42" s="266"/>
      <c r="C42" s="266"/>
      <c r="D42" s="267"/>
      <c r="E42" s="248"/>
      <c r="F42" s="262"/>
      <c r="G42" s="260"/>
      <c r="H42" s="260"/>
      <c r="I42" s="260"/>
      <c r="J42" s="261"/>
      <c r="K42" s="111"/>
    </row>
    <row r="43" spans="1:11" x14ac:dyDescent="0.25">
      <c r="A43" s="259"/>
      <c r="B43" s="266"/>
      <c r="C43" s="266"/>
      <c r="D43" s="267"/>
      <c r="E43" s="248"/>
      <c r="F43" s="262"/>
      <c r="G43" s="260"/>
      <c r="H43" s="260"/>
      <c r="I43" s="260"/>
      <c r="J43" s="261"/>
      <c r="K43" s="111"/>
    </row>
    <row r="44" spans="1:11" x14ac:dyDescent="0.25">
      <c r="A44" s="259"/>
      <c r="B44" s="266"/>
      <c r="C44" s="266"/>
      <c r="D44" s="267"/>
      <c r="E44" s="248"/>
      <c r="F44" s="262"/>
      <c r="G44" s="260"/>
      <c r="H44" s="260"/>
      <c r="I44" s="260"/>
      <c r="J44" s="261"/>
      <c r="K44" s="111"/>
    </row>
    <row r="45" spans="1:11" x14ac:dyDescent="0.25">
      <c r="A45" s="259"/>
      <c r="B45" s="266"/>
      <c r="C45" s="266"/>
      <c r="D45" s="267"/>
      <c r="E45" s="248"/>
      <c r="F45" s="262"/>
      <c r="G45" s="260"/>
      <c r="H45" s="260"/>
      <c r="I45" s="260"/>
      <c r="J45" s="261"/>
      <c r="K45" s="111"/>
    </row>
    <row r="46" spans="1:11" x14ac:dyDescent="0.25">
      <c r="A46" s="259"/>
      <c r="B46" s="266"/>
      <c r="C46" s="266"/>
      <c r="D46" s="267"/>
      <c r="E46" s="248"/>
      <c r="F46" s="262"/>
      <c r="G46" s="260"/>
      <c r="H46" s="260"/>
      <c r="I46" s="260"/>
      <c r="J46" s="261"/>
      <c r="K46" s="111"/>
    </row>
    <row r="47" spans="1:11" x14ac:dyDescent="0.25">
      <c r="A47" s="259"/>
      <c r="B47" s="266"/>
      <c r="C47" s="266"/>
      <c r="D47" s="267"/>
      <c r="E47" s="248"/>
      <c r="F47" s="262"/>
      <c r="G47" s="260"/>
      <c r="H47" s="260"/>
      <c r="I47" s="260"/>
      <c r="J47" s="261"/>
      <c r="K47" s="111"/>
    </row>
    <row r="48" spans="1:11" ht="9.75" customHeight="1" x14ac:dyDescent="0.25">
      <c r="A48" s="259"/>
      <c r="B48" s="266"/>
      <c r="C48" s="266"/>
      <c r="D48" s="267"/>
      <c r="E48" s="248"/>
      <c r="F48" s="262"/>
      <c r="G48" s="260"/>
      <c r="H48" s="260"/>
      <c r="I48" s="260"/>
      <c r="J48" s="261"/>
      <c r="K48" s="84"/>
    </row>
    <row r="49" spans="1:11" x14ac:dyDescent="0.25">
      <c r="A49" s="259"/>
      <c r="B49" s="266"/>
      <c r="C49" s="266"/>
      <c r="D49" s="267"/>
      <c r="E49" s="248"/>
      <c r="F49" s="262"/>
      <c r="G49" s="260"/>
      <c r="H49" s="260"/>
      <c r="I49" s="260"/>
      <c r="J49" s="261"/>
      <c r="K49" s="111"/>
    </row>
    <row r="50" spans="1:11" ht="8.25" customHeight="1" x14ac:dyDescent="0.25">
      <c r="A50" s="268"/>
      <c r="B50" s="269"/>
      <c r="C50" s="269"/>
      <c r="D50" s="270"/>
      <c r="E50" s="249"/>
      <c r="F50" s="263"/>
      <c r="G50" s="264"/>
      <c r="H50" s="264"/>
      <c r="I50" s="264"/>
      <c r="J50" s="265"/>
      <c r="K50" s="111"/>
    </row>
    <row r="51" spans="1:11" x14ac:dyDescent="0.25">
      <c r="A51" s="84"/>
      <c r="B51" s="84"/>
      <c r="C51" s="84"/>
      <c r="D51" s="84"/>
      <c r="E51" s="84"/>
      <c r="F51" s="84"/>
      <c r="G51" s="84"/>
      <c r="H51" s="84"/>
      <c r="I51" s="84"/>
      <c r="J51" s="84"/>
      <c r="K51" s="111"/>
    </row>
    <row r="52" spans="1:11" x14ac:dyDescent="0.25">
      <c r="A52" s="84"/>
      <c r="B52" s="84"/>
      <c r="C52" s="84"/>
      <c r="D52" s="84"/>
      <c r="E52" s="84"/>
      <c r="F52" s="84"/>
      <c r="G52" s="84"/>
      <c r="H52" s="84"/>
      <c r="I52" s="84"/>
      <c r="J52" s="84"/>
      <c r="K52" s="111"/>
    </row>
    <row r="53" spans="1:11" x14ac:dyDescent="0.25">
      <c r="A53" s="84"/>
      <c r="B53" s="84"/>
      <c r="C53" s="84"/>
      <c r="D53" s="84"/>
      <c r="E53" s="84"/>
      <c r="F53" s="84"/>
      <c r="G53" s="84"/>
      <c r="H53" s="84"/>
      <c r="I53" s="84"/>
      <c r="J53" s="84"/>
      <c r="K53" s="111"/>
    </row>
    <row r="54" spans="1:11" x14ac:dyDescent="0.25">
      <c r="A54" s="84"/>
      <c r="B54" s="84"/>
      <c r="C54" s="84"/>
      <c r="D54" s="84"/>
      <c r="E54" s="84"/>
      <c r="F54" s="84"/>
      <c r="G54" s="84"/>
      <c r="H54" s="84"/>
      <c r="I54" s="84"/>
      <c r="J54" s="84"/>
      <c r="K54" s="111"/>
    </row>
    <row r="55" spans="1:11" x14ac:dyDescent="0.25">
      <c r="A55" s="84"/>
      <c r="B55" s="84"/>
      <c r="C55" s="84"/>
      <c r="D55" s="84"/>
      <c r="E55" s="84"/>
      <c r="F55" s="84"/>
      <c r="G55" s="84"/>
      <c r="H55" s="84"/>
      <c r="I55" s="84"/>
      <c r="J55" s="84"/>
      <c r="K55" s="111"/>
    </row>
    <row r="56" spans="1:11" x14ac:dyDescent="0.25">
      <c r="A56" s="84"/>
      <c r="B56" s="84"/>
      <c r="C56" s="84"/>
      <c r="D56" s="84"/>
      <c r="E56" s="84"/>
      <c r="F56" s="84"/>
      <c r="G56" s="84"/>
      <c r="H56" s="84"/>
      <c r="I56" s="84"/>
      <c r="J56" s="84"/>
      <c r="K56" s="111"/>
    </row>
    <row r="57" spans="1:11" x14ac:dyDescent="0.25">
      <c r="A57" s="84"/>
      <c r="B57" s="84"/>
      <c r="C57" s="84"/>
      <c r="D57" s="84"/>
      <c r="E57" s="84"/>
      <c r="F57" s="84"/>
      <c r="G57" s="84"/>
      <c r="H57" s="84"/>
      <c r="I57" s="84"/>
      <c r="J57" s="84"/>
      <c r="K57" s="111"/>
    </row>
    <row r="58" spans="1:11" x14ac:dyDescent="0.25">
      <c r="A58" s="84"/>
      <c r="B58" s="84"/>
      <c r="C58" s="84"/>
      <c r="D58" s="84"/>
      <c r="E58" s="84"/>
      <c r="F58" s="84"/>
      <c r="G58" s="84"/>
      <c r="H58" s="84"/>
      <c r="I58" s="84"/>
      <c r="J58" s="84"/>
      <c r="K58" s="111"/>
    </row>
    <row r="59" spans="1:11" x14ac:dyDescent="0.25">
      <c r="A59" s="84"/>
      <c r="B59" s="84"/>
      <c r="C59" s="84"/>
      <c r="D59" s="84"/>
      <c r="E59" s="84"/>
      <c r="F59" s="84"/>
      <c r="G59" s="84"/>
      <c r="H59" s="84"/>
      <c r="I59" s="84"/>
      <c r="J59" s="84"/>
      <c r="K59" s="111"/>
    </row>
    <row r="60" spans="1:11" x14ac:dyDescent="0.25">
      <c r="A60" s="84"/>
      <c r="B60" s="84"/>
      <c r="C60" s="84"/>
      <c r="D60" s="84"/>
      <c r="E60" s="84"/>
      <c r="F60" s="84"/>
      <c r="G60" s="84"/>
      <c r="H60" s="84"/>
      <c r="I60" s="84"/>
      <c r="J60" s="84"/>
      <c r="K60" s="111"/>
    </row>
    <row r="61" spans="1:11" x14ac:dyDescent="0.25">
      <c r="A61" s="84"/>
      <c r="B61" s="84"/>
      <c r="C61" s="84"/>
      <c r="D61" s="84"/>
      <c r="E61" s="84"/>
      <c r="F61" s="84"/>
      <c r="G61" s="84"/>
      <c r="H61" s="84"/>
      <c r="I61" s="84"/>
      <c r="J61" s="84"/>
    </row>
    <row r="62" spans="1:11" x14ac:dyDescent="0.25">
      <c r="A62" s="84"/>
      <c r="B62" s="84"/>
      <c r="C62" s="84"/>
      <c r="D62" s="84"/>
      <c r="E62" s="84"/>
      <c r="F62" s="84"/>
      <c r="G62" s="84"/>
      <c r="H62" s="84"/>
      <c r="I62" s="84"/>
      <c r="J62" s="84"/>
    </row>
  </sheetData>
  <mergeCells count="43">
    <mergeCell ref="F24:G24"/>
    <mergeCell ref="H24:J24"/>
    <mergeCell ref="F25:G25"/>
    <mergeCell ref="A1:A4"/>
    <mergeCell ref="B1:H2"/>
    <mergeCell ref="C3:D3"/>
    <mergeCell ref="G3:H3"/>
    <mergeCell ref="C4:D4"/>
    <mergeCell ref="G4:H4"/>
    <mergeCell ref="E3:F3"/>
    <mergeCell ref="E4:F4"/>
    <mergeCell ref="I32:J32"/>
    <mergeCell ref="I33:J33"/>
    <mergeCell ref="F33:G33"/>
    <mergeCell ref="I1:J2"/>
    <mergeCell ref="F21:G21"/>
    <mergeCell ref="F22:G22"/>
    <mergeCell ref="B6:I6"/>
    <mergeCell ref="F32:G32"/>
    <mergeCell ref="F23:G23"/>
    <mergeCell ref="H23:I23"/>
    <mergeCell ref="H9:J9"/>
    <mergeCell ref="H18:J18"/>
    <mergeCell ref="H21:J21"/>
    <mergeCell ref="H22:J22"/>
    <mergeCell ref="F18:G20"/>
    <mergeCell ref="F9:G17"/>
    <mergeCell ref="F26:J26"/>
    <mergeCell ref="G27:J27"/>
    <mergeCell ref="G28:J28"/>
    <mergeCell ref="E35:E50"/>
    <mergeCell ref="A34:J34"/>
    <mergeCell ref="E8:E33"/>
    <mergeCell ref="F8:J8"/>
    <mergeCell ref="F36:J50"/>
    <mergeCell ref="A36:D50"/>
    <mergeCell ref="A8:D33"/>
    <mergeCell ref="G29:J29"/>
    <mergeCell ref="G30:J30"/>
    <mergeCell ref="G31:J31"/>
    <mergeCell ref="A35:D35"/>
    <mergeCell ref="H25:I25"/>
    <mergeCell ref="F35:J35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6"/>
  <sheetViews>
    <sheetView workbookViewId="0">
      <selection activeCell="L1" sqref="L1:M2"/>
    </sheetView>
  </sheetViews>
  <sheetFormatPr defaultRowHeight="13.8" x14ac:dyDescent="0.25"/>
  <sheetData>
    <row r="1" spans="1:15" s="98" customFormat="1" ht="18.75" customHeight="1" x14ac:dyDescent="0.25">
      <c r="A1" s="308"/>
      <c r="B1" s="311" t="s">
        <v>28</v>
      </c>
      <c r="C1" s="312"/>
      <c r="D1" s="312"/>
      <c r="E1" s="312"/>
      <c r="F1" s="312"/>
      <c r="G1" s="312"/>
      <c r="H1" s="312"/>
      <c r="I1" s="312"/>
      <c r="J1" s="312"/>
      <c r="K1" s="313"/>
      <c r="L1" s="288" t="s">
        <v>1</v>
      </c>
      <c r="M1" s="289"/>
    </row>
    <row r="2" spans="1:15" s="97" customFormat="1" ht="18.75" customHeight="1" x14ac:dyDescent="0.25">
      <c r="A2" s="309"/>
      <c r="B2" s="314"/>
      <c r="C2" s="315"/>
      <c r="D2" s="315"/>
      <c r="E2" s="315"/>
      <c r="F2" s="315"/>
      <c r="G2" s="315"/>
      <c r="H2" s="315"/>
      <c r="I2" s="315"/>
      <c r="J2" s="315"/>
      <c r="K2" s="316"/>
      <c r="L2" s="290"/>
      <c r="M2" s="291"/>
      <c r="N2" s="98"/>
      <c r="O2" s="98"/>
    </row>
    <row r="3" spans="1:15" s="97" customFormat="1" ht="18.75" customHeight="1" x14ac:dyDescent="0.25">
      <c r="A3" s="309"/>
      <c r="B3" s="207" t="s">
        <v>2</v>
      </c>
      <c r="C3" s="317" t="s">
        <v>3</v>
      </c>
      <c r="D3" s="318"/>
      <c r="E3" s="330"/>
      <c r="F3" s="226" t="s">
        <v>4</v>
      </c>
      <c r="G3" s="317" t="str">
        <f>'Fr-01'!$B$6</f>
        <v>ชื่อองค์กรที่ขอขึ้นทะเบียน</v>
      </c>
      <c r="H3" s="318"/>
      <c r="I3" s="330"/>
      <c r="J3" s="317"/>
      <c r="K3" s="318"/>
      <c r="L3" s="208" t="s">
        <v>5</v>
      </c>
      <c r="M3" s="209">
        <v>2</v>
      </c>
      <c r="N3" s="98"/>
      <c r="O3" s="98"/>
    </row>
    <row r="4" spans="1:15" s="84" customFormat="1" ht="18.75" customHeight="1" x14ac:dyDescent="0.25">
      <c r="A4" s="310"/>
      <c r="B4" s="207" t="s">
        <v>6</v>
      </c>
      <c r="C4" s="317" t="s">
        <v>29</v>
      </c>
      <c r="D4" s="318"/>
      <c r="E4" s="330"/>
      <c r="F4" s="226" t="s">
        <v>8</v>
      </c>
      <c r="G4" s="317">
        <f>'Fr-01'!$G$4</f>
        <v>0</v>
      </c>
      <c r="H4" s="318"/>
      <c r="I4" s="330"/>
      <c r="J4" s="317"/>
      <c r="K4" s="318"/>
      <c r="L4" s="208" t="s">
        <v>30</v>
      </c>
      <c r="M4" s="209"/>
    </row>
    <row r="5" spans="1:15" s="84" customFormat="1" ht="18.75" customHeight="1" x14ac:dyDescent="0.25">
      <c r="A5" s="118"/>
      <c r="B5" s="119"/>
      <c r="C5" s="119"/>
      <c r="D5" s="119"/>
      <c r="E5" s="119"/>
      <c r="F5" s="119"/>
      <c r="G5" s="119"/>
      <c r="H5" s="119"/>
      <c r="I5" s="119"/>
      <c r="J5" s="119"/>
      <c r="K5" s="119"/>
      <c r="L5" s="119"/>
      <c r="M5" s="120"/>
    </row>
    <row r="6" spans="1:15" x14ac:dyDescent="0.25">
      <c r="A6" s="321"/>
      <c r="B6" s="322"/>
      <c r="C6" s="322"/>
      <c r="D6" s="322"/>
      <c r="E6" s="322"/>
      <c r="F6" s="322"/>
      <c r="G6" s="322"/>
      <c r="H6" s="322"/>
      <c r="I6" s="322"/>
      <c r="J6" s="322"/>
      <c r="K6" s="322"/>
      <c r="L6" s="322"/>
      <c r="M6" s="323"/>
    </row>
    <row r="7" spans="1:15" x14ac:dyDescent="0.25">
      <c r="A7" s="324"/>
      <c r="B7" s="325"/>
      <c r="C7" s="325"/>
      <c r="D7" s="325"/>
      <c r="E7" s="325"/>
      <c r="F7" s="325"/>
      <c r="G7" s="325"/>
      <c r="H7" s="325"/>
      <c r="I7" s="325"/>
      <c r="J7" s="325"/>
      <c r="K7" s="325"/>
      <c r="L7" s="325"/>
      <c r="M7" s="326"/>
    </row>
    <row r="8" spans="1:15" x14ac:dyDescent="0.25">
      <c r="A8" s="324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6"/>
    </row>
    <row r="9" spans="1:15" x14ac:dyDescent="0.25">
      <c r="A9" s="324"/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6"/>
    </row>
    <row r="10" spans="1:15" x14ac:dyDescent="0.25">
      <c r="A10" s="324"/>
      <c r="B10" s="325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6"/>
    </row>
    <row r="11" spans="1:15" x14ac:dyDescent="0.25">
      <c r="A11" s="324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6"/>
    </row>
    <row r="12" spans="1:15" x14ac:dyDescent="0.25">
      <c r="A12" s="324"/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</row>
    <row r="13" spans="1:15" x14ac:dyDescent="0.25">
      <c r="A13" s="324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</row>
    <row r="14" spans="1:15" x14ac:dyDescent="0.25">
      <c r="A14" s="324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</row>
    <row r="15" spans="1:15" x14ac:dyDescent="0.25">
      <c r="A15" s="324"/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</row>
    <row r="16" spans="1:15" x14ac:dyDescent="0.25">
      <c r="A16" s="324"/>
      <c r="B16" s="325"/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6"/>
    </row>
    <row r="17" spans="1:13" x14ac:dyDescent="0.25">
      <c r="A17" s="324"/>
      <c r="B17" s="325"/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6"/>
    </row>
    <row r="18" spans="1:13" x14ac:dyDescent="0.25">
      <c r="A18" s="324"/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6"/>
    </row>
    <row r="19" spans="1:13" x14ac:dyDescent="0.25">
      <c r="A19" s="324"/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6"/>
    </row>
    <row r="20" spans="1:13" x14ac:dyDescent="0.25">
      <c r="A20" s="324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1:13" x14ac:dyDescent="0.25">
      <c r="A21" s="324"/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6"/>
    </row>
    <row r="22" spans="1:13" x14ac:dyDescent="0.25">
      <c r="A22" s="324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6"/>
    </row>
    <row r="23" spans="1:13" x14ac:dyDescent="0.25">
      <c r="A23" s="324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6"/>
    </row>
    <row r="24" spans="1:13" x14ac:dyDescent="0.25">
      <c r="A24" s="324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6"/>
    </row>
    <row r="25" spans="1:13" x14ac:dyDescent="0.25">
      <c r="A25" s="324"/>
      <c r="B25" s="325"/>
      <c r="C25" s="325"/>
      <c r="D25" s="325"/>
      <c r="E25" s="325"/>
      <c r="F25" s="325"/>
      <c r="G25" s="325"/>
      <c r="H25" s="325"/>
      <c r="I25" s="325"/>
      <c r="J25" s="325"/>
      <c r="K25" s="325"/>
      <c r="L25" s="325"/>
      <c r="M25" s="326"/>
    </row>
    <row r="26" spans="1:13" x14ac:dyDescent="0.25">
      <c r="A26" s="327"/>
      <c r="B26" s="328"/>
      <c r="C26" s="328"/>
      <c r="D26" s="328"/>
      <c r="E26" s="328"/>
      <c r="F26" s="328"/>
      <c r="G26" s="328"/>
      <c r="H26" s="328"/>
      <c r="I26" s="328"/>
      <c r="J26" s="328"/>
      <c r="K26" s="328"/>
      <c r="L26" s="328"/>
      <c r="M26" s="329"/>
    </row>
  </sheetData>
  <mergeCells count="10">
    <mergeCell ref="A1:A4"/>
    <mergeCell ref="A6:M26"/>
    <mergeCell ref="B1:K2"/>
    <mergeCell ref="L1:M2"/>
    <mergeCell ref="C3:E3"/>
    <mergeCell ref="C4:E4"/>
    <mergeCell ref="G3:I3"/>
    <mergeCell ref="J3:K3"/>
    <mergeCell ref="G4:I4"/>
    <mergeCell ref="J4:K4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VR30"/>
  <sheetViews>
    <sheetView workbookViewId="0">
      <selection activeCell="P13" sqref="P13"/>
    </sheetView>
  </sheetViews>
  <sheetFormatPr defaultColWidth="11" defaultRowHeight="13.8" x14ac:dyDescent="0.25"/>
  <cols>
    <col min="1" max="9" width="10.09765625" style="84" customWidth="1"/>
    <col min="10" max="256" width="11" style="84"/>
    <col min="257" max="265" width="10.09765625" style="84" customWidth="1"/>
    <col min="266" max="512" width="11" style="84"/>
    <col min="513" max="521" width="10.09765625" style="84" customWidth="1"/>
    <col min="522" max="768" width="11" style="84"/>
    <col min="769" max="777" width="10.09765625" style="84" customWidth="1"/>
    <col min="778" max="1024" width="11" style="84"/>
    <col min="1025" max="1033" width="10.09765625" style="84" customWidth="1"/>
    <col min="1034" max="1280" width="11" style="84"/>
    <col min="1281" max="1289" width="10.09765625" style="84" customWidth="1"/>
    <col min="1290" max="1536" width="11" style="84"/>
    <col min="1537" max="1545" width="10.09765625" style="84" customWidth="1"/>
    <col min="1546" max="1792" width="11" style="84"/>
    <col min="1793" max="1801" width="10.09765625" style="84" customWidth="1"/>
    <col min="1802" max="2048" width="11" style="84"/>
    <col min="2049" max="2057" width="10.09765625" style="84" customWidth="1"/>
    <col min="2058" max="2304" width="11" style="84"/>
    <col min="2305" max="2313" width="10.09765625" style="84" customWidth="1"/>
    <col min="2314" max="2560" width="11" style="84"/>
    <col min="2561" max="2569" width="10.09765625" style="84" customWidth="1"/>
    <col min="2570" max="2816" width="11" style="84"/>
    <col min="2817" max="2825" width="10.09765625" style="84" customWidth="1"/>
    <col min="2826" max="3072" width="11" style="84"/>
    <col min="3073" max="3081" width="10.09765625" style="84" customWidth="1"/>
    <col min="3082" max="3328" width="11" style="84"/>
    <col min="3329" max="3337" width="10.09765625" style="84" customWidth="1"/>
    <col min="3338" max="3584" width="11" style="84"/>
    <col min="3585" max="3593" width="10.09765625" style="84" customWidth="1"/>
    <col min="3594" max="3840" width="11" style="84"/>
    <col min="3841" max="3849" width="10.09765625" style="84" customWidth="1"/>
    <col min="3850" max="4096" width="11" style="84"/>
    <col min="4097" max="4105" width="10.09765625" style="84" customWidth="1"/>
    <col min="4106" max="4352" width="11" style="84"/>
    <col min="4353" max="4361" width="10.09765625" style="84" customWidth="1"/>
    <col min="4362" max="4608" width="11" style="84"/>
    <col min="4609" max="4617" width="10.09765625" style="84" customWidth="1"/>
    <col min="4618" max="4864" width="11" style="84"/>
    <col min="4865" max="4873" width="10.09765625" style="84" customWidth="1"/>
    <col min="4874" max="5120" width="11" style="84"/>
    <col min="5121" max="5129" width="10.09765625" style="84" customWidth="1"/>
    <col min="5130" max="5376" width="11" style="84"/>
    <col min="5377" max="5385" width="10.09765625" style="84" customWidth="1"/>
    <col min="5386" max="5632" width="11" style="84"/>
    <col min="5633" max="5641" width="10.09765625" style="84" customWidth="1"/>
    <col min="5642" max="5888" width="11" style="84"/>
    <col min="5889" max="5897" width="10.09765625" style="84" customWidth="1"/>
    <col min="5898" max="6144" width="11" style="84"/>
    <col min="6145" max="6153" width="10.09765625" style="84" customWidth="1"/>
    <col min="6154" max="6400" width="11" style="84"/>
    <col min="6401" max="6409" width="10.09765625" style="84" customWidth="1"/>
    <col min="6410" max="6656" width="11" style="84"/>
    <col min="6657" max="6665" width="10.09765625" style="84" customWidth="1"/>
    <col min="6666" max="6912" width="11" style="84"/>
    <col min="6913" max="6921" width="10.09765625" style="84" customWidth="1"/>
    <col min="6922" max="7168" width="11" style="84"/>
    <col min="7169" max="7177" width="10.09765625" style="84" customWidth="1"/>
    <col min="7178" max="7424" width="11" style="84"/>
    <col min="7425" max="7433" width="10.09765625" style="84" customWidth="1"/>
    <col min="7434" max="7680" width="11" style="84"/>
    <col min="7681" max="7689" width="10.09765625" style="84" customWidth="1"/>
    <col min="7690" max="7936" width="11" style="84"/>
    <col min="7937" max="7945" width="10.09765625" style="84" customWidth="1"/>
    <col min="7946" max="8192" width="11" style="84"/>
    <col min="8193" max="8201" width="10.09765625" style="84" customWidth="1"/>
    <col min="8202" max="8448" width="11" style="84"/>
    <col min="8449" max="8457" width="10.09765625" style="84" customWidth="1"/>
    <col min="8458" max="8704" width="11" style="84"/>
    <col min="8705" max="8713" width="10.09765625" style="84" customWidth="1"/>
    <col min="8714" max="8960" width="11" style="84"/>
    <col min="8961" max="8969" width="10.09765625" style="84" customWidth="1"/>
    <col min="8970" max="9216" width="11" style="84"/>
    <col min="9217" max="9225" width="10.09765625" style="84" customWidth="1"/>
    <col min="9226" max="9472" width="11" style="84"/>
    <col min="9473" max="9481" width="10.09765625" style="84" customWidth="1"/>
    <col min="9482" max="9728" width="11" style="84"/>
    <col min="9729" max="9737" width="10.09765625" style="84" customWidth="1"/>
    <col min="9738" max="9984" width="11" style="84"/>
    <col min="9985" max="9993" width="10.09765625" style="84" customWidth="1"/>
    <col min="9994" max="10240" width="11" style="84"/>
    <col min="10241" max="10249" width="10.09765625" style="84" customWidth="1"/>
    <col min="10250" max="10496" width="11" style="84"/>
    <col min="10497" max="10505" width="10.09765625" style="84" customWidth="1"/>
    <col min="10506" max="10752" width="11" style="84"/>
    <col min="10753" max="10761" width="10.09765625" style="84" customWidth="1"/>
    <col min="10762" max="11008" width="11" style="84"/>
    <col min="11009" max="11017" width="10.09765625" style="84" customWidth="1"/>
    <col min="11018" max="11264" width="11" style="84"/>
    <col min="11265" max="11273" width="10.09765625" style="84" customWidth="1"/>
    <col min="11274" max="11520" width="11" style="84"/>
    <col min="11521" max="11529" width="10.09765625" style="84" customWidth="1"/>
    <col min="11530" max="11776" width="11" style="84"/>
    <col min="11777" max="11785" width="10.09765625" style="84" customWidth="1"/>
    <col min="11786" max="12032" width="11" style="84"/>
    <col min="12033" max="12041" width="10.09765625" style="84" customWidth="1"/>
    <col min="12042" max="12288" width="11" style="84"/>
    <col min="12289" max="12297" width="10.09765625" style="84" customWidth="1"/>
    <col min="12298" max="12544" width="11" style="84"/>
    <col min="12545" max="12553" width="10.09765625" style="84" customWidth="1"/>
    <col min="12554" max="12800" width="11" style="84"/>
    <col min="12801" max="12809" width="10.09765625" style="84" customWidth="1"/>
    <col min="12810" max="13056" width="11" style="84"/>
    <col min="13057" max="13065" width="10.09765625" style="84" customWidth="1"/>
    <col min="13066" max="13312" width="11" style="84"/>
    <col min="13313" max="13321" width="10.09765625" style="84" customWidth="1"/>
    <col min="13322" max="13568" width="11" style="84"/>
    <col min="13569" max="13577" width="10.09765625" style="84" customWidth="1"/>
    <col min="13578" max="13824" width="11" style="84"/>
    <col min="13825" max="13833" width="10.09765625" style="84" customWidth="1"/>
    <col min="13834" max="14080" width="11" style="84"/>
    <col min="14081" max="14089" width="10.09765625" style="84" customWidth="1"/>
    <col min="14090" max="14336" width="11" style="84"/>
    <col min="14337" max="14345" width="10.09765625" style="84" customWidth="1"/>
    <col min="14346" max="14592" width="11" style="84"/>
    <col min="14593" max="14601" width="10.09765625" style="84" customWidth="1"/>
    <col min="14602" max="14848" width="11" style="84"/>
    <col min="14849" max="14857" width="10.09765625" style="84" customWidth="1"/>
    <col min="14858" max="15104" width="11" style="84"/>
    <col min="15105" max="15113" width="10.09765625" style="84" customWidth="1"/>
    <col min="15114" max="15360" width="11" style="84"/>
    <col min="15361" max="15369" width="10.09765625" style="84" customWidth="1"/>
    <col min="15370" max="15616" width="11" style="84"/>
    <col min="15617" max="15625" width="10.09765625" style="84" customWidth="1"/>
    <col min="15626" max="15872" width="11" style="84"/>
    <col min="15873" max="15881" width="10.09765625" style="84" customWidth="1"/>
    <col min="15882" max="16128" width="11" style="84"/>
    <col min="16129" max="16137" width="10.09765625" style="84" customWidth="1"/>
    <col min="16138" max="16138" width="11" style="84"/>
  </cols>
  <sheetData>
    <row r="1" spans="1:15" s="98" customFormat="1" ht="18.75" customHeight="1" x14ac:dyDescent="0.25">
      <c r="A1" s="308"/>
      <c r="B1" s="342" t="s">
        <v>31</v>
      </c>
      <c r="C1" s="343"/>
      <c r="D1" s="343"/>
      <c r="E1" s="343"/>
      <c r="F1" s="343"/>
      <c r="G1" s="343"/>
      <c r="H1" s="343"/>
      <c r="I1" s="343"/>
      <c r="J1" s="343"/>
      <c r="K1" s="344"/>
      <c r="L1" s="288" t="s">
        <v>1</v>
      </c>
      <c r="M1" s="289"/>
    </row>
    <row r="2" spans="1:15" s="97" customFormat="1" ht="18.75" customHeight="1" x14ac:dyDescent="0.25">
      <c r="A2" s="309"/>
      <c r="B2" s="345"/>
      <c r="C2" s="346"/>
      <c r="D2" s="346"/>
      <c r="E2" s="346"/>
      <c r="F2" s="346"/>
      <c r="G2" s="346"/>
      <c r="H2" s="346"/>
      <c r="I2" s="346"/>
      <c r="J2" s="346"/>
      <c r="K2" s="347"/>
      <c r="L2" s="290"/>
      <c r="M2" s="291"/>
      <c r="N2" s="98"/>
      <c r="O2" s="98"/>
    </row>
    <row r="3" spans="1:15" s="97" customFormat="1" ht="18.75" customHeight="1" x14ac:dyDescent="0.25">
      <c r="A3" s="309"/>
      <c r="B3" s="208" t="s">
        <v>2</v>
      </c>
      <c r="C3" s="317" t="s">
        <v>3</v>
      </c>
      <c r="D3" s="318"/>
      <c r="E3" s="330"/>
      <c r="F3" s="226" t="s">
        <v>4</v>
      </c>
      <c r="G3" s="348" t="str">
        <f>'Fr-01'!$B$6</f>
        <v>ชื่อองค์กรที่ขอขึ้นทะเบียน</v>
      </c>
      <c r="H3" s="349"/>
      <c r="I3" s="349"/>
      <c r="J3" s="349"/>
      <c r="K3" s="350"/>
      <c r="L3" s="208" t="s">
        <v>5</v>
      </c>
      <c r="M3" s="209">
        <v>3</v>
      </c>
      <c r="N3" s="98"/>
      <c r="O3" s="98"/>
    </row>
    <row r="4" spans="1:15" s="84" customFormat="1" ht="18.75" customHeight="1" x14ac:dyDescent="0.25">
      <c r="A4" s="310"/>
      <c r="B4" s="208" t="s">
        <v>6</v>
      </c>
      <c r="C4" s="317" t="s">
        <v>32</v>
      </c>
      <c r="D4" s="318"/>
      <c r="E4" s="330"/>
      <c r="F4" s="226" t="s">
        <v>8</v>
      </c>
      <c r="G4" s="348">
        <f>'Fr-01'!$G$4</f>
        <v>0</v>
      </c>
      <c r="H4" s="349"/>
      <c r="I4" s="349"/>
      <c r="J4" s="349"/>
      <c r="K4" s="350"/>
      <c r="L4" s="208" t="s">
        <v>30</v>
      </c>
      <c r="M4" s="209"/>
    </row>
    <row r="5" spans="1:15" ht="18.75" customHeight="1" x14ac:dyDescent="0.25">
      <c r="A5" s="337"/>
      <c r="B5" s="340"/>
      <c r="C5" s="340"/>
      <c r="D5" s="340"/>
      <c r="E5" s="340"/>
      <c r="F5" s="340"/>
      <c r="G5" s="340"/>
      <c r="H5" s="340"/>
      <c r="I5" s="340"/>
      <c r="J5" s="340"/>
      <c r="K5" s="340"/>
      <c r="L5" s="340"/>
      <c r="M5" s="341"/>
    </row>
    <row r="6" spans="1:15" ht="12" customHeight="1" x14ac:dyDescent="0.25">
      <c r="A6" s="337"/>
      <c r="B6" s="338"/>
      <c r="C6" s="338"/>
      <c r="D6" s="338"/>
      <c r="E6" s="338"/>
      <c r="F6" s="338"/>
      <c r="G6" s="338"/>
      <c r="H6" s="338"/>
      <c r="I6" s="338"/>
      <c r="J6" s="338"/>
      <c r="K6" s="338"/>
      <c r="L6" s="338"/>
      <c r="M6" s="339"/>
    </row>
    <row r="7" spans="1:15" ht="12.75" customHeight="1" x14ac:dyDescent="0.25">
      <c r="A7" s="322"/>
      <c r="B7" s="322"/>
      <c r="C7" s="322"/>
      <c r="D7" s="322"/>
      <c r="E7" s="322"/>
      <c r="F7" s="322"/>
      <c r="G7" s="322"/>
      <c r="H7" s="322"/>
      <c r="I7" s="322"/>
      <c r="J7" s="322"/>
      <c r="K7" s="322"/>
      <c r="L7" s="322"/>
      <c r="M7" s="323"/>
    </row>
    <row r="8" spans="1:15" ht="12.75" customHeight="1" x14ac:dyDescent="0.25">
      <c r="A8" s="325"/>
      <c r="B8" s="325"/>
      <c r="C8" s="325"/>
      <c r="D8" s="325"/>
      <c r="E8" s="325"/>
      <c r="F8" s="325"/>
      <c r="G8" s="325"/>
      <c r="H8" s="325"/>
      <c r="I8" s="325"/>
      <c r="J8" s="325"/>
      <c r="K8" s="325"/>
      <c r="L8" s="325"/>
      <c r="M8" s="326"/>
    </row>
    <row r="9" spans="1:15" ht="12.75" customHeight="1" x14ac:dyDescent="0.25">
      <c r="A9" s="325"/>
      <c r="B9" s="325"/>
      <c r="C9" s="325"/>
      <c r="D9" s="325"/>
      <c r="E9" s="325"/>
      <c r="F9" s="325"/>
      <c r="G9" s="325"/>
      <c r="H9" s="325"/>
      <c r="I9" s="325"/>
      <c r="J9" s="325"/>
      <c r="K9" s="325"/>
      <c r="L9" s="325"/>
      <c r="M9" s="326"/>
    </row>
    <row r="10" spans="1:15" ht="12.75" customHeight="1" x14ac:dyDescent="0.25">
      <c r="A10" s="325"/>
      <c r="B10" s="325"/>
      <c r="C10" s="325"/>
      <c r="D10" s="325"/>
      <c r="E10" s="325"/>
      <c r="F10" s="325"/>
      <c r="G10" s="325"/>
      <c r="H10" s="325"/>
      <c r="I10" s="325"/>
      <c r="J10" s="325"/>
      <c r="K10" s="325"/>
      <c r="L10" s="325"/>
      <c r="M10" s="326"/>
    </row>
    <row r="11" spans="1:15" ht="12.75" customHeight="1" x14ac:dyDescent="0.25">
      <c r="A11" s="325"/>
      <c r="B11" s="325"/>
      <c r="C11" s="325"/>
      <c r="D11" s="325"/>
      <c r="E11" s="325"/>
      <c r="F11" s="325"/>
      <c r="G11" s="325"/>
      <c r="H11" s="325"/>
      <c r="I11" s="325"/>
      <c r="J11" s="325"/>
      <c r="K11" s="325"/>
      <c r="L11" s="325"/>
      <c r="M11" s="326"/>
    </row>
    <row r="12" spans="1:15" ht="12.75" customHeight="1" x14ac:dyDescent="0.25">
      <c r="A12" s="325"/>
      <c r="B12" s="325"/>
      <c r="C12" s="325"/>
      <c r="D12" s="325"/>
      <c r="E12" s="325"/>
      <c r="F12" s="325"/>
      <c r="G12" s="325"/>
      <c r="H12" s="325"/>
      <c r="I12" s="325"/>
      <c r="J12" s="325"/>
      <c r="K12" s="325"/>
      <c r="L12" s="325"/>
      <c r="M12" s="326"/>
    </row>
    <row r="13" spans="1:15" ht="12.75" customHeight="1" x14ac:dyDescent="0.25">
      <c r="A13" s="325"/>
      <c r="B13" s="325"/>
      <c r="C13" s="325"/>
      <c r="D13" s="325"/>
      <c r="E13" s="325"/>
      <c r="F13" s="325"/>
      <c r="G13" s="325"/>
      <c r="H13" s="325"/>
      <c r="I13" s="325"/>
      <c r="J13" s="325"/>
      <c r="K13" s="325"/>
      <c r="L13" s="325"/>
      <c r="M13" s="326"/>
    </row>
    <row r="14" spans="1:15" ht="12.75" customHeight="1" x14ac:dyDescent="0.25">
      <c r="A14" s="325"/>
      <c r="B14" s="325"/>
      <c r="C14" s="325"/>
      <c r="D14" s="325"/>
      <c r="E14" s="325"/>
      <c r="F14" s="325"/>
      <c r="G14" s="325"/>
      <c r="H14" s="325"/>
      <c r="I14" s="325"/>
      <c r="J14" s="325"/>
      <c r="K14" s="325"/>
      <c r="L14" s="325"/>
      <c r="M14" s="326"/>
    </row>
    <row r="15" spans="1:15" ht="12.75" customHeight="1" x14ac:dyDescent="0.25">
      <c r="A15" s="325"/>
      <c r="B15" s="325"/>
      <c r="C15" s="325"/>
      <c r="D15" s="325"/>
      <c r="E15" s="325"/>
      <c r="F15" s="325"/>
      <c r="G15" s="325"/>
      <c r="H15" s="325"/>
      <c r="I15" s="325"/>
      <c r="J15" s="325"/>
      <c r="K15" s="325"/>
      <c r="L15" s="325"/>
      <c r="M15" s="326"/>
    </row>
    <row r="16" spans="1:15" ht="12.75" customHeight="1" x14ac:dyDescent="0.25">
      <c r="A16" s="325"/>
      <c r="B16" s="325"/>
      <c r="C16" s="325"/>
      <c r="D16" s="325"/>
      <c r="E16" s="325"/>
      <c r="F16" s="325"/>
      <c r="G16" s="325"/>
      <c r="H16" s="325"/>
      <c r="I16" s="325"/>
      <c r="J16" s="325"/>
      <c r="K16" s="325"/>
      <c r="L16" s="325"/>
      <c r="M16" s="326"/>
    </row>
    <row r="17" spans="1:13" ht="12.75" customHeight="1" x14ac:dyDescent="0.25">
      <c r="A17" s="325"/>
      <c r="B17" s="325"/>
      <c r="C17" s="325"/>
      <c r="D17" s="325"/>
      <c r="E17" s="325"/>
      <c r="F17" s="325"/>
      <c r="G17" s="325"/>
      <c r="H17" s="325"/>
      <c r="I17" s="325"/>
      <c r="J17" s="325"/>
      <c r="K17" s="325"/>
      <c r="L17" s="325"/>
      <c r="M17" s="326"/>
    </row>
    <row r="18" spans="1:13" ht="12.75" customHeight="1" x14ac:dyDescent="0.25">
      <c r="A18" s="325"/>
      <c r="B18" s="325"/>
      <c r="C18" s="325"/>
      <c r="D18" s="325"/>
      <c r="E18" s="325"/>
      <c r="F18" s="325"/>
      <c r="G18" s="325"/>
      <c r="H18" s="325"/>
      <c r="I18" s="325"/>
      <c r="J18" s="325"/>
      <c r="K18" s="325"/>
      <c r="L18" s="325"/>
      <c r="M18" s="326"/>
    </row>
    <row r="19" spans="1:13" ht="12.75" customHeight="1" x14ac:dyDescent="0.25">
      <c r="A19" s="325"/>
      <c r="B19" s="325"/>
      <c r="C19" s="325"/>
      <c r="D19" s="325"/>
      <c r="E19" s="325"/>
      <c r="F19" s="325"/>
      <c r="G19" s="325"/>
      <c r="H19" s="325"/>
      <c r="I19" s="325"/>
      <c r="J19" s="325"/>
      <c r="K19" s="325"/>
      <c r="L19" s="325"/>
      <c r="M19" s="326"/>
    </row>
    <row r="20" spans="1:13" ht="12.75" customHeight="1" x14ac:dyDescent="0.25">
      <c r="A20" s="325"/>
      <c r="B20" s="325"/>
      <c r="C20" s="325"/>
      <c r="D20" s="325"/>
      <c r="E20" s="325"/>
      <c r="F20" s="325"/>
      <c r="G20" s="325"/>
      <c r="H20" s="325"/>
      <c r="I20" s="325"/>
      <c r="J20" s="325"/>
      <c r="K20" s="325"/>
      <c r="L20" s="325"/>
      <c r="M20" s="326"/>
    </row>
    <row r="21" spans="1:13" ht="12.75" customHeight="1" x14ac:dyDescent="0.25">
      <c r="A21" s="325"/>
      <c r="B21" s="325"/>
      <c r="C21" s="325"/>
      <c r="D21" s="325"/>
      <c r="E21" s="325"/>
      <c r="F21" s="325"/>
      <c r="G21" s="325"/>
      <c r="H21" s="325"/>
      <c r="I21" s="325"/>
      <c r="J21" s="325"/>
      <c r="K21" s="325"/>
      <c r="L21" s="325"/>
      <c r="M21" s="326"/>
    </row>
    <row r="22" spans="1:13" ht="12.75" customHeight="1" x14ac:dyDescent="0.25">
      <c r="A22" s="325"/>
      <c r="B22" s="325"/>
      <c r="C22" s="325"/>
      <c r="D22" s="325"/>
      <c r="E22" s="325"/>
      <c r="F22" s="325"/>
      <c r="G22" s="325"/>
      <c r="H22" s="325"/>
      <c r="I22" s="325"/>
      <c r="J22" s="325"/>
      <c r="K22" s="325"/>
      <c r="L22" s="325"/>
      <c r="M22" s="326"/>
    </row>
    <row r="23" spans="1:13" ht="12.75" customHeight="1" x14ac:dyDescent="0.25">
      <c r="A23" s="325"/>
      <c r="B23" s="325"/>
      <c r="C23" s="325"/>
      <c r="D23" s="325"/>
      <c r="E23" s="325"/>
      <c r="F23" s="325"/>
      <c r="G23" s="325"/>
      <c r="H23" s="325"/>
      <c r="I23" s="325"/>
      <c r="J23" s="325"/>
      <c r="K23" s="325"/>
      <c r="L23" s="325"/>
      <c r="M23" s="326"/>
    </row>
    <row r="24" spans="1:13" ht="12.75" customHeight="1" x14ac:dyDescent="0.25">
      <c r="A24" s="325"/>
      <c r="B24" s="325"/>
      <c r="C24" s="325"/>
      <c r="D24" s="325"/>
      <c r="E24" s="325"/>
      <c r="F24" s="325"/>
      <c r="G24" s="325"/>
      <c r="H24" s="325"/>
      <c r="I24" s="325"/>
      <c r="J24" s="325"/>
      <c r="K24" s="325"/>
      <c r="L24" s="325"/>
      <c r="M24" s="326"/>
    </row>
    <row r="25" spans="1:13" ht="12.75" customHeight="1" x14ac:dyDescent="0.25">
      <c r="A25" s="328"/>
      <c r="B25" s="328"/>
      <c r="C25" s="328"/>
      <c r="D25" s="328"/>
      <c r="E25" s="328"/>
      <c r="F25" s="328"/>
      <c r="G25" s="328"/>
      <c r="H25" s="328"/>
      <c r="I25" s="328"/>
      <c r="J25" s="328"/>
      <c r="K25" s="328"/>
      <c r="L25" s="328"/>
      <c r="M25" s="329"/>
    </row>
    <row r="26" spans="1:13" ht="13.5" customHeight="1" x14ac:dyDescent="0.25">
      <c r="A26" s="90" t="s">
        <v>33</v>
      </c>
      <c r="B26" s="331"/>
      <c r="C26" s="332"/>
      <c r="D26" s="332"/>
      <c r="E26" s="332"/>
      <c r="F26" s="332"/>
      <c r="G26" s="332"/>
      <c r="H26" s="332"/>
      <c r="I26" s="333"/>
      <c r="J26" s="90" t="s">
        <v>34</v>
      </c>
      <c r="K26" s="334">
        <v>0</v>
      </c>
      <c r="L26" s="335"/>
      <c r="M26" s="336"/>
    </row>
    <row r="27" spans="1:13" s="96" customFormat="1" ht="21.75" customHeight="1" x14ac:dyDescent="0.25">
      <c r="A27" s="84"/>
      <c r="B27" s="84"/>
      <c r="C27" s="84"/>
      <c r="D27" s="84"/>
      <c r="E27" s="84"/>
      <c r="F27" s="84"/>
      <c r="G27" s="84"/>
      <c r="H27" s="84"/>
      <c r="I27" s="84"/>
      <c r="J27" s="84"/>
      <c r="K27" s="84"/>
      <c r="L27" s="84"/>
      <c r="M27" s="84"/>
    </row>
    <row r="30" spans="1:13" ht="18.75" customHeight="1" x14ac:dyDescent="0.25"/>
  </sheetData>
  <mergeCells count="12">
    <mergeCell ref="B1:K2"/>
    <mergeCell ref="G3:K3"/>
    <mergeCell ref="G4:K4"/>
    <mergeCell ref="L1:M2"/>
    <mergeCell ref="A1:A4"/>
    <mergeCell ref="C3:E3"/>
    <mergeCell ref="C4:E4"/>
    <mergeCell ref="B26:I26"/>
    <mergeCell ref="K26:M26"/>
    <mergeCell ref="A6:M6"/>
    <mergeCell ref="A7:M25"/>
    <mergeCell ref="A5:M5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WVF60"/>
  <sheetViews>
    <sheetView workbookViewId="0">
      <selection activeCell="V10" sqref="V10"/>
    </sheetView>
  </sheetViews>
  <sheetFormatPr defaultColWidth="11" defaultRowHeight="13.8" x14ac:dyDescent="0.25"/>
  <cols>
    <col min="1" max="1" width="10.09765625" style="84" customWidth="1"/>
    <col min="2" max="2" width="39.69921875" style="84" customWidth="1"/>
    <col min="3" max="3" width="11.296875" style="84" customWidth="1"/>
    <col min="4" max="4" width="11.09765625" style="84" customWidth="1"/>
    <col min="5" max="5" width="12.296875" style="84" customWidth="1"/>
    <col min="6" max="6" width="5" style="84" customWidth="1"/>
    <col min="7" max="7" width="8.296875" style="84" customWidth="1"/>
    <col min="8" max="8" width="2.8984375" style="84" customWidth="1"/>
    <col min="9" max="9" width="4.69921875" style="84" customWidth="1"/>
    <col min="10" max="11" width="2.8984375" style="84" customWidth="1"/>
    <col min="12" max="12" width="3.3984375" style="84" customWidth="1"/>
    <col min="13" max="13" width="6.69921875" style="84" customWidth="1"/>
    <col min="14" max="14" width="12.8984375" style="84" customWidth="1"/>
    <col min="15" max="18" width="11" style="84"/>
    <col min="19" max="19" width="13.69921875" style="84" customWidth="1"/>
    <col min="20" max="244" width="11" style="84"/>
    <col min="245" max="253" width="10.09765625" style="84" customWidth="1"/>
    <col min="254" max="500" width="11" style="84"/>
    <col min="501" max="509" width="10.09765625" style="84" customWidth="1"/>
    <col min="510" max="756" width="11" style="84"/>
    <col min="757" max="765" width="10.09765625" style="84" customWidth="1"/>
    <col min="766" max="1012" width="11" style="84"/>
    <col min="1013" max="1021" width="10.09765625" style="84" customWidth="1"/>
    <col min="1022" max="1268" width="11" style="84"/>
    <col min="1269" max="1277" width="10.09765625" style="84" customWidth="1"/>
    <col min="1278" max="1524" width="11" style="84"/>
    <col min="1525" max="1533" width="10.09765625" style="84" customWidth="1"/>
    <col min="1534" max="1780" width="11" style="84"/>
    <col min="1781" max="1789" width="10.09765625" style="84" customWidth="1"/>
    <col min="1790" max="2036" width="11" style="84"/>
    <col min="2037" max="2045" width="10.09765625" style="84" customWidth="1"/>
    <col min="2046" max="2292" width="11" style="84"/>
    <col min="2293" max="2301" width="10.09765625" style="84" customWidth="1"/>
    <col min="2302" max="2548" width="11" style="84"/>
    <col min="2549" max="2557" width="10.09765625" style="84" customWidth="1"/>
    <col min="2558" max="2804" width="11" style="84"/>
    <col min="2805" max="2813" width="10.09765625" style="84" customWidth="1"/>
    <col min="2814" max="3060" width="11" style="84"/>
    <col min="3061" max="3069" width="10.09765625" style="84" customWidth="1"/>
    <col min="3070" max="3316" width="11" style="84"/>
    <col min="3317" max="3325" width="10.09765625" style="84" customWidth="1"/>
    <col min="3326" max="3572" width="11" style="84"/>
    <col min="3573" max="3581" width="10.09765625" style="84" customWidth="1"/>
    <col min="3582" max="3828" width="11" style="84"/>
    <col min="3829" max="3837" width="10.09765625" style="84" customWidth="1"/>
    <col min="3838" max="4084" width="11" style="84"/>
    <col min="4085" max="4093" width="10.09765625" style="84" customWidth="1"/>
    <col min="4094" max="4340" width="11" style="84"/>
    <col min="4341" max="4349" width="10.09765625" style="84" customWidth="1"/>
    <col min="4350" max="4596" width="11" style="84"/>
    <col min="4597" max="4605" width="10.09765625" style="84" customWidth="1"/>
    <col min="4606" max="4852" width="11" style="84"/>
    <col min="4853" max="4861" width="10.09765625" style="84" customWidth="1"/>
    <col min="4862" max="5108" width="11" style="84"/>
    <col min="5109" max="5117" width="10.09765625" style="84" customWidth="1"/>
    <col min="5118" max="5364" width="11" style="84"/>
    <col min="5365" max="5373" width="10.09765625" style="84" customWidth="1"/>
    <col min="5374" max="5620" width="11" style="84"/>
    <col min="5621" max="5629" width="10.09765625" style="84" customWidth="1"/>
    <col min="5630" max="5876" width="11" style="84"/>
    <col min="5877" max="5885" width="10.09765625" style="84" customWidth="1"/>
    <col min="5886" max="6132" width="11" style="84"/>
    <col min="6133" max="6141" width="10.09765625" style="84" customWidth="1"/>
    <col min="6142" max="6388" width="11" style="84"/>
    <col min="6389" max="6397" width="10.09765625" style="84" customWidth="1"/>
    <col min="6398" max="6644" width="11" style="84"/>
    <col min="6645" max="6653" width="10.09765625" style="84" customWidth="1"/>
    <col min="6654" max="6900" width="11" style="84"/>
    <col min="6901" max="6909" width="10.09765625" style="84" customWidth="1"/>
    <col min="6910" max="7156" width="11" style="84"/>
    <col min="7157" max="7165" width="10.09765625" style="84" customWidth="1"/>
    <col min="7166" max="7412" width="11" style="84"/>
    <col min="7413" max="7421" width="10.09765625" style="84" customWidth="1"/>
    <col min="7422" max="7668" width="11" style="84"/>
    <col min="7669" max="7677" width="10.09765625" style="84" customWidth="1"/>
    <col min="7678" max="7924" width="11" style="84"/>
    <col min="7925" max="7933" width="10.09765625" style="84" customWidth="1"/>
    <col min="7934" max="8180" width="11" style="84"/>
    <col min="8181" max="8189" width="10.09765625" style="84" customWidth="1"/>
    <col min="8190" max="8436" width="11" style="84"/>
    <col min="8437" max="8445" width="10.09765625" style="84" customWidth="1"/>
    <col min="8446" max="8692" width="11" style="84"/>
    <col min="8693" max="8701" width="10.09765625" style="84" customWidth="1"/>
    <col min="8702" max="8948" width="11" style="84"/>
    <col min="8949" max="8957" width="10.09765625" style="84" customWidth="1"/>
    <col min="8958" max="9204" width="11" style="84"/>
    <col min="9205" max="9213" width="10.09765625" style="84" customWidth="1"/>
    <col min="9214" max="9460" width="11" style="84"/>
    <col min="9461" max="9469" width="10.09765625" style="84" customWidth="1"/>
    <col min="9470" max="9716" width="11" style="84"/>
    <col min="9717" max="9725" width="10.09765625" style="84" customWidth="1"/>
    <col min="9726" max="9972" width="11" style="84"/>
    <col min="9973" max="9981" width="10.09765625" style="84" customWidth="1"/>
    <col min="9982" max="10228" width="11" style="84"/>
    <col min="10229" max="10237" width="10.09765625" style="84" customWidth="1"/>
    <col min="10238" max="10484" width="11" style="84"/>
    <col min="10485" max="10493" width="10.09765625" style="84" customWidth="1"/>
    <col min="10494" max="10740" width="11" style="84"/>
    <col min="10741" max="10749" width="10.09765625" style="84" customWidth="1"/>
    <col min="10750" max="10996" width="11" style="84"/>
    <col min="10997" max="11005" width="10.09765625" style="84" customWidth="1"/>
    <col min="11006" max="11252" width="11" style="84"/>
    <col min="11253" max="11261" width="10.09765625" style="84" customWidth="1"/>
    <col min="11262" max="11508" width="11" style="84"/>
    <col min="11509" max="11517" width="10.09765625" style="84" customWidth="1"/>
    <col min="11518" max="11764" width="11" style="84"/>
    <col min="11765" max="11773" width="10.09765625" style="84" customWidth="1"/>
    <col min="11774" max="12020" width="11" style="84"/>
    <col min="12021" max="12029" width="10.09765625" style="84" customWidth="1"/>
    <col min="12030" max="12276" width="11" style="84"/>
    <col min="12277" max="12285" width="10.09765625" style="84" customWidth="1"/>
    <col min="12286" max="12532" width="11" style="84"/>
    <col min="12533" max="12541" width="10.09765625" style="84" customWidth="1"/>
    <col min="12542" max="12788" width="11" style="84"/>
    <col min="12789" max="12797" width="10.09765625" style="84" customWidth="1"/>
    <col min="12798" max="13044" width="11" style="84"/>
    <col min="13045" max="13053" width="10.09765625" style="84" customWidth="1"/>
    <col min="13054" max="13300" width="11" style="84"/>
    <col min="13301" max="13309" width="10.09765625" style="84" customWidth="1"/>
    <col min="13310" max="13556" width="11" style="84"/>
    <col min="13557" max="13565" width="10.09765625" style="84" customWidth="1"/>
    <col min="13566" max="13812" width="11" style="84"/>
    <col min="13813" max="13821" width="10.09765625" style="84" customWidth="1"/>
    <col min="13822" max="14068" width="11" style="84"/>
    <col min="14069" max="14077" width="10.09765625" style="84" customWidth="1"/>
    <col min="14078" max="14324" width="11" style="84"/>
    <col min="14325" max="14333" width="10.09765625" style="84" customWidth="1"/>
    <col min="14334" max="14580" width="11" style="84"/>
    <col min="14581" max="14589" width="10.09765625" style="84" customWidth="1"/>
    <col min="14590" max="14836" width="11" style="84"/>
    <col min="14837" max="14845" width="10.09765625" style="84" customWidth="1"/>
    <col min="14846" max="15092" width="11" style="84"/>
    <col min="15093" max="15101" width="10.09765625" style="84" customWidth="1"/>
    <col min="15102" max="15348" width="11" style="84"/>
    <col min="15349" max="15357" width="10.09765625" style="84" customWidth="1"/>
    <col min="15358" max="15604" width="11" style="84"/>
    <col min="15605" max="15613" width="10.09765625" style="84" customWidth="1"/>
    <col min="15614" max="15860" width="11" style="84"/>
    <col min="15861" max="15869" width="10.09765625" style="84" customWidth="1"/>
    <col min="15870" max="16116" width="11" style="84"/>
    <col min="16117" max="16125" width="10.09765625" style="84" customWidth="1"/>
    <col min="16126" max="16126" width="11" style="84"/>
  </cols>
  <sheetData>
    <row r="1" spans="1:16" s="98" customFormat="1" ht="13.2" x14ac:dyDescent="0.25">
      <c r="A1" s="308"/>
      <c r="B1" s="369" t="s">
        <v>35</v>
      </c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  <c r="N1" s="369"/>
      <c r="O1" s="370" t="s">
        <v>1</v>
      </c>
      <c r="P1" s="289"/>
    </row>
    <row r="2" spans="1:16" s="97" customFormat="1" ht="13.2" x14ac:dyDescent="0.25">
      <c r="A2" s="309"/>
      <c r="B2" s="369"/>
      <c r="C2" s="369"/>
      <c r="D2" s="369"/>
      <c r="E2" s="369"/>
      <c r="F2" s="369"/>
      <c r="G2" s="369"/>
      <c r="H2" s="369"/>
      <c r="I2" s="369"/>
      <c r="J2" s="369"/>
      <c r="K2" s="369"/>
      <c r="L2" s="369"/>
      <c r="M2" s="369"/>
      <c r="N2" s="369"/>
      <c r="O2" s="371"/>
      <c r="P2" s="291"/>
    </row>
    <row r="3" spans="1:16" s="97" customFormat="1" ht="13.2" x14ac:dyDescent="0.25">
      <c r="A3" s="309"/>
      <c r="B3" s="208" t="s">
        <v>2</v>
      </c>
      <c r="C3" s="372" t="s">
        <v>36</v>
      </c>
      <c r="D3" s="372"/>
      <c r="E3" s="226" t="s">
        <v>4</v>
      </c>
      <c r="F3" s="373" t="str">
        <f>'Fr-01'!G3</f>
        <v>ชื่อองค์กรที่ขอขึ้นทะเบียน</v>
      </c>
      <c r="G3" s="373"/>
      <c r="H3" s="373"/>
      <c r="I3" s="373"/>
      <c r="J3" s="373"/>
      <c r="K3" s="373"/>
      <c r="L3" s="373"/>
      <c r="M3" s="373"/>
      <c r="N3" s="373"/>
      <c r="O3" s="208" t="s">
        <v>5</v>
      </c>
      <c r="P3" s="209">
        <v>3</v>
      </c>
    </row>
    <row r="4" spans="1:16" s="84" customFormat="1" ht="13.2" x14ac:dyDescent="0.25">
      <c r="A4" s="310"/>
      <c r="B4" s="208" t="s">
        <v>6</v>
      </c>
      <c r="C4" s="373" t="s">
        <v>37</v>
      </c>
      <c r="D4" s="373"/>
      <c r="E4" s="226" t="s">
        <v>8</v>
      </c>
      <c r="F4" s="373">
        <f>'Fr-01'!G4</f>
        <v>0</v>
      </c>
      <c r="G4" s="373"/>
      <c r="H4" s="373"/>
      <c r="I4" s="373"/>
      <c r="J4" s="373"/>
      <c r="K4" s="373"/>
      <c r="L4" s="373"/>
      <c r="M4" s="373"/>
      <c r="N4" s="373"/>
      <c r="O4" s="208" t="s">
        <v>30</v>
      </c>
      <c r="P4" s="209"/>
    </row>
    <row r="5" spans="1:16" x14ac:dyDescent="0.25">
      <c r="A5" s="374"/>
      <c r="B5" s="375"/>
      <c r="C5" s="375"/>
      <c r="D5" s="375"/>
      <c r="E5" s="375"/>
      <c r="F5" s="375"/>
      <c r="G5" s="375"/>
      <c r="H5" s="375"/>
      <c r="I5" s="375"/>
      <c r="J5" s="375"/>
      <c r="K5" s="375"/>
      <c r="L5" s="375"/>
      <c r="M5" s="375"/>
      <c r="N5" s="375"/>
      <c r="O5" s="375"/>
      <c r="P5" s="376"/>
    </row>
    <row r="6" spans="1:16" s="84" customFormat="1" ht="13.2" x14ac:dyDescent="0.25">
      <c r="A6" s="227" t="s">
        <v>38</v>
      </c>
      <c r="B6" s="377" t="s">
        <v>39</v>
      </c>
      <c r="C6" s="377"/>
      <c r="D6" s="377"/>
      <c r="E6" s="377"/>
      <c r="F6" s="377"/>
      <c r="G6" s="377"/>
      <c r="H6" s="377"/>
      <c r="I6" s="377"/>
      <c r="J6" s="377"/>
      <c r="K6" s="377"/>
      <c r="L6" s="377"/>
      <c r="M6" s="377"/>
      <c r="N6" s="377"/>
      <c r="O6" s="377"/>
      <c r="P6" s="378"/>
    </row>
    <row r="7" spans="1:16" s="84" customFormat="1" ht="13.2" x14ac:dyDescent="0.25">
      <c r="A7" s="357"/>
      <c r="B7" s="379"/>
      <c r="C7" s="379"/>
      <c r="D7" s="379"/>
      <c r="E7" s="379"/>
      <c r="F7" s="379"/>
      <c r="G7" s="379"/>
      <c r="H7" s="379"/>
      <c r="I7" s="379"/>
      <c r="J7" s="379"/>
      <c r="K7" s="379"/>
      <c r="L7" s="379"/>
      <c r="M7" s="379"/>
      <c r="N7" s="379"/>
      <c r="O7" s="379"/>
      <c r="P7" s="358"/>
    </row>
    <row r="8" spans="1:16" s="84" customFormat="1" ht="13.2" x14ac:dyDescent="0.25">
      <c r="A8" s="380" t="s">
        <v>40</v>
      </c>
      <c r="B8" s="380"/>
      <c r="C8" s="380" t="s">
        <v>38</v>
      </c>
      <c r="D8" s="380"/>
      <c r="E8" s="380"/>
      <c r="F8" s="380"/>
      <c r="G8" s="380"/>
      <c r="H8" s="380"/>
      <c r="I8" s="380"/>
      <c r="J8" s="380"/>
      <c r="K8" s="380"/>
      <c r="L8" s="380"/>
      <c r="M8" s="380"/>
      <c r="N8" s="380"/>
      <c r="O8" s="380"/>
      <c r="P8" s="380"/>
    </row>
    <row r="9" spans="1:16" s="84" customFormat="1" ht="51" customHeight="1" x14ac:dyDescent="0.25">
      <c r="A9" s="364" t="s">
        <v>41</v>
      </c>
      <c r="B9" s="364"/>
      <c r="C9" s="365" t="s">
        <v>42</v>
      </c>
      <c r="D9" s="365"/>
      <c r="E9" s="365"/>
      <c r="F9" s="365"/>
      <c r="G9" s="365"/>
      <c r="H9" s="365"/>
      <c r="I9" s="365"/>
      <c r="J9" s="365"/>
      <c r="K9" s="365"/>
      <c r="L9" s="365"/>
      <c r="M9" s="365"/>
      <c r="N9" s="365"/>
      <c r="O9" s="365"/>
      <c r="P9" s="365"/>
    </row>
    <row r="10" spans="1:16" s="84" customFormat="1" ht="51" customHeight="1" x14ac:dyDescent="0.25">
      <c r="A10" s="364" t="s">
        <v>43</v>
      </c>
      <c r="B10" s="364"/>
      <c r="C10" s="365" t="s">
        <v>44</v>
      </c>
      <c r="D10" s="365"/>
      <c r="E10" s="365"/>
      <c r="F10" s="365"/>
      <c r="G10" s="365"/>
      <c r="H10" s="365"/>
      <c r="I10" s="365"/>
      <c r="J10" s="365"/>
      <c r="K10" s="365"/>
      <c r="L10" s="365"/>
      <c r="M10" s="365"/>
      <c r="N10" s="365"/>
      <c r="O10" s="365"/>
      <c r="P10" s="365"/>
    </row>
    <row r="11" spans="1:16" s="84" customFormat="1" ht="51" customHeight="1" x14ac:dyDescent="0.25">
      <c r="A11" s="364" t="s">
        <v>45</v>
      </c>
      <c r="B11" s="364"/>
      <c r="C11" s="366" t="s">
        <v>46</v>
      </c>
      <c r="D11" s="367"/>
      <c r="E11" s="367"/>
      <c r="F11" s="367"/>
      <c r="G11" s="367"/>
      <c r="H11" s="367"/>
      <c r="I11" s="367"/>
      <c r="J11" s="367"/>
      <c r="K11" s="367"/>
      <c r="L11" s="367"/>
      <c r="M11" s="367"/>
      <c r="N11" s="367"/>
      <c r="O11" s="367"/>
      <c r="P11" s="368"/>
    </row>
    <row r="12" spans="1:16" s="84" customFormat="1" ht="51" customHeight="1" x14ac:dyDescent="0.25">
      <c r="A12" s="364" t="s">
        <v>47</v>
      </c>
      <c r="B12" s="364"/>
      <c r="C12" s="366" t="s">
        <v>48</v>
      </c>
      <c r="D12" s="367"/>
      <c r="E12" s="367"/>
      <c r="F12" s="367"/>
      <c r="G12" s="367"/>
      <c r="H12" s="367"/>
      <c r="I12" s="367"/>
      <c r="J12" s="367"/>
      <c r="K12" s="367"/>
      <c r="L12" s="367"/>
      <c r="M12" s="367"/>
      <c r="N12" s="367"/>
      <c r="O12" s="367"/>
      <c r="P12" s="368"/>
    </row>
    <row r="13" spans="1:16" s="84" customFormat="1" ht="51" customHeight="1" x14ac:dyDescent="0.25">
      <c r="A13" s="364" t="s">
        <v>49</v>
      </c>
      <c r="B13" s="364"/>
      <c r="C13" s="365" t="s">
        <v>50</v>
      </c>
      <c r="D13" s="365"/>
      <c r="E13" s="365"/>
      <c r="F13" s="365"/>
      <c r="G13" s="365"/>
      <c r="H13" s="365"/>
      <c r="I13" s="365"/>
      <c r="J13" s="365"/>
      <c r="K13" s="365"/>
      <c r="L13" s="365"/>
      <c r="M13" s="365"/>
      <c r="N13" s="365"/>
      <c r="O13" s="365"/>
      <c r="P13" s="365"/>
    </row>
    <row r="14" spans="1:16" s="84" customFormat="1" ht="51" customHeight="1" x14ac:dyDescent="0.25">
      <c r="A14" s="364" t="s">
        <v>51</v>
      </c>
      <c r="B14" s="364"/>
      <c r="C14" s="365" t="s">
        <v>52</v>
      </c>
      <c r="D14" s="365"/>
      <c r="E14" s="365"/>
      <c r="F14" s="365"/>
      <c r="G14" s="365"/>
      <c r="H14" s="365"/>
      <c r="I14" s="365"/>
      <c r="J14" s="365"/>
      <c r="K14" s="365"/>
      <c r="L14" s="365"/>
      <c r="M14" s="365"/>
      <c r="N14" s="365"/>
      <c r="O14" s="365"/>
      <c r="P14" s="365"/>
    </row>
    <row r="15" spans="1:16" s="84" customFormat="1" ht="51" customHeight="1" x14ac:dyDescent="0.25">
      <c r="A15" s="364" t="s">
        <v>53</v>
      </c>
      <c r="B15" s="364"/>
      <c r="C15" s="365" t="s">
        <v>54</v>
      </c>
      <c r="D15" s="365"/>
      <c r="E15" s="365"/>
      <c r="F15" s="365"/>
      <c r="G15" s="365"/>
      <c r="H15" s="365"/>
      <c r="I15" s="365"/>
      <c r="J15" s="365"/>
      <c r="K15" s="365"/>
      <c r="L15" s="365"/>
      <c r="M15" s="365"/>
      <c r="N15" s="365"/>
      <c r="O15" s="365"/>
      <c r="P15" s="365"/>
    </row>
    <row r="16" spans="1:16" s="84" customFormat="1" ht="13.2" x14ac:dyDescent="0.25">
      <c r="A16" s="228" t="s">
        <v>55</v>
      </c>
      <c r="B16" s="229"/>
      <c r="C16" s="229"/>
      <c r="D16" s="229"/>
      <c r="E16" s="229"/>
      <c r="F16" s="229"/>
      <c r="G16" s="229"/>
      <c r="H16" s="229"/>
      <c r="I16" s="229"/>
      <c r="J16" s="229"/>
      <c r="K16" s="229"/>
      <c r="L16" s="229"/>
      <c r="M16" s="229"/>
      <c r="N16" s="199"/>
      <c r="O16" s="199"/>
      <c r="P16" s="200"/>
    </row>
    <row r="17" spans="1:16" s="84" customFormat="1" ht="13.2" x14ac:dyDescent="0.25">
      <c r="A17" s="201"/>
      <c r="B17" s="199"/>
      <c r="C17" s="199"/>
      <c r="D17" s="199"/>
      <c r="E17" s="199"/>
      <c r="F17" s="199"/>
      <c r="G17" s="199"/>
      <c r="H17" s="199"/>
      <c r="I17" s="199"/>
      <c r="J17" s="199"/>
      <c r="K17" s="199"/>
      <c r="L17" s="199"/>
      <c r="M17" s="199"/>
      <c r="N17" s="199"/>
      <c r="O17" s="199"/>
      <c r="P17" s="200"/>
    </row>
    <row r="18" spans="1:16" s="84" customFormat="1" ht="63.75" customHeight="1" x14ac:dyDescent="0.25">
      <c r="A18" s="230" t="s">
        <v>56</v>
      </c>
      <c r="B18" s="230" t="s">
        <v>57</v>
      </c>
      <c r="C18" s="231" t="s">
        <v>41</v>
      </c>
      <c r="D18" s="232" t="s">
        <v>58</v>
      </c>
      <c r="E18" s="232" t="s">
        <v>59</v>
      </c>
      <c r="F18" s="359" t="s">
        <v>60</v>
      </c>
      <c r="G18" s="359"/>
      <c r="H18" s="360" t="s">
        <v>49</v>
      </c>
      <c r="I18" s="361"/>
      <c r="J18" s="362"/>
      <c r="K18" s="363" t="s">
        <v>51</v>
      </c>
      <c r="L18" s="363"/>
      <c r="M18" s="363"/>
      <c r="N18" s="233" t="s">
        <v>53</v>
      </c>
      <c r="O18" s="359" t="s">
        <v>61</v>
      </c>
      <c r="P18" s="359"/>
    </row>
    <row r="19" spans="1:16" s="84" customFormat="1" ht="13.2" x14ac:dyDescent="0.25">
      <c r="A19" s="234">
        <v>1</v>
      </c>
      <c r="B19" s="235" t="s">
        <v>62</v>
      </c>
      <c r="C19" s="236" t="s">
        <v>63</v>
      </c>
      <c r="D19" s="237"/>
      <c r="E19" s="237"/>
      <c r="F19" s="351"/>
      <c r="G19" s="351"/>
      <c r="H19" s="352"/>
      <c r="I19" s="353"/>
      <c r="J19" s="354"/>
      <c r="K19" s="355"/>
      <c r="L19" s="355"/>
      <c r="M19" s="355"/>
      <c r="N19" s="238"/>
      <c r="O19" s="357"/>
      <c r="P19" s="358"/>
    </row>
    <row r="20" spans="1:16" s="84" customFormat="1" ht="13.2" x14ac:dyDescent="0.25">
      <c r="A20" s="234">
        <v>2</v>
      </c>
      <c r="B20" s="235" t="s">
        <v>64</v>
      </c>
      <c r="C20" s="236" t="s">
        <v>63</v>
      </c>
      <c r="D20" s="239"/>
      <c r="E20" s="239"/>
      <c r="F20" s="351"/>
      <c r="G20" s="351"/>
      <c r="H20" s="352"/>
      <c r="I20" s="353"/>
      <c r="J20" s="354"/>
      <c r="K20" s="355"/>
      <c r="L20" s="355"/>
      <c r="M20" s="355"/>
      <c r="N20" s="238"/>
      <c r="O20" s="357"/>
      <c r="P20" s="358"/>
    </row>
    <row r="21" spans="1:16" s="84" customFormat="1" ht="13.2" x14ac:dyDescent="0.25">
      <c r="A21" s="234">
        <v>3</v>
      </c>
      <c r="B21" s="235" t="s">
        <v>65</v>
      </c>
      <c r="C21" s="236" t="s">
        <v>63</v>
      </c>
      <c r="D21" s="239"/>
      <c r="E21" s="239"/>
      <c r="F21" s="351"/>
      <c r="G21" s="351"/>
      <c r="H21" s="352"/>
      <c r="I21" s="353"/>
      <c r="J21" s="354"/>
      <c r="K21" s="355"/>
      <c r="L21" s="355"/>
      <c r="M21" s="355"/>
      <c r="N21" s="238"/>
      <c r="O21" s="357"/>
      <c r="P21" s="358"/>
    </row>
    <row r="22" spans="1:16" s="84" customFormat="1" ht="13.2" x14ac:dyDescent="0.25">
      <c r="A22" s="234">
        <v>4</v>
      </c>
      <c r="B22" s="235" t="s">
        <v>66</v>
      </c>
      <c r="C22" s="236" t="s">
        <v>63</v>
      </c>
      <c r="D22" s="239"/>
      <c r="E22" s="239"/>
      <c r="F22" s="351"/>
      <c r="G22" s="351"/>
      <c r="H22" s="352"/>
      <c r="I22" s="353"/>
      <c r="J22" s="354"/>
      <c r="K22" s="355"/>
      <c r="L22" s="355"/>
      <c r="M22" s="355"/>
      <c r="N22" s="238"/>
      <c r="O22" s="357"/>
      <c r="P22" s="358"/>
    </row>
    <row r="23" spans="1:16" s="84" customFormat="1" ht="13.2" x14ac:dyDescent="0.25">
      <c r="A23" s="234">
        <v>5</v>
      </c>
      <c r="B23" s="235" t="s">
        <v>67</v>
      </c>
      <c r="C23" s="236" t="s">
        <v>63</v>
      </c>
      <c r="D23" s="239"/>
      <c r="E23" s="239"/>
      <c r="F23" s="351"/>
      <c r="G23" s="351"/>
      <c r="H23" s="352"/>
      <c r="I23" s="353"/>
      <c r="J23" s="354"/>
      <c r="K23" s="355"/>
      <c r="L23" s="355"/>
      <c r="M23" s="355"/>
      <c r="N23" s="238"/>
      <c r="O23" s="357"/>
      <c r="P23" s="358"/>
    </row>
    <row r="24" spans="1:16" s="84" customFormat="1" ht="13.2" x14ac:dyDescent="0.25">
      <c r="A24" s="234">
        <v>6</v>
      </c>
      <c r="B24" s="235" t="s">
        <v>68</v>
      </c>
      <c r="C24" s="236" t="s">
        <v>63</v>
      </c>
      <c r="D24" s="239"/>
      <c r="E24" s="239"/>
      <c r="F24" s="351"/>
      <c r="G24" s="351"/>
      <c r="H24" s="352"/>
      <c r="I24" s="353"/>
      <c r="J24" s="354"/>
      <c r="K24" s="355"/>
      <c r="L24" s="355"/>
      <c r="M24" s="355"/>
      <c r="N24" s="238"/>
      <c r="O24" s="357"/>
      <c r="P24" s="358"/>
    </row>
    <row r="25" spans="1:16" s="84" customFormat="1" ht="13.2" x14ac:dyDescent="0.25">
      <c r="A25" s="234">
        <v>7</v>
      </c>
      <c r="B25" s="235" t="s">
        <v>69</v>
      </c>
      <c r="C25" s="236" t="s">
        <v>63</v>
      </c>
      <c r="D25" s="239"/>
      <c r="E25" s="239"/>
      <c r="F25" s="351"/>
      <c r="G25" s="351"/>
      <c r="H25" s="352"/>
      <c r="I25" s="353"/>
      <c r="J25" s="354"/>
      <c r="K25" s="355"/>
      <c r="L25" s="355"/>
      <c r="M25" s="355"/>
      <c r="N25" s="238"/>
      <c r="O25" s="357"/>
      <c r="P25" s="358"/>
    </row>
    <row r="26" spans="1:16" s="84" customFormat="1" ht="13.2" x14ac:dyDescent="0.25">
      <c r="A26" s="234">
        <v>8</v>
      </c>
      <c r="B26" s="235" t="s">
        <v>70</v>
      </c>
      <c r="C26" s="236" t="s">
        <v>63</v>
      </c>
      <c r="D26" s="239"/>
      <c r="E26" s="239"/>
      <c r="F26" s="351"/>
      <c r="G26" s="351"/>
      <c r="H26" s="352"/>
      <c r="I26" s="353"/>
      <c r="J26" s="354"/>
      <c r="K26" s="355"/>
      <c r="L26" s="355"/>
      <c r="M26" s="355"/>
      <c r="N26" s="238"/>
      <c r="O26" s="357"/>
      <c r="P26" s="358"/>
    </row>
    <row r="27" spans="1:16" s="84" customFormat="1" ht="13.2" x14ac:dyDescent="0.25">
      <c r="A27" s="234">
        <v>9</v>
      </c>
      <c r="B27" s="235" t="s">
        <v>71</v>
      </c>
      <c r="C27" s="236" t="s">
        <v>63</v>
      </c>
      <c r="D27" s="239"/>
      <c r="E27" s="239"/>
      <c r="F27" s="351"/>
      <c r="G27" s="351"/>
      <c r="H27" s="352"/>
      <c r="I27" s="353"/>
      <c r="J27" s="354"/>
      <c r="K27" s="355"/>
      <c r="L27" s="355"/>
      <c r="M27" s="355"/>
      <c r="N27" s="238"/>
      <c r="O27" s="357"/>
      <c r="P27" s="358"/>
    </row>
    <row r="28" spans="1:16" s="84" customFormat="1" ht="13.2" x14ac:dyDescent="0.25">
      <c r="A28" s="234">
        <v>10</v>
      </c>
      <c r="B28" s="235" t="s">
        <v>72</v>
      </c>
      <c r="C28" s="236" t="s">
        <v>63</v>
      </c>
      <c r="D28" s="239"/>
      <c r="E28" s="239"/>
      <c r="F28" s="351"/>
      <c r="G28" s="351"/>
      <c r="H28" s="352"/>
      <c r="I28" s="353"/>
      <c r="J28" s="354"/>
      <c r="K28" s="355"/>
      <c r="L28" s="355"/>
      <c r="M28" s="355"/>
      <c r="N28" s="238"/>
      <c r="O28" s="356"/>
      <c r="P28" s="356"/>
    </row>
    <row r="29" spans="1:16" s="84" customFormat="1" ht="13.2" x14ac:dyDescent="0.25">
      <c r="A29" s="234">
        <v>11</v>
      </c>
      <c r="B29" s="235" t="s">
        <v>73</v>
      </c>
      <c r="C29" s="236" t="s">
        <v>63</v>
      </c>
      <c r="D29" s="239"/>
      <c r="E29" s="239"/>
      <c r="F29" s="351"/>
      <c r="G29" s="351"/>
      <c r="H29" s="352"/>
      <c r="I29" s="353"/>
      <c r="J29" s="354"/>
      <c r="K29" s="355"/>
      <c r="L29" s="355"/>
      <c r="M29" s="355"/>
      <c r="N29" s="238"/>
      <c r="O29" s="356"/>
      <c r="P29" s="356"/>
    </row>
    <row r="30" spans="1:16" s="84" customFormat="1" ht="13.2" x14ac:dyDescent="0.25">
      <c r="A30" s="234">
        <v>12</v>
      </c>
      <c r="B30" s="235" t="s">
        <v>74</v>
      </c>
      <c r="C30" s="236" t="s">
        <v>63</v>
      </c>
      <c r="D30" s="239"/>
      <c r="E30" s="239"/>
      <c r="F30" s="351"/>
      <c r="G30" s="351"/>
      <c r="H30" s="352"/>
      <c r="I30" s="353"/>
      <c r="J30" s="354"/>
      <c r="K30" s="355"/>
      <c r="L30" s="355"/>
      <c r="M30" s="355"/>
      <c r="N30" s="238"/>
      <c r="O30" s="356"/>
      <c r="P30" s="356"/>
    </row>
    <row r="31" spans="1:16" s="84" customFormat="1" ht="13.2" x14ac:dyDescent="0.25">
      <c r="A31" s="234">
        <v>13</v>
      </c>
      <c r="B31" s="235" t="s">
        <v>75</v>
      </c>
      <c r="C31" s="236" t="s">
        <v>63</v>
      </c>
      <c r="D31" s="239"/>
      <c r="E31" s="239"/>
      <c r="F31" s="351"/>
      <c r="G31" s="351"/>
      <c r="H31" s="352"/>
      <c r="I31" s="353"/>
      <c r="J31" s="354"/>
      <c r="K31" s="355"/>
      <c r="L31" s="355"/>
      <c r="M31" s="355"/>
      <c r="N31" s="238"/>
      <c r="O31" s="356"/>
      <c r="P31" s="356"/>
    </row>
    <row r="32" spans="1:16" s="84" customFormat="1" ht="13.2" x14ac:dyDescent="0.25">
      <c r="A32" s="234">
        <v>14</v>
      </c>
      <c r="B32" s="235" t="s">
        <v>76</v>
      </c>
      <c r="C32" s="236" t="s">
        <v>63</v>
      </c>
      <c r="D32" s="239"/>
      <c r="E32" s="239"/>
      <c r="F32" s="351"/>
      <c r="G32" s="351"/>
      <c r="H32" s="352"/>
      <c r="I32" s="353"/>
      <c r="J32" s="354"/>
      <c r="K32" s="355"/>
      <c r="L32" s="355"/>
      <c r="M32" s="355"/>
      <c r="N32" s="238"/>
      <c r="O32" s="356"/>
      <c r="P32" s="356"/>
    </row>
    <row r="33" spans="1:16" s="84" customFormat="1" ht="13.2" x14ac:dyDescent="0.25">
      <c r="A33" s="234">
        <v>15</v>
      </c>
      <c r="B33" s="235" t="s">
        <v>77</v>
      </c>
      <c r="C33" s="236" t="s">
        <v>63</v>
      </c>
      <c r="D33" s="239"/>
      <c r="E33" s="239"/>
      <c r="F33" s="351"/>
      <c r="G33" s="351"/>
      <c r="H33" s="352"/>
      <c r="I33" s="353"/>
      <c r="J33" s="354"/>
      <c r="K33" s="355"/>
      <c r="L33" s="355"/>
      <c r="M33" s="355"/>
      <c r="N33" s="238"/>
      <c r="O33" s="356"/>
      <c r="P33" s="356"/>
    </row>
    <row r="34" spans="1:16" s="84" customFormat="1" ht="13.2" x14ac:dyDescent="0.25">
      <c r="A34" s="201"/>
      <c r="B34" s="199"/>
      <c r="C34" s="199"/>
      <c r="D34" s="199"/>
      <c r="E34" s="199"/>
      <c r="F34" s="199"/>
      <c r="G34" s="199"/>
      <c r="H34" s="199"/>
      <c r="I34" s="199"/>
      <c r="J34" s="199"/>
      <c r="K34" s="199"/>
      <c r="L34" s="199"/>
      <c r="M34" s="199"/>
      <c r="N34" s="199"/>
      <c r="O34" s="199"/>
      <c r="P34" s="200"/>
    </row>
    <row r="35" spans="1:16" s="84" customFormat="1" ht="13.2" x14ac:dyDescent="0.25">
      <c r="A35" s="202" t="s">
        <v>78</v>
      </c>
      <c r="B35" s="199"/>
      <c r="C35" s="199"/>
      <c r="D35" s="199"/>
      <c r="E35" s="199"/>
      <c r="F35" s="199"/>
      <c r="G35" s="199"/>
      <c r="H35" s="199"/>
      <c r="I35" s="199"/>
      <c r="J35" s="199"/>
      <c r="K35" s="199"/>
      <c r="L35" s="199"/>
      <c r="M35" s="199"/>
      <c r="N35" s="199"/>
      <c r="O35" s="199"/>
      <c r="P35" s="200"/>
    </row>
    <row r="36" spans="1:16" s="84" customFormat="1" ht="13.2" x14ac:dyDescent="0.25">
      <c r="A36" s="178"/>
      <c r="B36" s="176"/>
      <c r="C36" s="176"/>
      <c r="D36" s="176"/>
      <c r="E36" s="176"/>
      <c r="F36" s="176"/>
      <c r="G36" s="176"/>
      <c r="H36" s="176"/>
      <c r="I36" s="176"/>
      <c r="J36" s="176"/>
      <c r="K36" s="176"/>
      <c r="L36" s="176"/>
      <c r="M36" s="176"/>
      <c r="N36" s="176"/>
      <c r="O36" s="176"/>
      <c r="P36" s="179"/>
    </row>
    <row r="37" spans="1:16" s="84" customFormat="1" ht="13.2" x14ac:dyDescent="0.25">
      <c r="A37" s="178"/>
      <c r="B37" s="203"/>
      <c r="C37" s="204"/>
      <c r="D37" s="204"/>
      <c r="E37" s="204"/>
      <c r="F37" s="204"/>
      <c r="G37" s="204"/>
      <c r="H37" s="204"/>
      <c r="I37" s="204"/>
      <c r="J37" s="204"/>
      <c r="K37" s="204"/>
      <c r="L37" s="204"/>
      <c r="M37" s="204"/>
      <c r="N37" s="204"/>
      <c r="O37" s="205"/>
      <c r="P37" s="179"/>
    </row>
    <row r="38" spans="1:16" s="84" customFormat="1" ht="13.2" x14ac:dyDescent="0.25">
      <c r="A38" s="178"/>
      <c r="B38" s="178"/>
      <c r="C38" s="176"/>
      <c r="D38" s="176"/>
      <c r="E38" s="176"/>
      <c r="F38" s="176"/>
      <c r="G38" s="176"/>
      <c r="H38" s="176"/>
      <c r="I38" s="176"/>
      <c r="J38" s="176"/>
      <c r="K38" s="176"/>
      <c r="L38" s="176"/>
      <c r="M38" s="176"/>
      <c r="N38" s="176"/>
      <c r="O38" s="179"/>
      <c r="P38" s="179"/>
    </row>
    <row r="39" spans="1:16" s="84" customFormat="1" ht="13.2" x14ac:dyDescent="0.25">
      <c r="A39" s="178"/>
      <c r="B39" s="178"/>
      <c r="C39" s="176"/>
      <c r="D39" s="176"/>
      <c r="E39" s="176"/>
      <c r="F39" s="176"/>
      <c r="G39" s="176"/>
      <c r="H39" s="176"/>
      <c r="I39" s="176"/>
      <c r="J39" s="176"/>
      <c r="K39" s="176"/>
      <c r="L39" s="176"/>
      <c r="M39" s="176"/>
      <c r="N39" s="176"/>
      <c r="O39" s="179"/>
      <c r="P39" s="179"/>
    </row>
    <row r="40" spans="1:16" s="84" customFormat="1" ht="13.2" x14ac:dyDescent="0.25">
      <c r="A40" s="178"/>
      <c r="B40" s="178"/>
      <c r="C40" s="176"/>
      <c r="D40" s="176"/>
      <c r="E40" s="176"/>
      <c r="F40" s="176"/>
      <c r="G40" s="176"/>
      <c r="H40" s="176"/>
      <c r="I40" s="176"/>
      <c r="J40" s="176"/>
      <c r="K40" s="176"/>
      <c r="L40" s="176"/>
      <c r="M40" s="176"/>
      <c r="N40" s="176"/>
      <c r="O40" s="179"/>
      <c r="P40" s="179"/>
    </row>
    <row r="41" spans="1:16" s="84" customFormat="1" ht="13.2" x14ac:dyDescent="0.25">
      <c r="A41" s="178"/>
      <c r="B41" s="178"/>
      <c r="C41" s="176"/>
      <c r="D41" s="176"/>
      <c r="E41" s="176"/>
      <c r="F41" s="176"/>
      <c r="G41" s="176"/>
      <c r="H41" s="176"/>
      <c r="I41" s="176"/>
      <c r="J41" s="176"/>
      <c r="K41" s="176"/>
      <c r="L41" s="176"/>
      <c r="M41" s="176"/>
      <c r="N41" s="176"/>
      <c r="O41" s="179"/>
      <c r="P41" s="179"/>
    </row>
    <row r="42" spans="1:16" s="84" customFormat="1" ht="13.2" x14ac:dyDescent="0.25">
      <c r="A42" s="178"/>
      <c r="B42" s="178"/>
      <c r="C42" s="176"/>
      <c r="D42" s="176"/>
      <c r="E42" s="176"/>
      <c r="F42" s="176"/>
      <c r="G42" s="176"/>
      <c r="H42" s="176"/>
      <c r="I42" s="176"/>
      <c r="J42" s="176"/>
      <c r="K42" s="176"/>
      <c r="L42" s="176"/>
      <c r="M42" s="176"/>
      <c r="N42" s="176"/>
      <c r="O42" s="179"/>
      <c r="P42" s="179"/>
    </row>
    <row r="43" spans="1:16" s="84" customFormat="1" ht="13.2" x14ac:dyDescent="0.25">
      <c r="A43" s="178"/>
      <c r="B43" s="178"/>
      <c r="C43" s="176"/>
      <c r="D43" s="176"/>
      <c r="E43" s="176"/>
      <c r="F43" s="176"/>
      <c r="G43" s="176"/>
      <c r="H43" s="176"/>
      <c r="I43" s="176"/>
      <c r="J43" s="176"/>
      <c r="K43" s="176"/>
      <c r="L43" s="176"/>
      <c r="M43" s="176"/>
      <c r="N43" s="176"/>
      <c r="O43" s="179"/>
      <c r="P43" s="179"/>
    </row>
    <row r="44" spans="1:16" s="84" customFormat="1" ht="13.2" x14ac:dyDescent="0.25">
      <c r="A44" s="178"/>
      <c r="B44" s="178"/>
      <c r="C44" s="176"/>
      <c r="D44" s="176"/>
      <c r="E44" s="176"/>
      <c r="F44" s="176"/>
      <c r="G44" s="176"/>
      <c r="H44" s="176"/>
      <c r="I44" s="176"/>
      <c r="J44" s="176"/>
      <c r="K44" s="176"/>
      <c r="L44" s="176"/>
      <c r="M44" s="176"/>
      <c r="N44" s="176"/>
      <c r="O44" s="179"/>
      <c r="P44" s="179"/>
    </row>
    <row r="45" spans="1:16" s="84" customFormat="1" ht="13.2" x14ac:dyDescent="0.25">
      <c r="A45" s="178"/>
      <c r="B45" s="178"/>
      <c r="C45" s="176"/>
      <c r="D45" s="176"/>
      <c r="E45" s="176"/>
      <c r="F45" s="176"/>
      <c r="G45" s="176"/>
      <c r="H45" s="176"/>
      <c r="I45" s="176"/>
      <c r="J45" s="176"/>
      <c r="K45" s="176"/>
      <c r="L45" s="176"/>
      <c r="M45" s="176"/>
      <c r="N45" s="176"/>
      <c r="O45" s="179"/>
      <c r="P45" s="179"/>
    </row>
    <row r="46" spans="1:16" s="84" customFormat="1" ht="13.2" x14ac:dyDescent="0.25">
      <c r="A46" s="178"/>
      <c r="B46" s="178"/>
      <c r="C46" s="176"/>
      <c r="D46" s="176"/>
      <c r="E46" s="176"/>
      <c r="F46" s="176"/>
      <c r="G46" s="176"/>
      <c r="H46" s="176"/>
      <c r="I46" s="176"/>
      <c r="J46" s="176"/>
      <c r="K46" s="176"/>
      <c r="L46" s="176"/>
      <c r="M46" s="176"/>
      <c r="N46" s="176"/>
      <c r="O46" s="179"/>
      <c r="P46" s="179"/>
    </row>
    <row r="47" spans="1:16" s="84" customFormat="1" ht="13.2" x14ac:dyDescent="0.25">
      <c r="A47" s="178"/>
      <c r="B47" s="178"/>
      <c r="C47" s="176"/>
      <c r="D47" s="176"/>
      <c r="E47" s="176"/>
      <c r="F47" s="176"/>
      <c r="G47" s="176"/>
      <c r="H47" s="176"/>
      <c r="I47" s="176"/>
      <c r="J47" s="176"/>
      <c r="K47" s="176"/>
      <c r="L47" s="176"/>
      <c r="M47" s="176"/>
      <c r="N47" s="176"/>
      <c r="O47" s="179"/>
      <c r="P47" s="179"/>
    </row>
    <row r="48" spans="1:16" s="84" customFormat="1" ht="13.2" x14ac:dyDescent="0.25">
      <c r="A48" s="178"/>
      <c r="B48" s="178"/>
      <c r="C48" s="176"/>
      <c r="D48" s="176"/>
      <c r="E48" s="176"/>
      <c r="F48" s="176"/>
      <c r="G48" s="176"/>
      <c r="H48" s="176"/>
      <c r="I48" s="176"/>
      <c r="J48" s="176"/>
      <c r="K48" s="176"/>
      <c r="L48" s="176"/>
      <c r="M48" s="176"/>
      <c r="N48" s="176"/>
      <c r="O48" s="179"/>
      <c r="P48" s="179"/>
    </row>
    <row r="49" spans="1:16" s="84" customFormat="1" ht="13.2" x14ac:dyDescent="0.25">
      <c r="A49" s="178"/>
      <c r="B49" s="178"/>
      <c r="C49" s="176"/>
      <c r="D49" s="176"/>
      <c r="E49" s="176"/>
      <c r="F49" s="176"/>
      <c r="G49" s="176"/>
      <c r="H49" s="176"/>
      <c r="I49" s="176"/>
      <c r="J49" s="176"/>
      <c r="K49" s="176"/>
      <c r="L49" s="176"/>
      <c r="M49" s="176"/>
      <c r="N49" s="176"/>
      <c r="O49" s="179"/>
      <c r="P49" s="179"/>
    </row>
    <row r="50" spans="1:16" s="84" customFormat="1" ht="13.2" x14ac:dyDescent="0.25">
      <c r="A50" s="178"/>
      <c r="B50" s="178"/>
      <c r="C50" s="176"/>
      <c r="D50" s="176"/>
      <c r="E50" s="176"/>
      <c r="F50" s="176"/>
      <c r="G50" s="176"/>
      <c r="H50" s="176"/>
      <c r="I50" s="176"/>
      <c r="J50" s="176"/>
      <c r="K50" s="176"/>
      <c r="L50" s="176"/>
      <c r="M50" s="176"/>
      <c r="N50" s="176"/>
      <c r="O50" s="179"/>
      <c r="P50" s="179"/>
    </row>
    <row r="51" spans="1:16" s="84" customFormat="1" ht="13.2" x14ac:dyDescent="0.25">
      <c r="A51" s="178"/>
      <c r="B51" s="178"/>
      <c r="C51" s="176"/>
      <c r="D51" s="176"/>
      <c r="E51" s="176"/>
      <c r="F51" s="176"/>
      <c r="G51" s="176"/>
      <c r="H51" s="176"/>
      <c r="I51" s="176"/>
      <c r="J51" s="176"/>
      <c r="K51" s="176"/>
      <c r="L51" s="176"/>
      <c r="M51" s="176"/>
      <c r="N51" s="176"/>
      <c r="O51" s="179"/>
      <c r="P51" s="179"/>
    </row>
    <row r="52" spans="1:16" s="84" customFormat="1" ht="13.2" x14ac:dyDescent="0.25">
      <c r="A52" s="178"/>
      <c r="B52" s="178"/>
      <c r="C52" s="176"/>
      <c r="D52" s="176"/>
      <c r="E52" s="176"/>
      <c r="F52" s="176"/>
      <c r="G52" s="176"/>
      <c r="H52" s="176"/>
      <c r="I52" s="176"/>
      <c r="J52" s="176"/>
      <c r="K52" s="176"/>
      <c r="L52" s="176"/>
      <c r="M52" s="176"/>
      <c r="N52" s="176"/>
      <c r="O52" s="179"/>
      <c r="P52" s="179"/>
    </row>
    <row r="53" spans="1:16" s="84" customFormat="1" ht="13.2" x14ac:dyDescent="0.25">
      <c r="A53" s="178"/>
      <c r="B53" s="178"/>
      <c r="C53" s="176"/>
      <c r="D53" s="176"/>
      <c r="E53" s="176"/>
      <c r="F53" s="176"/>
      <c r="G53" s="176"/>
      <c r="H53" s="176"/>
      <c r="I53" s="176"/>
      <c r="J53" s="176"/>
      <c r="K53" s="176"/>
      <c r="L53" s="176"/>
      <c r="M53" s="176"/>
      <c r="N53" s="176"/>
      <c r="O53" s="179"/>
      <c r="P53" s="179"/>
    </row>
    <row r="54" spans="1:16" s="84" customFormat="1" ht="13.2" x14ac:dyDescent="0.25">
      <c r="A54" s="178"/>
      <c r="B54" s="178"/>
      <c r="C54" s="176"/>
      <c r="D54" s="176"/>
      <c r="E54" s="176"/>
      <c r="F54" s="176"/>
      <c r="G54" s="176"/>
      <c r="H54" s="176"/>
      <c r="I54" s="176"/>
      <c r="J54" s="176"/>
      <c r="K54" s="176"/>
      <c r="L54" s="176"/>
      <c r="M54" s="176"/>
      <c r="N54" s="176"/>
      <c r="O54" s="179"/>
      <c r="P54" s="179"/>
    </row>
    <row r="55" spans="1:16" s="84" customFormat="1" ht="13.2" x14ac:dyDescent="0.25">
      <c r="A55" s="178"/>
      <c r="B55" s="178"/>
      <c r="C55" s="176"/>
      <c r="D55" s="176"/>
      <c r="E55" s="176"/>
      <c r="F55" s="176"/>
      <c r="G55" s="176"/>
      <c r="H55" s="176"/>
      <c r="I55" s="176"/>
      <c r="J55" s="176"/>
      <c r="K55" s="176"/>
      <c r="L55" s="176"/>
      <c r="M55" s="176"/>
      <c r="N55" s="176"/>
      <c r="O55" s="179"/>
      <c r="P55" s="179"/>
    </row>
    <row r="56" spans="1:16" s="84" customFormat="1" ht="13.2" x14ac:dyDescent="0.25">
      <c r="A56" s="178"/>
      <c r="B56" s="178"/>
      <c r="C56" s="176"/>
      <c r="D56" s="176"/>
      <c r="E56" s="176"/>
      <c r="F56" s="176"/>
      <c r="G56" s="176"/>
      <c r="H56" s="176"/>
      <c r="I56" s="176"/>
      <c r="J56" s="176"/>
      <c r="K56" s="176"/>
      <c r="L56" s="176"/>
      <c r="M56" s="176"/>
      <c r="N56" s="176"/>
      <c r="O56" s="179"/>
      <c r="P56" s="179"/>
    </row>
    <row r="57" spans="1:16" s="84" customFormat="1" ht="13.2" x14ac:dyDescent="0.25">
      <c r="A57" s="178"/>
      <c r="B57" s="178"/>
      <c r="C57" s="176"/>
      <c r="D57" s="176"/>
      <c r="E57" s="176"/>
      <c r="F57" s="176"/>
      <c r="G57" s="176"/>
      <c r="H57" s="176"/>
      <c r="I57" s="176"/>
      <c r="J57" s="176"/>
      <c r="K57" s="176"/>
      <c r="L57" s="176"/>
      <c r="M57" s="176"/>
      <c r="N57" s="176"/>
      <c r="O57" s="179"/>
      <c r="P57" s="179"/>
    </row>
    <row r="58" spans="1:16" s="84" customFormat="1" ht="13.2" x14ac:dyDescent="0.25">
      <c r="A58" s="178"/>
      <c r="B58" s="178"/>
      <c r="C58" s="176"/>
      <c r="D58" s="176"/>
      <c r="E58" s="176"/>
      <c r="F58" s="176"/>
      <c r="G58" s="176"/>
      <c r="H58" s="176"/>
      <c r="I58" s="176"/>
      <c r="J58" s="176"/>
      <c r="K58" s="176"/>
      <c r="L58" s="176"/>
      <c r="M58" s="176"/>
      <c r="N58" s="176"/>
      <c r="O58" s="179"/>
      <c r="P58" s="179"/>
    </row>
    <row r="59" spans="1:16" s="84" customFormat="1" ht="13.2" x14ac:dyDescent="0.25">
      <c r="A59" s="178"/>
      <c r="B59" s="173"/>
      <c r="C59" s="174"/>
      <c r="D59" s="174"/>
      <c r="E59" s="174"/>
      <c r="F59" s="174"/>
      <c r="G59" s="174"/>
      <c r="H59" s="174"/>
      <c r="I59" s="174"/>
      <c r="J59" s="174"/>
      <c r="K59" s="174"/>
      <c r="L59" s="174"/>
      <c r="M59" s="174"/>
      <c r="N59" s="174"/>
      <c r="O59" s="175"/>
      <c r="P59" s="179"/>
    </row>
    <row r="60" spans="1:16" s="84" customFormat="1" ht="13.2" x14ac:dyDescent="0.25">
      <c r="A60" s="173"/>
      <c r="B60" s="174"/>
      <c r="C60" s="174"/>
      <c r="D60" s="174"/>
      <c r="E60" s="174"/>
      <c r="F60" s="174"/>
      <c r="G60" s="174"/>
      <c r="H60" s="174"/>
      <c r="I60" s="174"/>
      <c r="J60" s="174"/>
      <c r="K60" s="174"/>
      <c r="L60" s="174"/>
      <c r="M60" s="174"/>
      <c r="N60" s="174"/>
      <c r="O60" s="174"/>
      <c r="P60" s="175"/>
    </row>
  </sheetData>
  <mergeCells count="90">
    <mergeCell ref="A9:B9"/>
    <mergeCell ref="C9:P9"/>
    <mergeCell ref="A1:A4"/>
    <mergeCell ref="B1:N2"/>
    <mergeCell ref="O1:P2"/>
    <mergeCell ref="C3:D3"/>
    <mergeCell ref="F3:N3"/>
    <mergeCell ref="C4:D4"/>
    <mergeCell ref="F4:N4"/>
    <mergeCell ref="A5:P5"/>
    <mergeCell ref="B6:P6"/>
    <mergeCell ref="A7:P7"/>
    <mergeCell ref="A8:B8"/>
    <mergeCell ref="C8:P8"/>
    <mergeCell ref="A10:B10"/>
    <mergeCell ref="C10:P10"/>
    <mergeCell ref="A11:B11"/>
    <mergeCell ref="C11:P11"/>
    <mergeCell ref="A12:B12"/>
    <mergeCell ref="C12:P12"/>
    <mergeCell ref="A13:B13"/>
    <mergeCell ref="C13:P13"/>
    <mergeCell ref="A14:B14"/>
    <mergeCell ref="C14:P14"/>
    <mergeCell ref="A15:B15"/>
    <mergeCell ref="C15:P15"/>
    <mergeCell ref="F18:G18"/>
    <mergeCell ref="H18:J18"/>
    <mergeCell ref="K18:M18"/>
    <mergeCell ref="O18:P18"/>
    <mergeCell ref="F19:G19"/>
    <mergeCell ref="H19:J19"/>
    <mergeCell ref="K19:M19"/>
    <mergeCell ref="O19:P19"/>
    <mergeCell ref="F20:G20"/>
    <mergeCell ref="H20:J20"/>
    <mergeCell ref="K20:M20"/>
    <mergeCell ref="O20:P20"/>
    <mergeCell ref="F21:G21"/>
    <mergeCell ref="H21:J21"/>
    <mergeCell ref="K21:M21"/>
    <mergeCell ref="O21:P21"/>
    <mergeCell ref="F22:G22"/>
    <mergeCell ref="H22:J22"/>
    <mergeCell ref="K22:M22"/>
    <mergeCell ref="O22:P22"/>
    <mergeCell ref="F23:G23"/>
    <mergeCell ref="H23:J23"/>
    <mergeCell ref="K23:M23"/>
    <mergeCell ref="O23:P23"/>
    <mergeCell ref="F24:G24"/>
    <mergeCell ref="H24:J24"/>
    <mergeCell ref="K24:M24"/>
    <mergeCell ref="O24:P24"/>
    <mergeCell ref="F25:G25"/>
    <mergeCell ref="H25:J25"/>
    <mergeCell ref="K25:M25"/>
    <mergeCell ref="O25:P25"/>
    <mergeCell ref="F26:G26"/>
    <mergeCell ref="H26:J26"/>
    <mergeCell ref="K26:M26"/>
    <mergeCell ref="O26:P26"/>
    <mergeCell ref="F27:G27"/>
    <mergeCell ref="H27:J27"/>
    <mergeCell ref="K27:M27"/>
    <mergeCell ref="O27:P27"/>
    <mergeCell ref="F28:G28"/>
    <mergeCell ref="H28:J28"/>
    <mergeCell ref="K28:M28"/>
    <mergeCell ref="O28:P28"/>
    <mergeCell ref="F29:G29"/>
    <mergeCell ref="H29:J29"/>
    <mergeCell ref="K29:M29"/>
    <mergeCell ref="O29:P29"/>
    <mergeCell ref="F30:G30"/>
    <mergeCell ref="H30:J30"/>
    <mergeCell ref="K30:M30"/>
    <mergeCell ref="O30:P30"/>
    <mergeCell ref="F31:G31"/>
    <mergeCell ref="H31:J31"/>
    <mergeCell ref="K31:M31"/>
    <mergeCell ref="O31:P31"/>
    <mergeCell ref="F32:G32"/>
    <mergeCell ref="H32:J32"/>
    <mergeCell ref="K32:M32"/>
    <mergeCell ref="O32:P32"/>
    <mergeCell ref="F33:G33"/>
    <mergeCell ref="H33:J33"/>
    <mergeCell ref="K33:M33"/>
    <mergeCell ref="O33:P33"/>
  </mergeCells>
  <conditionalFormatting sqref="D19:D33">
    <cfRule type="dataBar" priority="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{F649EDE5-619E-471E-AC1E-C726255A81B3}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649EDE5-619E-471E-AC1E-C726255A81B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D19:D33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H51"/>
  <sheetViews>
    <sheetView topLeftCell="A4" workbookViewId="0">
      <selection activeCell="Q10" sqref="Q10"/>
    </sheetView>
  </sheetViews>
  <sheetFormatPr defaultRowHeight="13.8" x14ac:dyDescent="0.25"/>
  <cols>
    <col min="2" max="2" width="16.09765625" customWidth="1"/>
    <col min="4" max="4" width="12" customWidth="1"/>
    <col min="6" max="6" width="13" customWidth="1"/>
    <col min="15" max="15" width="11.69921875" customWidth="1"/>
    <col min="17" max="17" width="13.09765625" customWidth="1"/>
    <col min="18" max="25" width="3.09765625" customWidth="1"/>
    <col min="26" max="26" width="16.59765625" customWidth="1"/>
    <col min="27" max="27" width="9.09765625" customWidth="1"/>
    <col min="28" max="28" width="11.09765625" customWidth="1"/>
    <col min="29" max="32" width="9.09765625" customWidth="1"/>
    <col min="33" max="33" width="11.09765625" customWidth="1"/>
    <col min="34" max="40" width="9.09765625" customWidth="1"/>
    <col min="41" max="44" width="12.59765625" customWidth="1"/>
    <col min="45" max="45" width="14" customWidth="1"/>
    <col min="46" max="46" width="2.59765625" customWidth="1"/>
    <col min="47" max="47" width="10.69921875" customWidth="1"/>
    <col min="48" max="48" width="11.09765625" customWidth="1"/>
  </cols>
  <sheetData>
    <row r="1" spans="1:60" s="215" customFormat="1" ht="15" customHeight="1" x14ac:dyDescent="0.25">
      <c r="A1" s="308"/>
      <c r="B1" s="394" t="s">
        <v>3</v>
      </c>
      <c r="C1" s="395"/>
      <c r="D1" s="395"/>
      <c r="E1" s="395"/>
      <c r="F1" s="395"/>
      <c r="G1" s="395"/>
      <c r="H1" s="395"/>
      <c r="I1" s="395"/>
      <c r="J1" s="395"/>
      <c r="K1" s="395"/>
      <c r="L1" s="395"/>
      <c r="M1" s="395"/>
      <c r="N1" s="395"/>
      <c r="O1" s="395"/>
      <c r="P1" s="395"/>
      <c r="Q1" s="395"/>
      <c r="R1" s="395"/>
      <c r="S1" s="395"/>
      <c r="T1" s="395"/>
      <c r="U1" s="395"/>
      <c r="V1" s="395"/>
      <c r="W1" s="395"/>
      <c r="X1" s="395"/>
      <c r="Y1" s="395"/>
      <c r="Z1" s="395"/>
      <c r="AA1" s="395"/>
      <c r="AB1" s="395"/>
      <c r="AC1" s="395"/>
      <c r="AD1" s="395"/>
      <c r="AE1" s="395"/>
      <c r="AF1" s="395"/>
      <c r="AG1" s="395"/>
      <c r="AH1" s="395"/>
      <c r="AI1" s="395"/>
      <c r="AJ1" s="395"/>
      <c r="AK1" s="395"/>
      <c r="AL1" s="395"/>
      <c r="AM1" s="395"/>
      <c r="AN1" s="396"/>
      <c r="AO1" s="288" t="s">
        <v>1</v>
      </c>
      <c r="AP1" s="370"/>
      <c r="AQ1" s="370"/>
      <c r="AR1" s="370"/>
      <c r="AS1" s="289"/>
      <c r="BF1" s="84"/>
      <c r="BG1" s="84"/>
      <c r="BH1" s="84"/>
    </row>
    <row r="2" spans="1:60" s="215" customFormat="1" ht="15" customHeight="1" x14ac:dyDescent="0.25">
      <c r="A2" s="309"/>
      <c r="B2" s="397"/>
      <c r="C2" s="398"/>
      <c r="D2" s="398"/>
      <c r="E2" s="398"/>
      <c r="F2" s="398"/>
      <c r="G2" s="398"/>
      <c r="H2" s="398"/>
      <c r="I2" s="398"/>
      <c r="J2" s="398"/>
      <c r="K2" s="398"/>
      <c r="L2" s="398"/>
      <c r="M2" s="398"/>
      <c r="N2" s="398"/>
      <c r="O2" s="398"/>
      <c r="P2" s="398"/>
      <c r="Q2" s="398"/>
      <c r="R2" s="398"/>
      <c r="S2" s="398"/>
      <c r="T2" s="398"/>
      <c r="U2" s="398"/>
      <c r="V2" s="398"/>
      <c r="W2" s="398"/>
      <c r="X2" s="398"/>
      <c r="Y2" s="398"/>
      <c r="Z2" s="398"/>
      <c r="AA2" s="398"/>
      <c r="AB2" s="398"/>
      <c r="AC2" s="398"/>
      <c r="AD2" s="398"/>
      <c r="AE2" s="398"/>
      <c r="AF2" s="398"/>
      <c r="AG2" s="398"/>
      <c r="AH2" s="398"/>
      <c r="AI2" s="398"/>
      <c r="AJ2" s="398"/>
      <c r="AK2" s="398"/>
      <c r="AL2" s="398"/>
      <c r="AM2" s="398"/>
      <c r="AN2" s="399"/>
      <c r="AO2" s="290"/>
      <c r="AP2" s="371"/>
      <c r="AQ2" s="371"/>
      <c r="AR2" s="371"/>
      <c r="AS2" s="291"/>
      <c r="BF2" s="84"/>
      <c r="BG2" s="84"/>
      <c r="BH2" s="84"/>
    </row>
    <row r="3" spans="1:60" s="215" customFormat="1" ht="15" customHeight="1" x14ac:dyDescent="0.25">
      <c r="A3" s="309"/>
      <c r="B3" s="207" t="s">
        <v>2</v>
      </c>
      <c r="C3" s="317" t="s">
        <v>3</v>
      </c>
      <c r="D3" s="318"/>
      <c r="E3" s="318"/>
      <c r="F3" s="330"/>
      <c r="G3" s="225"/>
      <c r="H3" s="208" t="s">
        <v>4</v>
      </c>
      <c r="I3" s="400" t="str">
        <f>'Fr-01'!$B$6</f>
        <v>ชื่อองค์กรที่ขอขึ้นทะเบียน</v>
      </c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2"/>
      <c r="AB3" s="406" t="s">
        <v>79</v>
      </c>
      <c r="AC3" s="407"/>
      <c r="AD3" s="408"/>
      <c r="AE3" s="400" t="str">
        <f>'Fr-01'!H22</f>
        <v xml:space="preserve"> ระบุปีที่เก็บข้อมูล เช่น ม.ค.63-ธ.ค.63</v>
      </c>
      <c r="AF3" s="401"/>
      <c r="AG3" s="401"/>
      <c r="AH3" s="401"/>
      <c r="AI3" s="401"/>
      <c r="AJ3" s="401"/>
      <c r="AK3" s="401"/>
      <c r="AL3" s="401"/>
      <c r="AM3" s="401"/>
      <c r="AN3" s="402"/>
      <c r="AO3" s="386" t="s">
        <v>5</v>
      </c>
      <c r="AP3" s="387"/>
      <c r="AQ3" s="388"/>
      <c r="AR3" s="389">
        <v>4</v>
      </c>
      <c r="AS3" s="390"/>
      <c r="BF3" s="84"/>
      <c r="BG3" s="84"/>
      <c r="BH3" s="84"/>
    </row>
    <row r="4" spans="1:60" s="215" customFormat="1" ht="21" customHeight="1" x14ac:dyDescent="0.25">
      <c r="A4" s="310"/>
      <c r="B4" s="207" t="s">
        <v>6</v>
      </c>
      <c r="C4" s="317" t="s">
        <v>80</v>
      </c>
      <c r="D4" s="318"/>
      <c r="E4" s="318"/>
      <c r="F4" s="330"/>
      <c r="G4" s="225"/>
      <c r="H4" s="208" t="s">
        <v>8</v>
      </c>
      <c r="I4" s="403">
        <f>'Fr-01'!$G$4</f>
        <v>0</v>
      </c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404"/>
      <c r="W4" s="404"/>
      <c r="X4" s="404"/>
      <c r="Y4" s="404"/>
      <c r="Z4" s="404"/>
      <c r="AA4" s="405"/>
      <c r="AB4" s="222"/>
      <c r="AC4" s="224"/>
      <c r="AD4" s="223"/>
      <c r="AE4" s="224"/>
      <c r="AF4" s="224"/>
      <c r="AG4" s="224"/>
      <c r="AH4" s="224"/>
      <c r="AI4" s="224"/>
      <c r="AJ4" s="224"/>
      <c r="AK4" s="224"/>
      <c r="AL4" s="224"/>
      <c r="AM4" s="224"/>
      <c r="AN4" s="223"/>
      <c r="AO4" s="386" t="s">
        <v>30</v>
      </c>
      <c r="AP4" s="387"/>
      <c r="AQ4" s="388"/>
      <c r="AR4" s="386"/>
      <c r="AS4" s="388"/>
      <c r="BF4" s="84"/>
      <c r="BG4" s="84"/>
      <c r="BH4" s="84"/>
    </row>
    <row r="5" spans="1:60" x14ac:dyDescent="0.25">
      <c r="A5" s="411"/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12"/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2"/>
      <c r="AP5" s="412"/>
      <c r="AQ5" s="412"/>
      <c r="AR5" s="412"/>
      <c r="AS5" s="413"/>
    </row>
    <row r="6" spans="1:60" ht="15" customHeight="1" x14ac:dyDescent="0.35">
      <c r="A6" s="414" t="s">
        <v>81</v>
      </c>
      <c r="B6" s="417" t="s">
        <v>82</v>
      </c>
      <c r="C6" s="420" t="s">
        <v>83</v>
      </c>
      <c r="D6" s="421"/>
      <c r="E6" s="426" t="s">
        <v>84</v>
      </c>
      <c r="F6" s="427"/>
      <c r="G6" s="427"/>
      <c r="H6" s="427"/>
      <c r="I6" s="427"/>
      <c r="J6" s="427"/>
      <c r="K6" s="427"/>
      <c r="L6" s="427"/>
      <c r="M6" s="427"/>
      <c r="N6" s="428"/>
      <c r="O6" s="426" t="s">
        <v>85</v>
      </c>
      <c r="P6" s="428"/>
      <c r="Q6" s="432" t="s">
        <v>86</v>
      </c>
      <c r="R6" s="462" t="s">
        <v>87</v>
      </c>
      <c r="S6" s="463"/>
      <c r="T6" s="463"/>
      <c r="U6" s="463"/>
      <c r="V6" s="463"/>
      <c r="W6" s="463"/>
      <c r="X6" s="466"/>
      <c r="Y6" s="409" t="s">
        <v>88</v>
      </c>
      <c r="Z6" s="457" t="s">
        <v>89</v>
      </c>
      <c r="AA6" s="440" t="s">
        <v>90</v>
      </c>
      <c r="AB6" s="441"/>
      <c r="AC6" s="441"/>
      <c r="AD6" s="441"/>
      <c r="AE6" s="441"/>
      <c r="AF6" s="442"/>
      <c r="AG6" s="441" t="s">
        <v>91</v>
      </c>
      <c r="AH6" s="441"/>
      <c r="AI6" s="441"/>
      <c r="AJ6" s="441"/>
      <c r="AK6" s="441"/>
      <c r="AL6" s="441"/>
      <c r="AM6" s="441"/>
      <c r="AN6" s="442"/>
      <c r="AO6" s="449" t="s">
        <v>92</v>
      </c>
      <c r="AP6" s="383" t="s">
        <v>93</v>
      </c>
      <c r="AQ6" s="383" t="s">
        <v>94</v>
      </c>
      <c r="AR6" s="383" t="s">
        <v>95</v>
      </c>
      <c r="AS6" s="391" t="s">
        <v>96</v>
      </c>
      <c r="AU6" s="381" t="s">
        <v>97</v>
      </c>
      <c r="AV6" s="382"/>
    </row>
    <row r="7" spans="1:60" ht="15" customHeight="1" x14ac:dyDescent="0.25">
      <c r="A7" s="415"/>
      <c r="B7" s="418"/>
      <c r="C7" s="422"/>
      <c r="D7" s="423"/>
      <c r="E7" s="429"/>
      <c r="F7" s="430"/>
      <c r="G7" s="430"/>
      <c r="H7" s="430"/>
      <c r="I7" s="430"/>
      <c r="J7" s="430"/>
      <c r="K7" s="430"/>
      <c r="L7" s="430"/>
      <c r="M7" s="430"/>
      <c r="N7" s="431"/>
      <c r="O7" s="429"/>
      <c r="P7" s="431"/>
      <c r="Q7" s="433"/>
      <c r="R7" s="467" t="s">
        <v>98</v>
      </c>
      <c r="S7" s="467"/>
      <c r="T7" s="462" t="s">
        <v>99</v>
      </c>
      <c r="U7" s="463"/>
      <c r="V7" s="463"/>
      <c r="W7" s="463"/>
      <c r="X7" s="409" t="s">
        <v>100</v>
      </c>
      <c r="Y7" s="459"/>
      <c r="Z7" s="458"/>
      <c r="AA7" s="443"/>
      <c r="AB7" s="444"/>
      <c r="AC7" s="444"/>
      <c r="AD7" s="444"/>
      <c r="AE7" s="444"/>
      <c r="AF7" s="445"/>
      <c r="AG7" s="444"/>
      <c r="AH7" s="444"/>
      <c r="AI7" s="444"/>
      <c r="AJ7" s="444"/>
      <c r="AK7" s="444"/>
      <c r="AL7" s="444"/>
      <c r="AM7" s="444"/>
      <c r="AN7" s="445"/>
      <c r="AO7" s="450"/>
      <c r="AP7" s="384"/>
      <c r="AQ7" s="384"/>
      <c r="AR7" s="384"/>
      <c r="AS7" s="392"/>
      <c r="AT7" s="1"/>
      <c r="AU7" s="2" t="s">
        <v>87</v>
      </c>
      <c r="AV7" s="126" t="s">
        <v>101</v>
      </c>
    </row>
    <row r="8" spans="1:60" ht="31.5" customHeight="1" x14ac:dyDescent="0.25">
      <c r="A8" s="415"/>
      <c r="B8" s="418"/>
      <c r="C8" s="424"/>
      <c r="D8" s="425"/>
      <c r="E8" s="435" t="s">
        <v>102</v>
      </c>
      <c r="F8" s="436"/>
      <c r="G8" s="436"/>
      <c r="H8" s="436"/>
      <c r="I8" s="436"/>
      <c r="J8" s="436"/>
      <c r="K8" s="436"/>
      <c r="L8" s="437"/>
      <c r="M8" s="435" t="s">
        <v>103</v>
      </c>
      <c r="N8" s="437"/>
      <c r="O8" s="438" t="s">
        <v>102</v>
      </c>
      <c r="P8" s="438" t="s">
        <v>103</v>
      </c>
      <c r="Q8" s="433"/>
      <c r="R8" s="409" t="s">
        <v>104</v>
      </c>
      <c r="S8" s="464" t="s">
        <v>105</v>
      </c>
      <c r="T8" s="409" t="s">
        <v>106</v>
      </c>
      <c r="U8" s="409" t="s">
        <v>107</v>
      </c>
      <c r="V8" s="409" t="s">
        <v>108</v>
      </c>
      <c r="W8" s="460" t="s">
        <v>109</v>
      </c>
      <c r="X8" s="459"/>
      <c r="Y8" s="459"/>
      <c r="Z8" s="458"/>
      <c r="AA8" s="446"/>
      <c r="AB8" s="447"/>
      <c r="AC8" s="447"/>
      <c r="AD8" s="447"/>
      <c r="AE8" s="447"/>
      <c r="AF8" s="448"/>
      <c r="AG8" s="447"/>
      <c r="AH8" s="447"/>
      <c r="AI8" s="447"/>
      <c r="AJ8" s="447"/>
      <c r="AK8" s="447"/>
      <c r="AL8" s="447"/>
      <c r="AM8" s="447"/>
      <c r="AN8" s="448"/>
      <c r="AO8" s="3" t="s">
        <v>110</v>
      </c>
      <c r="AP8" s="384"/>
      <c r="AQ8" s="384"/>
      <c r="AR8" s="384"/>
      <c r="AS8" s="392"/>
      <c r="AT8" s="1"/>
      <c r="AU8" s="2" t="s">
        <v>111</v>
      </c>
      <c r="AV8" s="160">
        <v>1</v>
      </c>
    </row>
    <row r="9" spans="1:60" x14ac:dyDescent="0.25">
      <c r="A9" s="416"/>
      <c r="B9" s="419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439"/>
      <c r="P9" s="439"/>
      <c r="Q9" s="434"/>
      <c r="R9" s="410"/>
      <c r="S9" s="465"/>
      <c r="T9" s="410"/>
      <c r="U9" s="410"/>
      <c r="V9" s="410"/>
      <c r="W9" s="461"/>
      <c r="X9" s="410"/>
      <c r="Y9" s="410"/>
      <c r="Z9" s="458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385"/>
      <c r="AQ9" s="385"/>
      <c r="AR9" s="385"/>
      <c r="AS9" s="393"/>
      <c r="AU9" s="2" t="s">
        <v>115</v>
      </c>
      <c r="AV9" s="160">
        <v>30</v>
      </c>
    </row>
    <row r="10" spans="1:60" x14ac:dyDescent="0.25">
      <c r="A10" s="451" t="s">
        <v>126</v>
      </c>
      <c r="B10" s="14"/>
      <c r="C10" s="15"/>
      <c r="D10" s="16"/>
      <c r="E10" s="206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 t="shared" ref="Q10:Q23" si="0"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23" si="1">D10*E10/1000</f>
        <v>0</v>
      </c>
      <c r="AB10" s="23">
        <f t="shared" ref="AB10:AB23" si="2">D10*F10/1000</f>
        <v>0</v>
      </c>
      <c r="AC10" s="23">
        <f t="shared" ref="AC10:AC23" si="3">D10*G10/1000</f>
        <v>0</v>
      </c>
      <c r="AD10" s="23">
        <f t="shared" ref="AD10:AD23" si="4">D10*H10/1000</f>
        <v>0</v>
      </c>
      <c r="AE10" s="23">
        <f t="shared" ref="AE10:AE23" si="5">D10*I10/1000</f>
        <v>0</v>
      </c>
      <c r="AF10" s="23">
        <f t="shared" ref="AF10:AF23" si="6">D10*J10/1000</f>
        <v>0</v>
      </c>
      <c r="AG10" s="23">
        <f t="shared" ref="AG10:AG23" si="7">D10*F10*$AV$9/1000</f>
        <v>0</v>
      </c>
      <c r="AH10" s="23">
        <f t="shared" ref="AH10:AH23" si="8">D10*G10*$AV$10/1000</f>
        <v>0</v>
      </c>
      <c r="AI10" s="23">
        <f t="shared" ref="AI10:AI23" si="9">D10*H10*$AV$11/1000</f>
        <v>0</v>
      </c>
      <c r="AJ10" s="23">
        <f t="shared" ref="AJ10:AJ23" si="10">D10*I10*$AV$12/1000</f>
        <v>0</v>
      </c>
      <c r="AK10" s="23">
        <f t="shared" ref="AK10:AK23" si="11">D10*J10*$AV$13/1000</f>
        <v>0</v>
      </c>
      <c r="AL10" s="23">
        <f t="shared" ref="AL10:AL23" si="12">D10*K10*M10/1000</f>
        <v>0</v>
      </c>
      <c r="AM10" s="23">
        <f t="shared" ref="AM10:AM23" si="13">D10*L10*N10/1000</f>
        <v>0</v>
      </c>
      <c r="AN10" s="24"/>
      <c r="AO10" s="23">
        <f t="shared" ref="AO10:AO23" si="14">D10*Q10/1000</f>
        <v>0</v>
      </c>
      <c r="AP10" s="23" t="e">
        <f>AO10/$AO$24</f>
        <v>#VALUE!</v>
      </c>
      <c r="AQ10" s="23" t="e">
        <f t="shared" ref="AQ10:AQ23" si="15">AO10/$AO$44</f>
        <v>#VALUE!</v>
      </c>
      <c r="AR10" s="23" t="e">
        <f t="shared" ref="AR10:AR23" si="16">AO10/$AO$45</f>
        <v>#VALUE!</v>
      </c>
      <c r="AS10" s="25"/>
      <c r="AU10" s="2" t="s">
        <v>122</v>
      </c>
      <c r="AV10" s="160">
        <v>28</v>
      </c>
    </row>
    <row r="11" spans="1:60" x14ac:dyDescent="0.25">
      <c r="A11" s="452"/>
      <c r="B11" s="26" t="str">
        <f>IF($AP11="","",_xlfn.XLOOKUP($AP11,tblScope11Stationary[RowId],tblScope11Stationary[ItemLabel],""))</f>
        <v/>
      </c>
      <c r="C11" s="15" t="str">
        <f>IF($AP11="","",_xlfn.XLOOKUP($AP11,tblScope11Stationary[RowId],tblScope11Stationary[Unit],""))</f>
        <v/>
      </c>
      <c r="D11" s="27" t="str">
        <f>IF($AP11="","",SUM(INDEX(tblScope11Stationary[[M1]:[M12]],MATCH($AP11,tblScope11Stationary[RowId],0),0)))</f>
        <v/>
      </c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 t="shared" si="0"/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 t="e">
        <f t="shared" si="1"/>
        <v>#VALUE!</v>
      </c>
      <c r="AB11" s="23" t="e">
        <f t="shared" si="2"/>
        <v>#VALUE!</v>
      </c>
      <c r="AC11" s="23" t="e">
        <f t="shared" si="3"/>
        <v>#VALUE!</v>
      </c>
      <c r="AD11" s="23" t="e">
        <f t="shared" si="4"/>
        <v>#VALUE!</v>
      </c>
      <c r="AE11" s="23" t="e">
        <f t="shared" si="5"/>
        <v>#VALUE!</v>
      </c>
      <c r="AF11" s="23" t="e">
        <f t="shared" si="6"/>
        <v>#VALUE!</v>
      </c>
      <c r="AG11" s="23" t="e">
        <f t="shared" si="7"/>
        <v>#VALUE!</v>
      </c>
      <c r="AH11" s="23" t="e">
        <f t="shared" si="8"/>
        <v>#VALUE!</v>
      </c>
      <c r="AI11" s="23" t="e">
        <f t="shared" si="9"/>
        <v>#VALUE!</v>
      </c>
      <c r="AJ11" s="23" t="e">
        <f t="shared" si="10"/>
        <v>#VALUE!</v>
      </c>
      <c r="AK11" s="23" t="e">
        <f t="shared" si="11"/>
        <v>#VALUE!</v>
      </c>
      <c r="AL11" s="23" t="e">
        <f t="shared" si="12"/>
        <v>#VALUE!</v>
      </c>
      <c r="AM11" s="23" t="e">
        <f t="shared" si="13"/>
        <v>#VALUE!</v>
      </c>
      <c r="AN11" s="24"/>
      <c r="AO11" s="23" t="e">
        <f t="shared" si="14"/>
        <v>#VALUE!</v>
      </c>
      <c r="AP11" s="23" t="str">
        <f>IFERROR(INDEX(_xlfn._xlws.FILTER(tblFR041Sel[RowId],tblFR041Sel[Include]=1),ROWS($AP$11:AP11)),"")</f>
        <v/>
      </c>
      <c r="AQ11" s="23" t="e">
        <f t="shared" si="15"/>
        <v>#VALUE!</v>
      </c>
      <c r="AR11" s="23" t="e">
        <f t="shared" si="16"/>
        <v>#VALUE!</v>
      </c>
      <c r="AS11" s="30"/>
      <c r="AT11" s="31"/>
      <c r="AU11" s="2" t="s">
        <v>123</v>
      </c>
      <c r="AV11" s="160">
        <v>265</v>
      </c>
    </row>
    <row r="12" spans="1:60" x14ac:dyDescent="0.25">
      <c r="A12" s="452"/>
      <c r="B12" s="26" t="str">
        <f>IF($AP12="","",_xlfn.XLOOKUP($AP12,tblScope11Stationary[RowId],tblScope11Stationary[ItemLabel],""))</f>
        <v/>
      </c>
      <c r="C12" s="15" t="str">
        <f>IF($AP12="","",_xlfn.XLOOKUP($AP12,tblScope11Stationary[RowId],tblScope11Stationary[Unit],""))</f>
        <v/>
      </c>
      <c r="D12" s="27" t="str">
        <f>IF($AP12="","",SUM(INDEX(tblScope11Stationary[[M1]:[M12]],MATCH($AP12,tblScope11Stationary[RowId],0),0)))</f>
        <v/>
      </c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si="0"/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 t="e">
        <f t="shared" si="1"/>
        <v>#VALUE!</v>
      </c>
      <c r="AB12" s="23" t="e">
        <f t="shared" si="2"/>
        <v>#VALUE!</v>
      </c>
      <c r="AC12" s="23" t="e">
        <f t="shared" si="3"/>
        <v>#VALUE!</v>
      </c>
      <c r="AD12" s="23" t="e">
        <f t="shared" si="4"/>
        <v>#VALUE!</v>
      </c>
      <c r="AE12" s="23" t="e">
        <f t="shared" si="5"/>
        <v>#VALUE!</v>
      </c>
      <c r="AF12" s="23" t="e">
        <f t="shared" si="6"/>
        <v>#VALUE!</v>
      </c>
      <c r="AG12" s="23" t="e">
        <f t="shared" si="7"/>
        <v>#VALUE!</v>
      </c>
      <c r="AH12" s="23" t="e">
        <f t="shared" si="8"/>
        <v>#VALUE!</v>
      </c>
      <c r="AI12" s="23" t="e">
        <f t="shared" si="9"/>
        <v>#VALUE!</v>
      </c>
      <c r="AJ12" s="23" t="e">
        <f t="shared" si="10"/>
        <v>#VALUE!</v>
      </c>
      <c r="AK12" s="23" t="e">
        <f t="shared" si="11"/>
        <v>#VALUE!</v>
      </c>
      <c r="AL12" s="23" t="e">
        <f t="shared" si="12"/>
        <v>#VALUE!</v>
      </c>
      <c r="AM12" s="23" t="e">
        <f t="shared" si="13"/>
        <v>#VALUE!</v>
      </c>
      <c r="AN12" s="24"/>
      <c r="AO12" s="23" t="e">
        <f t="shared" si="14"/>
        <v>#VALUE!</v>
      </c>
      <c r="AP12" s="23" t="str">
        <f>IFERROR(INDEX(_xlfn._xlws.FILTER(tblFR041Sel[RowId],tblFR041Sel[Include]=1),ROWS($AP$11:AP12)),"")</f>
        <v/>
      </c>
      <c r="AQ12" s="23" t="e">
        <f t="shared" si="15"/>
        <v>#VALUE!</v>
      </c>
      <c r="AR12" s="23" t="e">
        <f t="shared" si="16"/>
        <v>#VALUE!</v>
      </c>
      <c r="AS12" s="30"/>
      <c r="AT12" s="31"/>
      <c r="AU12" s="2" t="s">
        <v>124</v>
      </c>
      <c r="AV12" s="160">
        <v>23500</v>
      </c>
    </row>
    <row r="13" spans="1:60" x14ac:dyDescent="0.25">
      <c r="A13" s="452"/>
      <c r="B13" s="26" t="str">
        <f>IF($AP13="","",_xlfn.XLOOKUP($AP13,tblScope11Stationary[RowId],tblScope11Stationary[ItemLabel],""))</f>
        <v/>
      </c>
      <c r="C13" s="15" t="str">
        <f>IF($AP13="","",_xlfn.XLOOKUP($AP13,tblScope11Stationary[RowId],tblScope11Stationary[Unit],""))</f>
        <v/>
      </c>
      <c r="D13" s="27" t="str">
        <f>IF($AP13="","",SUM(INDEX(tblScope11Stationary[[M1]:[M12]],MATCH($AP13,tblScope11Stationary[RowId],0),0)))</f>
        <v/>
      </c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0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 t="e">
        <f t="shared" si="1"/>
        <v>#VALUE!</v>
      </c>
      <c r="AB13" s="23" t="e">
        <f t="shared" si="2"/>
        <v>#VALUE!</v>
      </c>
      <c r="AC13" s="23" t="e">
        <f t="shared" si="3"/>
        <v>#VALUE!</v>
      </c>
      <c r="AD13" s="23" t="e">
        <f t="shared" si="4"/>
        <v>#VALUE!</v>
      </c>
      <c r="AE13" s="23" t="e">
        <f t="shared" si="5"/>
        <v>#VALUE!</v>
      </c>
      <c r="AF13" s="23" t="e">
        <f t="shared" si="6"/>
        <v>#VALUE!</v>
      </c>
      <c r="AG13" s="23" t="e">
        <f t="shared" si="7"/>
        <v>#VALUE!</v>
      </c>
      <c r="AH13" s="23" t="e">
        <f t="shared" si="8"/>
        <v>#VALUE!</v>
      </c>
      <c r="AI13" s="23" t="e">
        <f t="shared" si="9"/>
        <v>#VALUE!</v>
      </c>
      <c r="AJ13" s="23" t="e">
        <f t="shared" si="10"/>
        <v>#VALUE!</v>
      </c>
      <c r="AK13" s="23" t="e">
        <f t="shared" si="11"/>
        <v>#VALUE!</v>
      </c>
      <c r="AL13" s="23" t="e">
        <f t="shared" si="12"/>
        <v>#VALUE!</v>
      </c>
      <c r="AM13" s="23" t="e">
        <f t="shared" si="13"/>
        <v>#VALUE!</v>
      </c>
      <c r="AN13" s="24"/>
      <c r="AO13" s="23" t="e">
        <f t="shared" si="14"/>
        <v>#VALUE!</v>
      </c>
      <c r="AP13" s="23" t="str">
        <f>IFERROR(INDEX(_xlfn._xlws.FILTER(tblFR041Sel[RowId],tblFR041Sel[Include]=1),ROWS($AP$11:AP13)),"")</f>
        <v/>
      </c>
      <c r="AQ13" s="23" t="e">
        <f t="shared" si="15"/>
        <v>#VALUE!</v>
      </c>
      <c r="AR13" s="23" t="e">
        <f t="shared" si="16"/>
        <v>#VALUE!</v>
      </c>
      <c r="AS13" s="30"/>
      <c r="AT13" s="31"/>
      <c r="AU13" s="2" t="s">
        <v>125</v>
      </c>
      <c r="AV13" s="160">
        <v>16100</v>
      </c>
    </row>
    <row r="14" spans="1:60" x14ac:dyDescent="0.25">
      <c r="A14" s="452"/>
      <c r="B14" s="14" t="str">
        <f>IF($AP14="","",_xlfn.XLOOKUP($AP14,tblScope11Stationary[RowId],tblScope11Stationary[ItemLabel],""))</f>
        <v/>
      </c>
      <c r="C14" s="15" t="str">
        <f>IF($AP14="","",_xlfn.XLOOKUP($AP14,tblScope11Stationary[RowId],tblScope11Stationary[Unit],""))</f>
        <v/>
      </c>
      <c r="D14" s="32" t="str">
        <f>IF($AP14="","",SUM(INDEX(tblScope11Stationary[[M1]:[M12]],MATCH($AP14,tblScope11Stationary[RowId],0),0)))</f>
        <v/>
      </c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0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 t="e">
        <f t="shared" si="1"/>
        <v>#VALUE!</v>
      </c>
      <c r="AB14" s="23" t="e">
        <f t="shared" si="2"/>
        <v>#VALUE!</v>
      </c>
      <c r="AC14" s="23" t="e">
        <f t="shared" si="3"/>
        <v>#VALUE!</v>
      </c>
      <c r="AD14" s="23" t="e">
        <f t="shared" si="4"/>
        <v>#VALUE!</v>
      </c>
      <c r="AE14" s="23" t="e">
        <f t="shared" si="5"/>
        <v>#VALUE!</v>
      </c>
      <c r="AF14" s="23" t="e">
        <f t="shared" si="6"/>
        <v>#VALUE!</v>
      </c>
      <c r="AG14" s="23" t="e">
        <f t="shared" si="7"/>
        <v>#VALUE!</v>
      </c>
      <c r="AH14" s="23" t="e">
        <f t="shared" si="8"/>
        <v>#VALUE!</v>
      </c>
      <c r="AI14" s="23" t="e">
        <f t="shared" si="9"/>
        <v>#VALUE!</v>
      </c>
      <c r="AJ14" s="23" t="e">
        <f t="shared" si="10"/>
        <v>#VALUE!</v>
      </c>
      <c r="AK14" s="23" t="e">
        <f t="shared" si="11"/>
        <v>#VALUE!</v>
      </c>
      <c r="AL14" s="23" t="e">
        <f t="shared" si="12"/>
        <v>#VALUE!</v>
      </c>
      <c r="AM14" s="23" t="e">
        <f t="shared" si="13"/>
        <v>#VALUE!</v>
      </c>
      <c r="AN14" s="24"/>
      <c r="AO14" s="23" t="e">
        <f t="shared" si="14"/>
        <v>#VALUE!</v>
      </c>
      <c r="AP14" s="23" t="str">
        <f>IFERROR(INDEX(_xlfn._xlws.FILTER(tblFR041Sel[RowId],tblFR041Sel[Include]=1),ROWS($AP$11:AP14)),"")</f>
        <v/>
      </c>
      <c r="AQ14" s="23" t="e">
        <f t="shared" si="15"/>
        <v>#VALUE!</v>
      </c>
      <c r="AR14" s="23" t="e">
        <f t="shared" si="16"/>
        <v>#VALUE!</v>
      </c>
      <c r="AS14" s="30"/>
      <c r="AT14" s="31"/>
    </row>
    <row r="15" spans="1:60" x14ac:dyDescent="0.25">
      <c r="A15" s="452"/>
      <c r="B15" s="26" t="str">
        <f>IF($AP15="","",_xlfn.XLOOKUP($AP15,tblScope11Stationary[RowId],tblScope11Stationary[ItemLabel],""))</f>
        <v/>
      </c>
      <c r="C15" s="15" t="str">
        <f>IF($AP15="","",_xlfn.XLOOKUP($AP15,tblScope11Stationary[RowId],tblScope11Stationary[Unit],""))</f>
        <v/>
      </c>
      <c r="D15" s="32" t="str">
        <f>IF($AP15="","",SUM(INDEX(tblScope11Stationary[[M1]:[M12]],MATCH($AP15,tblScope11Stationary[RowId],0),0)))</f>
        <v/>
      </c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0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 t="e">
        <f t="shared" si="1"/>
        <v>#VALUE!</v>
      </c>
      <c r="AB15" s="23" t="e">
        <f t="shared" si="2"/>
        <v>#VALUE!</v>
      </c>
      <c r="AC15" s="23" t="e">
        <f t="shared" si="3"/>
        <v>#VALUE!</v>
      </c>
      <c r="AD15" s="23" t="e">
        <f t="shared" si="4"/>
        <v>#VALUE!</v>
      </c>
      <c r="AE15" s="23" t="e">
        <f t="shared" si="5"/>
        <v>#VALUE!</v>
      </c>
      <c r="AF15" s="23" t="e">
        <f t="shared" si="6"/>
        <v>#VALUE!</v>
      </c>
      <c r="AG15" s="23" t="e">
        <f t="shared" si="7"/>
        <v>#VALUE!</v>
      </c>
      <c r="AH15" s="23" t="e">
        <f t="shared" si="8"/>
        <v>#VALUE!</v>
      </c>
      <c r="AI15" s="23" t="e">
        <f t="shared" si="9"/>
        <v>#VALUE!</v>
      </c>
      <c r="AJ15" s="23" t="e">
        <f t="shared" si="10"/>
        <v>#VALUE!</v>
      </c>
      <c r="AK15" s="23" t="e">
        <f t="shared" si="11"/>
        <v>#VALUE!</v>
      </c>
      <c r="AL15" s="23" t="e">
        <f t="shared" si="12"/>
        <v>#VALUE!</v>
      </c>
      <c r="AM15" s="23" t="e">
        <f t="shared" si="13"/>
        <v>#VALUE!</v>
      </c>
      <c r="AN15" s="24"/>
      <c r="AO15" s="23" t="e">
        <f t="shared" si="14"/>
        <v>#VALUE!</v>
      </c>
      <c r="AP15" s="23" t="str">
        <f>IFERROR(INDEX(_xlfn._xlws.FILTER(tblFR041Sel[RowId],tblFR041Sel[Include]=1),ROWS($AP$11:AP15)),"")</f>
        <v/>
      </c>
      <c r="AQ15" s="23" t="e">
        <f t="shared" si="15"/>
        <v>#VALUE!</v>
      </c>
      <c r="AR15" s="23" t="e">
        <f t="shared" si="16"/>
        <v>#VALUE!</v>
      </c>
      <c r="AS15" s="30"/>
      <c r="AT15" s="31"/>
    </row>
    <row r="16" spans="1:60" x14ac:dyDescent="0.25">
      <c r="A16" s="452"/>
      <c r="B16" s="26" t="str">
        <f>IF($AP16="","",_xlfn.XLOOKUP($AP16,tblScope11Stationary[RowId],tblScope11Stationary[ItemLabel],""))</f>
        <v/>
      </c>
      <c r="C16" s="15" t="str">
        <f>IF($AP16="","",_xlfn.XLOOKUP($AP16,tblScope11Stationary[RowId],tblScope11Stationary[Unit],""))</f>
        <v/>
      </c>
      <c r="D16" s="32" t="str">
        <f>IF($AP16="","",SUM(INDEX(tblScope11Stationary[[M1]:[M12]],MATCH($AP16,tblScope11Stationary[RowId],0),0)))</f>
        <v/>
      </c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3"/>
      <c r="Q16" s="22">
        <f t="shared" si="0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 t="e">
        <f t="shared" si="1"/>
        <v>#VALUE!</v>
      </c>
      <c r="AB16" s="23" t="e">
        <f t="shared" si="2"/>
        <v>#VALUE!</v>
      </c>
      <c r="AC16" s="23" t="e">
        <f t="shared" si="3"/>
        <v>#VALUE!</v>
      </c>
      <c r="AD16" s="23" t="e">
        <f t="shared" si="4"/>
        <v>#VALUE!</v>
      </c>
      <c r="AE16" s="23" t="e">
        <f t="shared" si="5"/>
        <v>#VALUE!</v>
      </c>
      <c r="AF16" s="23" t="e">
        <f t="shared" si="6"/>
        <v>#VALUE!</v>
      </c>
      <c r="AG16" s="23" t="e">
        <f t="shared" si="7"/>
        <v>#VALUE!</v>
      </c>
      <c r="AH16" s="23" t="e">
        <f t="shared" si="8"/>
        <v>#VALUE!</v>
      </c>
      <c r="AI16" s="23" t="e">
        <f t="shared" si="9"/>
        <v>#VALUE!</v>
      </c>
      <c r="AJ16" s="23" t="e">
        <f t="shared" si="10"/>
        <v>#VALUE!</v>
      </c>
      <c r="AK16" s="23" t="e">
        <f t="shared" si="11"/>
        <v>#VALUE!</v>
      </c>
      <c r="AL16" s="23" t="e">
        <f t="shared" si="12"/>
        <v>#VALUE!</v>
      </c>
      <c r="AM16" s="23" t="e">
        <f t="shared" si="13"/>
        <v>#VALUE!</v>
      </c>
      <c r="AN16" s="24"/>
      <c r="AO16" s="23" t="e">
        <f t="shared" si="14"/>
        <v>#VALUE!</v>
      </c>
      <c r="AP16" s="23" t="str">
        <f>IFERROR(INDEX(_xlfn._xlws.FILTER(tblFR041Sel[RowId],tblFR041Sel[Include]=1),ROWS($AP$11:AP16)),"")</f>
        <v/>
      </c>
      <c r="AQ16" s="23" t="e">
        <f t="shared" si="15"/>
        <v>#VALUE!</v>
      </c>
      <c r="AR16" s="23" t="e">
        <f t="shared" si="16"/>
        <v>#VALUE!</v>
      </c>
      <c r="AS16" s="30"/>
      <c r="AT16" s="31"/>
    </row>
    <row r="17" spans="1:47" x14ac:dyDescent="0.25">
      <c r="A17" s="452"/>
      <c r="B17" s="14" t="str">
        <f>IF($AP17="","",_xlfn.XLOOKUP($AP17,tblScope11Stationary[RowId],tblScope11Stationary[ItemLabel],""))</f>
        <v/>
      </c>
      <c r="C17" s="15" t="str">
        <f>IF($AP17="","",_xlfn.XLOOKUP($AP17,tblScope11Stationary[RowId],tblScope11Stationary[Unit],""))</f>
        <v/>
      </c>
      <c r="D17" s="32" t="str">
        <f>IF($AP17="","",SUM(INDEX(tblScope11Stationary[[M1]:[M12]],MATCH($AP17,tblScope11Stationary[RowId],0),0)))</f>
        <v/>
      </c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0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 t="e">
        <f t="shared" si="1"/>
        <v>#VALUE!</v>
      </c>
      <c r="AB17" s="23" t="e">
        <f t="shared" si="2"/>
        <v>#VALUE!</v>
      </c>
      <c r="AC17" s="23" t="e">
        <f t="shared" si="3"/>
        <v>#VALUE!</v>
      </c>
      <c r="AD17" s="23" t="e">
        <f t="shared" si="4"/>
        <v>#VALUE!</v>
      </c>
      <c r="AE17" s="23" t="e">
        <f t="shared" si="5"/>
        <v>#VALUE!</v>
      </c>
      <c r="AF17" s="23" t="e">
        <f t="shared" si="6"/>
        <v>#VALUE!</v>
      </c>
      <c r="AG17" s="23" t="e">
        <f t="shared" si="7"/>
        <v>#VALUE!</v>
      </c>
      <c r="AH17" s="23" t="e">
        <f t="shared" si="8"/>
        <v>#VALUE!</v>
      </c>
      <c r="AI17" s="23" t="e">
        <f t="shared" si="9"/>
        <v>#VALUE!</v>
      </c>
      <c r="AJ17" s="23" t="e">
        <f t="shared" si="10"/>
        <v>#VALUE!</v>
      </c>
      <c r="AK17" s="23" t="e">
        <f t="shared" si="11"/>
        <v>#VALUE!</v>
      </c>
      <c r="AL17" s="23" t="e">
        <f t="shared" si="12"/>
        <v>#VALUE!</v>
      </c>
      <c r="AM17" s="23" t="e">
        <f t="shared" si="13"/>
        <v>#VALUE!</v>
      </c>
      <c r="AN17" s="24"/>
      <c r="AO17" s="23" t="e">
        <f t="shared" si="14"/>
        <v>#VALUE!</v>
      </c>
      <c r="AP17" s="23" t="str">
        <f>IFERROR(INDEX(_xlfn._xlws.FILTER(tblFR041Sel[RowId],tblFR041Sel[Include]=1),ROWS($AP$11:AP17)),"")</f>
        <v/>
      </c>
      <c r="AQ17" s="23" t="e">
        <f t="shared" si="15"/>
        <v>#VALUE!</v>
      </c>
      <c r="AR17" s="23" t="e">
        <f t="shared" si="16"/>
        <v>#VALUE!</v>
      </c>
      <c r="AS17" s="30"/>
      <c r="AT17" s="31"/>
    </row>
    <row r="18" spans="1:47" x14ac:dyDescent="0.25">
      <c r="A18" s="452"/>
      <c r="B18" s="26" t="str">
        <f>IF($AP18="","",_xlfn.XLOOKUP($AP18,tblScope11Stationary[RowId],tblScope11Stationary[ItemLabel],""))</f>
        <v/>
      </c>
      <c r="C18" s="15" t="str">
        <f>IF($AP18="","",_xlfn.XLOOKUP($AP18,tblScope11Stationary[RowId],tblScope11Stationary[Unit],""))</f>
        <v/>
      </c>
      <c r="D18" s="32" t="str">
        <f>IF($AP18="","",SUM(INDEX(tblScope11Stationary[[M1]:[M12]],MATCH($AP18,tblScope11Stationary[RowId],0),0)))</f>
        <v/>
      </c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0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 t="e">
        <f t="shared" si="1"/>
        <v>#VALUE!</v>
      </c>
      <c r="AB18" s="23" t="e">
        <f t="shared" si="2"/>
        <v>#VALUE!</v>
      </c>
      <c r="AC18" s="23" t="e">
        <f t="shared" si="3"/>
        <v>#VALUE!</v>
      </c>
      <c r="AD18" s="23" t="e">
        <f t="shared" si="4"/>
        <v>#VALUE!</v>
      </c>
      <c r="AE18" s="23" t="e">
        <f t="shared" si="5"/>
        <v>#VALUE!</v>
      </c>
      <c r="AF18" s="23" t="e">
        <f t="shared" si="6"/>
        <v>#VALUE!</v>
      </c>
      <c r="AG18" s="23" t="e">
        <f t="shared" si="7"/>
        <v>#VALUE!</v>
      </c>
      <c r="AH18" s="23" t="e">
        <f t="shared" si="8"/>
        <v>#VALUE!</v>
      </c>
      <c r="AI18" s="23" t="e">
        <f t="shared" si="9"/>
        <v>#VALUE!</v>
      </c>
      <c r="AJ18" s="23" t="e">
        <f t="shared" si="10"/>
        <v>#VALUE!</v>
      </c>
      <c r="AK18" s="23" t="e">
        <f t="shared" si="11"/>
        <v>#VALUE!</v>
      </c>
      <c r="AL18" s="23" t="e">
        <f t="shared" si="12"/>
        <v>#VALUE!</v>
      </c>
      <c r="AM18" s="23" t="e">
        <f t="shared" si="13"/>
        <v>#VALUE!</v>
      </c>
      <c r="AN18" s="24"/>
      <c r="AO18" s="23" t="e">
        <f t="shared" si="14"/>
        <v>#VALUE!</v>
      </c>
      <c r="AP18" s="23" t="str">
        <f>IFERROR(INDEX(_xlfn._xlws.FILTER(tblFR041Sel[RowId],tblFR041Sel[Include]=1),ROWS($AP$11:AP18)),"")</f>
        <v/>
      </c>
      <c r="AQ18" s="23" t="e">
        <f t="shared" si="15"/>
        <v>#VALUE!</v>
      </c>
      <c r="AR18" s="23" t="e">
        <f t="shared" si="16"/>
        <v>#VALUE!</v>
      </c>
      <c r="AS18" s="30"/>
      <c r="AT18" s="31"/>
    </row>
    <row r="19" spans="1:47" x14ac:dyDescent="0.25">
      <c r="A19" s="452"/>
      <c r="B19" s="14" t="str">
        <f>IF($AP19="","",_xlfn.XLOOKUP($AP19,tblScope11Stationary[RowId],tblScope11Stationary[ItemLabel],""))</f>
        <v/>
      </c>
      <c r="C19" s="15" t="str">
        <f>IF($AP19="","",_xlfn.XLOOKUP($AP19,tblScope11Stationary[RowId],tblScope11Stationary[Unit],""))</f>
        <v/>
      </c>
      <c r="D19" s="32" t="str">
        <f>IF($AP19="","",SUM(INDEX(tblScope11Stationary[[M1]:[M12]],MATCH($AP19,tblScope11Stationary[RowId],0),0)))</f>
        <v/>
      </c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0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 t="e">
        <f t="shared" si="1"/>
        <v>#VALUE!</v>
      </c>
      <c r="AB19" s="23" t="e">
        <f t="shared" si="2"/>
        <v>#VALUE!</v>
      </c>
      <c r="AC19" s="23" t="e">
        <f t="shared" si="3"/>
        <v>#VALUE!</v>
      </c>
      <c r="AD19" s="23" t="e">
        <f t="shared" si="4"/>
        <v>#VALUE!</v>
      </c>
      <c r="AE19" s="23" t="e">
        <f t="shared" si="5"/>
        <v>#VALUE!</v>
      </c>
      <c r="AF19" s="23" t="e">
        <f t="shared" si="6"/>
        <v>#VALUE!</v>
      </c>
      <c r="AG19" s="23" t="e">
        <f t="shared" si="7"/>
        <v>#VALUE!</v>
      </c>
      <c r="AH19" s="23" t="e">
        <f t="shared" si="8"/>
        <v>#VALUE!</v>
      </c>
      <c r="AI19" s="23" t="e">
        <f t="shared" si="9"/>
        <v>#VALUE!</v>
      </c>
      <c r="AJ19" s="23" t="e">
        <f t="shared" si="10"/>
        <v>#VALUE!</v>
      </c>
      <c r="AK19" s="23" t="e">
        <f t="shared" si="11"/>
        <v>#VALUE!</v>
      </c>
      <c r="AL19" s="23" t="e">
        <f t="shared" si="12"/>
        <v>#VALUE!</v>
      </c>
      <c r="AM19" s="23" t="e">
        <f t="shared" si="13"/>
        <v>#VALUE!</v>
      </c>
      <c r="AN19" s="24"/>
      <c r="AO19" s="23" t="e">
        <f t="shared" si="14"/>
        <v>#VALUE!</v>
      </c>
      <c r="AP19" s="23" t="str">
        <f>IFERROR(INDEX(_xlfn._xlws.FILTER(tblFR041Sel[RowId],tblFR041Sel[Include]=1),ROWS($AP$11:AP19)),"")</f>
        <v/>
      </c>
      <c r="AQ19" s="23" t="e">
        <f t="shared" si="15"/>
        <v>#VALUE!</v>
      </c>
      <c r="AR19" s="23" t="e">
        <f t="shared" si="16"/>
        <v>#VALUE!</v>
      </c>
      <c r="AS19" s="30"/>
      <c r="AT19" s="31"/>
    </row>
    <row r="20" spans="1:47" x14ac:dyDescent="0.25">
      <c r="A20" s="452"/>
      <c r="B20" s="26" t="str">
        <f>IF($AP20="","",_xlfn.XLOOKUP($AP20,tblScope11Stationary[RowId],tblScope11Stationary[ItemLabel],""))</f>
        <v/>
      </c>
      <c r="C20" s="15" t="str">
        <f>IF($AP20="","",_xlfn.XLOOKUP($AP20,tblScope11Stationary[RowId],tblScope11Stationary[Unit],""))</f>
        <v/>
      </c>
      <c r="D20" s="27" t="str">
        <f>IF($AP20="","",SUM(INDEX(tblScope11Stationary[[M1]:[M12]],MATCH($AP20,tblScope11Stationary[RowId],0),0)))</f>
        <v/>
      </c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0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 t="e">
        <f t="shared" si="1"/>
        <v>#VALUE!</v>
      </c>
      <c r="AB20" s="23" t="e">
        <f t="shared" si="2"/>
        <v>#VALUE!</v>
      </c>
      <c r="AC20" s="23" t="e">
        <f t="shared" si="3"/>
        <v>#VALUE!</v>
      </c>
      <c r="AD20" s="23" t="e">
        <f t="shared" si="4"/>
        <v>#VALUE!</v>
      </c>
      <c r="AE20" s="23" t="e">
        <f t="shared" si="5"/>
        <v>#VALUE!</v>
      </c>
      <c r="AF20" s="23" t="e">
        <f t="shared" si="6"/>
        <v>#VALUE!</v>
      </c>
      <c r="AG20" s="23" t="e">
        <f t="shared" si="7"/>
        <v>#VALUE!</v>
      </c>
      <c r="AH20" s="23" t="e">
        <f t="shared" si="8"/>
        <v>#VALUE!</v>
      </c>
      <c r="AI20" s="23" t="e">
        <f t="shared" si="9"/>
        <v>#VALUE!</v>
      </c>
      <c r="AJ20" s="23" t="e">
        <f t="shared" si="10"/>
        <v>#VALUE!</v>
      </c>
      <c r="AK20" s="23" t="e">
        <f t="shared" si="11"/>
        <v>#VALUE!</v>
      </c>
      <c r="AL20" s="23" t="e">
        <f t="shared" si="12"/>
        <v>#VALUE!</v>
      </c>
      <c r="AM20" s="23" t="e">
        <f t="shared" si="13"/>
        <v>#VALUE!</v>
      </c>
      <c r="AN20" s="24"/>
      <c r="AO20" s="23" t="e">
        <f t="shared" si="14"/>
        <v>#VALUE!</v>
      </c>
      <c r="AP20" s="23" t="str">
        <f>IFERROR(INDEX(_xlfn._xlws.FILTER(tblFR041Sel[RowId],tblFR041Sel[Include]=1),ROWS($AP$11:AP20)),"")</f>
        <v/>
      </c>
      <c r="AQ20" s="23" t="e">
        <f t="shared" si="15"/>
        <v>#VALUE!</v>
      </c>
      <c r="AR20" s="23" t="e">
        <f t="shared" si="16"/>
        <v>#VALUE!</v>
      </c>
      <c r="AS20" s="30"/>
      <c r="AT20" s="31"/>
    </row>
    <row r="21" spans="1:47" x14ac:dyDescent="0.25">
      <c r="A21" s="452"/>
      <c r="B21" s="26" t="str">
        <f>IF($AP21="","",_xlfn.XLOOKUP($AP21,tblScope11Stationary[RowId],tblScope11Stationary[ItemLabel],""))</f>
        <v/>
      </c>
      <c r="C21" s="15" t="str">
        <f>IF($AP21="","",_xlfn.XLOOKUP($AP21,tblScope11Stationary[RowId],tblScope11Stationary[Unit],""))</f>
        <v/>
      </c>
      <c r="D21" s="27" t="str">
        <f>IF($AP21="","",SUM(INDEX(tblScope11Stationary[[M1]:[M12]],MATCH($AP21,tblScope11Stationary[RowId],0),0)))</f>
        <v/>
      </c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0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 t="e">
        <f t="shared" si="1"/>
        <v>#VALUE!</v>
      </c>
      <c r="AB21" s="23" t="e">
        <f t="shared" si="2"/>
        <v>#VALUE!</v>
      </c>
      <c r="AC21" s="23" t="e">
        <f t="shared" si="3"/>
        <v>#VALUE!</v>
      </c>
      <c r="AD21" s="23" t="e">
        <f t="shared" si="4"/>
        <v>#VALUE!</v>
      </c>
      <c r="AE21" s="23" t="e">
        <f t="shared" si="5"/>
        <v>#VALUE!</v>
      </c>
      <c r="AF21" s="23" t="e">
        <f t="shared" si="6"/>
        <v>#VALUE!</v>
      </c>
      <c r="AG21" s="23" t="e">
        <f t="shared" si="7"/>
        <v>#VALUE!</v>
      </c>
      <c r="AH21" s="23" t="e">
        <f t="shared" si="8"/>
        <v>#VALUE!</v>
      </c>
      <c r="AI21" s="23" t="e">
        <f t="shared" si="9"/>
        <v>#VALUE!</v>
      </c>
      <c r="AJ21" s="23" t="e">
        <f t="shared" si="10"/>
        <v>#VALUE!</v>
      </c>
      <c r="AK21" s="23" t="e">
        <f t="shared" si="11"/>
        <v>#VALUE!</v>
      </c>
      <c r="AL21" s="23" t="e">
        <f t="shared" si="12"/>
        <v>#VALUE!</v>
      </c>
      <c r="AM21" s="23" t="e">
        <f t="shared" si="13"/>
        <v>#VALUE!</v>
      </c>
      <c r="AN21" s="24"/>
      <c r="AO21" s="23" t="e">
        <f t="shared" si="14"/>
        <v>#VALUE!</v>
      </c>
      <c r="AP21" s="23" t="str">
        <f>IFERROR(INDEX(_xlfn._xlws.FILTER(tblFR041Sel[RowId],tblFR041Sel[Include]=1),ROWS($AP$11:AP21)),"")</f>
        <v/>
      </c>
      <c r="AQ21" s="23" t="e">
        <f t="shared" si="15"/>
        <v>#VALUE!</v>
      </c>
      <c r="AR21" s="23" t="e">
        <f t="shared" si="16"/>
        <v>#VALUE!</v>
      </c>
      <c r="AS21" s="30"/>
      <c r="AT21" s="31"/>
    </row>
    <row r="22" spans="1:47" x14ac:dyDescent="0.25">
      <c r="A22" s="452"/>
      <c r="B22" s="26" t="str">
        <f>IF($AP22="","",_xlfn.XLOOKUP($AP22,tblScope11Stationary[RowId],tblScope11Stationary[ItemLabel],""))</f>
        <v/>
      </c>
      <c r="C22" s="15" t="str">
        <f>IF($AP22="","",_xlfn.XLOOKUP($AP22,tblScope11Stationary[RowId],tblScope11Stationary[Unit],""))</f>
        <v/>
      </c>
      <c r="D22" s="27" t="str">
        <f>IF($AP22="","",SUM(INDEX(tblScope11Stationary[[M1]:[M12]],MATCH($AP22,tblScope11Stationary[RowId],0),0)))</f>
        <v/>
      </c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0"/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 t="e">
        <f t="shared" si="1"/>
        <v>#VALUE!</v>
      </c>
      <c r="AB22" s="23" t="e">
        <f t="shared" si="2"/>
        <v>#VALUE!</v>
      </c>
      <c r="AC22" s="23" t="e">
        <f t="shared" si="3"/>
        <v>#VALUE!</v>
      </c>
      <c r="AD22" s="23" t="e">
        <f t="shared" si="4"/>
        <v>#VALUE!</v>
      </c>
      <c r="AE22" s="23" t="e">
        <f t="shared" si="5"/>
        <v>#VALUE!</v>
      </c>
      <c r="AF22" s="23" t="e">
        <f t="shared" si="6"/>
        <v>#VALUE!</v>
      </c>
      <c r="AG22" s="23" t="e">
        <f t="shared" si="7"/>
        <v>#VALUE!</v>
      </c>
      <c r="AH22" s="23" t="e">
        <f t="shared" si="8"/>
        <v>#VALUE!</v>
      </c>
      <c r="AI22" s="23" t="e">
        <f t="shared" si="9"/>
        <v>#VALUE!</v>
      </c>
      <c r="AJ22" s="23" t="e">
        <f t="shared" si="10"/>
        <v>#VALUE!</v>
      </c>
      <c r="AK22" s="23" t="e">
        <f t="shared" si="11"/>
        <v>#VALUE!</v>
      </c>
      <c r="AL22" s="23" t="e">
        <f t="shared" si="12"/>
        <v>#VALUE!</v>
      </c>
      <c r="AM22" s="23" t="e">
        <f t="shared" si="13"/>
        <v>#VALUE!</v>
      </c>
      <c r="AN22" s="24"/>
      <c r="AO22" s="23" t="e">
        <f t="shared" si="14"/>
        <v>#VALUE!</v>
      </c>
      <c r="AP22" s="23" t="str">
        <f>IFERROR(INDEX(_xlfn._xlws.FILTER(tblFR041Sel[RowId],tblFR041Sel[Include]=1),ROWS($AP$11:AP22)),"")</f>
        <v/>
      </c>
      <c r="AQ22" s="23" t="e">
        <f t="shared" si="15"/>
        <v>#VALUE!</v>
      </c>
      <c r="AR22" s="23" t="e">
        <f t="shared" si="16"/>
        <v>#VALUE!</v>
      </c>
      <c r="AS22" s="34"/>
      <c r="AT22" s="31"/>
    </row>
    <row r="23" spans="1:47" x14ac:dyDescent="0.25">
      <c r="A23" s="452"/>
      <c r="B23" s="26" t="str">
        <f>IF($AP23="","",_xlfn.XLOOKUP($AP23,tblScope11Stationary[RowId],tblScope11Stationary[ItemLabel],""))</f>
        <v/>
      </c>
      <c r="C23" s="15" t="str">
        <f>IF($AP23="","",_xlfn.XLOOKUP($AP23,tblScope11Stationary[RowId],tblScope11Stationary[Unit],""))</f>
        <v/>
      </c>
      <c r="D23" s="35" t="str">
        <f>IF($AP23="","",SUM(INDEX(tblScope11Stationary[[M1]:[M12]],MATCH($AP23,tblScope11Stationary[RowId],0),0)))</f>
        <v/>
      </c>
      <c r="E23" s="36"/>
      <c r="F23" s="36"/>
      <c r="G23" s="36"/>
      <c r="H23" s="36"/>
      <c r="I23" s="36"/>
      <c r="J23" s="36"/>
      <c r="K23" s="36"/>
      <c r="L23" s="36"/>
      <c r="M23" s="18"/>
      <c r="N23" s="37"/>
      <c r="O23" s="29"/>
      <c r="P23" s="21"/>
      <c r="Q23" s="22">
        <f t="shared" si="0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 t="e">
        <f t="shared" si="1"/>
        <v>#VALUE!</v>
      </c>
      <c r="AB23" s="23" t="e">
        <f t="shared" si="2"/>
        <v>#VALUE!</v>
      </c>
      <c r="AC23" s="23" t="e">
        <f t="shared" si="3"/>
        <v>#VALUE!</v>
      </c>
      <c r="AD23" s="23" t="e">
        <f t="shared" si="4"/>
        <v>#VALUE!</v>
      </c>
      <c r="AE23" s="23" t="e">
        <f t="shared" si="5"/>
        <v>#VALUE!</v>
      </c>
      <c r="AF23" s="23" t="e">
        <f t="shared" si="6"/>
        <v>#VALUE!</v>
      </c>
      <c r="AG23" s="23" t="e">
        <f t="shared" si="7"/>
        <v>#VALUE!</v>
      </c>
      <c r="AH23" s="23" t="e">
        <f t="shared" si="8"/>
        <v>#VALUE!</v>
      </c>
      <c r="AI23" s="23" t="e">
        <f t="shared" si="9"/>
        <v>#VALUE!</v>
      </c>
      <c r="AJ23" s="23" t="e">
        <f t="shared" si="10"/>
        <v>#VALUE!</v>
      </c>
      <c r="AK23" s="23" t="e">
        <f t="shared" si="11"/>
        <v>#VALUE!</v>
      </c>
      <c r="AL23" s="23" t="e">
        <f t="shared" si="12"/>
        <v>#VALUE!</v>
      </c>
      <c r="AM23" s="23" t="e">
        <f t="shared" si="13"/>
        <v>#VALUE!</v>
      </c>
      <c r="AN23" s="24"/>
      <c r="AO23" s="23" t="e">
        <f t="shared" si="14"/>
        <v>#VALUE!</v>
      </c>
      <c r="AP23" s="23" t="str">
        <f>IFERROR(INDEX(_xlfn._xlws.FILTER(tblFR041Sel[RowId],tblFR041Sel[Include]=1),ROWS($AP$11:AP23)),"")</f>
        <v/>
      </c>
      <c r="AQ23" s="23" t="e">
        <f t="shared" si="15"/>
        <v>#VALUE!</v>
      </c>
      <c r="AR23" s="23" t="e">
        <f t="shared" si="16"/>
        <v>#VALUE!</v>
      </c>
      <c r="AS23" s="25"/>
      <c r="AT23" s="31"/>
    </row>
    <row r="24" spans="1:47" x14ac:dyDescent="0.25">
      <c r="A24" s="453"/>
      <c r="B24" s="38" t="str">
        <f>IF($AP24="","",_xlfn.XLOOKUP($AP24,tblScope11Stationary[RowId],tblScope11Stationary[ItemLabel],""))</f>
        <v/>
      </c>
      <c r="C24" s="39" t="str">
        <f>IF($AP24="","",_xlfn.XLOOKUP($AP24,tblScope11Stationary[RowId],tblScope11Stationary[Unit],""))</f>
        <v/>
      </c>
      <c r="D24" s="40" t="str">
        <f>IF($AP24="","",SUM(INDEX(tblScope11Stationary[[M1]:[M12]],MATCH($AP24,tblScope11Stationary[RowId],0),0)))</f>
        <v/>
      </c>
      <c r="E24" s="454"/>
      <c r="F24" s="455"/>
      <c r="G24" s="455"/>
      <c r="H24" s="455"/>
      <c r="I24" s="455"/>
      <c r="J24" s="455"/>
      <c r="K24" s="455"/>
      <c r="L24" s="455"/>
      <c r="M24" s="455"/>
      <c r="N24" s="455"/>
      <c r="O24" s="455"/>
      <c r="P24" s="455"/>
      <c r="Q24" s="456"/>
      <c r="R24" s="107"/>
      <c r="S24" s="107"/>
      <c r="T24" s="107"/>
      <c r="U24" s="107"/>
      <c r="V24" s="107"/>
      <c r="W24" s="107"/>
      <c r="X24" s="107"/>
      <c r="Y24" s="107"/>
      <c r="Z24" s="107"/>
      <c r="AA24" s="41" t="e">
        <f t="shared" ref="AA24:AO24" si="17">SUM(AA10:AA23)</f>
        <v>#VALUE!</v>
      </c>
      <c r="AB24" s="41" t="e">
        <f t="shared" si="17"/>
        <v>#VALUE!</v>
      </c>
      <c r="AC24" s="41" t="e">
        <f t="shared" si="17"/>
        <v>#VALUE!</v>
      </c>
      <c r="AD24" s="41" t="e">
        <f t="shared" si="17"/>
        <v>#VALUE!</v>
      </c>
      <c r="AE24" s="41" t="e">
        <f t="shared" si="17"/>
        <v>#VALUE!</v>
      </c>
      <c r="AF24" s="41" t="e">
        <f t="shared" si="17"/>
        <v>#VALUE!</v>
      </c>
      <c r="AG24" s="41" t="e">
        <f t="shared" si="17"/>
        <v>#VALUE!</v>
      </c>
      <c r="AH24" s="41" t="e">
        <f t="shared" si="17"/>
        <v>#VALUE!</v>
      </c>
      <c r="AI24" s="41" t="e">
        <f t="shared" si="17"/>
        <v>#VALUE!</v>
      </c>
      <c r="AJ24" s="41" t="e">
        <f t="shared" si="17"/>
        <v>#VALUE!</v>
      </c>
      <c r="AK24" s="41" t="e">
        <f t="shared" si="17"/>
        <v>#VALUE!</v>
      </c>
      <c r="AL24" s="41" t="e">
        <f t="shared" si="17"/>
        <v>#VALUE!</v>
      </c>
      <c r="AM24" s="41" t="e">
        <f t="shared" si="17"/>
        <v>#VALUE!</v>
      </c>
      <c r="AN24" s="41">
        <f t="shared" si="17"/>
        <v>0</v>
      </c>
      <c r="AO24" s="41" t="e">
        <f t="shared" si="17"/>
        <v>#VALUE!</v>
      </c>
      <c r="AP24" s="41" t="str">
        <f>IFERROR(INDEX(_xlfn._xlws.FILTER(tblFR041Sel[RowId],tblFR041Sel[Include]=1),ROWS($AP$11:AP24)),"")</f>
        <v/>
      </c>
      <c r="AQ24" s="41"/>
      <c r="AR24" s="41"/>
      <c r="AS24" s="42"/>
    </row>
    <row r="25" spans="1:47" x14ac:dyDescent="0.25">
      <c r="A25" s="468" t="s">
        <v>127</v>
      </c>
      <c r="B25" s="43"/>
      <c r="C25" s="44"/>
      <c r="D25" s="45"/>
      <c r="E25" s="17"/>
      <c r="F25" s="46"/>
      <c r="G25" s="47"/>
      <c r="H25" s="47"/>
      <c r="I25" s="47"/>
      <c r="J25" s="47"/>
      <c r="K25" s="47"/>
      <c r="L25" s="47"/>
      <c r="M25" s="47"/>
      <c r="N25" s="48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49"/>
      <c r="AC25" s="50"/>
      <c r="AD25" s="50"/>
      <c r="AE25" s="50"/>
      <c r="AF25" s="50"/>
      <c r="AG25" s="49"/>
      <c r="AH25" s="50"/>
      <c r="AI25" s="50"/>
      <c r="AJ25" s="50"/>
      <c r="AK25" s="50"/>
      <c r="AL25" s="50"/>
      <c r="AM25" s="50"/>
      <c r="AN25" s="23">
        <f>D25*O25*P25/1000</f>
        <v>0</v>
      </c>
      <c r="AO25" s="23">
        <f>D25*Q25/1000</f>
        <v>0</v>
      </c>
      <c r="AP25" s="23" t="e">
        <f>AO25/$AO$30</f>
        <v>#DIV/0!</v>
      </c>
      <c r="AQ25" s="23"/>
      <c r="AR25" s="23"/>
      <c r="AS25" s="30"/>
    </row>
    <row r="26" spans="1:47" x14ac:dyDescent="0.25">
      <c r="A26" s="469"/>
      <c r="B26" s="51"/>
      <c r="C26" s="52"/>
      <c r="D26" s="53"/>
      <c r="E26" s="19"/>
      <c r="F26" s="33"/>
      <c r="G26" s="21"/>
      <c r="H26" s="21"/>
      <c r="I26" s="21"/>
      <c r="J26" s="21"/>
      <c r="K26" s="21"/>
      <c r="L26" s="21"/>
      <c r="M26" s="21"/>
      <c r="N26" s="54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5"/>
      <c r="AC26" s="56"/>
      <c r="AD26" s="56"/>
      <c r="AE26" s="56"/>
      <c r="AF26" s="56"/>
      <c r="AG26" s="55"/>
      <c r="AH26" s="56"/>
      <c r="AI26" s="56"/>
      <c r="AJ26" s="56"/>
      <c r="AK26" s="56"/>
      <c r="AL26" s="56"/>
      <c r="AM26" s="56"/>
      <c r="AN26" s="23">
        <f>D26*O26*P26/1000</f>
        <v>0</v>
      </c>
      <c r="AO26" s="23">
        <f>D26*Q26/1000</f>
        <v>0</v>
      </c>
      <c r="AP26" s="23" t="e">
        <f>AO26/$AO$30</f>
        <v>#DIV/0!</v>
      </c>
      <c r="AQ26" s="142"/>
      <c r="AR26" s="142"/>
      <c r="AS26" s="57"/>
    </row>
    <row r="27" spans="1:47" x14ac:dyDescent="0.25">
      <c r="A27" s="469"/>
      <c r="B27" s="51"/>
      <c r="C27" s="52"/>
      <c r="D27" s="53"/>
      <c r="E27" s="19"/>
      <c r="F27" s="33"/>
      <c r="G27" s="21"/>
      <c r="H27" s="21"/>
      <c r="I27" s="21"/>
      <c r="J27" s="21"/>
      <c r="K27" s="21"/>
      <c r="L27" s="21"/>
      <c r="M27" s="21"/>
      <c r="N27" s="54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5"/>
      <c r="AC27" s="56"/>
      <c r="AD27" s="56"/>
      <c r="AE27" s="56"/>
      <c r="AF27" s="56"/>
      <c r="AG27" s="55"/>
      <c r="AH27" s="56"/>
      <c r="AI27" s="56"/>
      <c r="AJ27" s="56"/>
      <c r="AK27" s="56"/>
      <c r="AL27" s="56"/>
      <c r="AM27" s="56"/>
      <c r="AN27" s="23">
        <f>D27*O27*P27/1000</f>
        <v>0</v>
      </c>
      <c r="AO27" s="23">
        <f>D27*Q27/1000</f>
        <v>0</v>
      </c>
      <c r="AP27" s="23" t="e">
        <f>AO27/$AO$30</f>
        <v>#DIV/0!</v>
      </c>
      <c r="AQ27" s="142"/>
      <c r="AR27" s="142"/>
      <c r="AS27" s="57"/>
    </row>
    <row r="28" spans="1:47" x14ac:dyDescent="0.25">
      <c r="A28" s="469"/>
      <c r="B28" s="51"/>
      <c r="C28" s="58"/>
      <c r="D28" s="53"/>
      <c r="E28" s="59"/>
      <c r="F28" s="33"/>
      <c r="G28" s="21"/>
      <c r="H28" s="21"/>
      <c r="I28" s="21"/>
      <c r="J28" s="21"/>
      <c r="K28" s="21"/>
      <c r="L28" s="21"/>
      <c r="M28" s="60"/>
      <c r="N28" s="54"/>
      <c r="O28" s="28"/>
      <c r="P28" s="53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5"/>
      <c r="AC28" s="56"/>
      <c r="AD28" s="56"/>
      <c r="AE28" s="56"/>
      <c r="AF28" s="56"/>
      <c r="AG28" s="55"/>
      <c r="AH28" s="56"/>
      <c r="AI28" s="56"/>
      <c r="AJ28" s="56"/>
      <c r="AK28" s="56"/>
      <c r="AL28" s="56"/>
      <c r="AM28" s="56"/>
      <c r="AN28" s="23">
        <f>D28*O28*P28/1000</f>
        <v>0</v>
      </c>
      <c r="AO28" s="23">
        <f>D28*Q28/1000</f>
        <v>0</v>
      </c>
      <c r="AP28" s="23" t="e">
        <f>AO28/$AO$30</f>
        <v>#DIV/0!</v>
      </c>
      <c r="AQ28" s="142"/>
      <c r="AR28" s="142"/>
      <c r="AS28" s="61"/>
      <c r="AT28" s="31"/>
    </row>
    <row r="29" spans="1:47" x14ac:dyDescent="0.25">
      <c r="A29" s="469"/>
      <c r="B29" s="51"/>
      <c r="C29" s="58"/>
      <c r="D29" s="53"/>
      <c r="E29" s="59"/>
      <c r="F29" s="62"/>
      <c r="G29" s="63"/>
      <c r="H29" s="63"/>
      <c r="I29" s="63"/>
      <c r="J29" s="63"/>
      <c r="K29" s="63"/>
      <c r="L29" s="63"/>
      <c r="M29" s="64"/>
      <c r="N29" s="65"/>
      <c r="O29" s="36"/>
      <c r="P29" s="66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7"/>
      <c r="AC29" s="68"/>
      <c r="AD29" s="68"/>
      <c r="AE29" s="68"/>
      <c r="AF29" s="68"/>
      <c r="AG29" s="67"/>
      <c r="AH29" s="68"/>
      <c r="AI29" s="68"/>
      <c r="AJ29" s="68"/>
      <c r="AK29" s="68"/>
      <c r="AL29" s="68"/>
      <c r="AM29" s="68"/>
      <c r="AN29" s="23">
        <f>D29*O29*P29/1000</f>
        <v>0</v>
      </c>
      <c r="AO29" s="23">
        <f>D29*Q29/1000</f>
        <v>0</v>
      </c>
      <c r="AP29" s="23" t="e">
        <f>AO29/$AO$30</f>
        <v>#DIV/0!</v>
      </c>
      <c r="AQ29" s="142"/>
      <c r="AR29" s="142"/>
      <c r="AS29" s="61"/>
      <c r="AT29" s="31"/>
    </row>
    <row r="30" spans="1:47" x14ac:dyDescent="0.25">
      <c r="A30" s="470"/>
      <c r="B30" s="471"/>
      <c r="C30" s="472"/>
      <c r="D30" s="472"/>
      <c r="E30" s="472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2"/>
      <c r="Q30" s="473"/>
      <c r="R30" s="108"/>
      <c r="S30" s="108"/>
      <c r="T30" s="108"/>
      <c r="U30" s="108"/>
      <c r="V30" s="108"/>
      <c r="W30" s="108"/>
      <c r="X30" s="108"/>
      <c r="Y30" s="108"/>
      <c r="Z30" s="108"/>
      <c r="AA30" s="69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69">
        <f>SUM(AO25:AO29)</f>
        <v>0</v>
      </c>
      <c r="AP30" s="143" t="e">
        <f>SUM(AP25:AP29)</f>
        <v>#DIV/0!</v>
      </c>
      <c r="AQ30" s="143"/>
      <c r="AR30" s="143"/>
      <c r="AS30" s="71"/>
      <c r="AT30" s="31"/>
    </row>
    <row r="31" spans="1:47" x14ac:dyDescent="0.25">
      <c r="A31" s="451" t="s">
        <v>128</v>
      </c>
      <c r="B31" s="72"/>
      <c r="C31" s="15"/>
      <c r="D31" s="73"/>
      <c r="E31" s="474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6"/>
      <c r="Q31" s="17"/>
      <c r="R31" s="28"/>
      <c r="S31" s="28"/>
      <c r="T31" s="28"/>
      <c r="U31" s="28"/>
      <c r="V31" s="28"/>
      <c r="W31" s="28"/>
      <c r="X31" s="28"/>
      <c r="Y31" s="28"/>
      <c r="Z31" s="28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  <c r="AM31" s="483"/>
      <c r="AN31" s="484"/>
      <c r="AO31" s="23">
        <f>D31*Q31/1000</f>
        <v>0</v>
      </c>
      <c r="AP31" s="23" t="e">
        <f>AO31/$AO$35</f>
        <v>#DIV/0!</v>
      </c>
      <c r="AQ31" s="23" t="e">
        <f>AO31/$AO$44</f>
        <v>#VALUE!</v>
      </c>
      <c r="AR31" s="23" t="e">
        <f>AO31/$AO$45</f>
        <v>#VALUE!</v>
      </c>
      <c r="AS31" s="25"/>
      <c r="AU31" s="74"/>
    </row>
    <row r="32" spans="1:47" x14ac:dyDescent="0.25">
      <c r="A32" s="452"/>
      <c r="B32" s="72"/>
      <c r="C32" s="15"/>
      <c r="D32" s="27"/>
      <c r="E32" s="477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9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5"/>
      <c r="AB32" s="485"/>
      <c r="AC32" s="485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6"/>
      <c r="AO32" s="23">
        <f>D32*Q32/1000</f>
        <v>0</v>
      </c>
      <c r="AP32" s="23" t="e">
        <f>AO32/$AO$35</f>
        <v>#DIV/0!</v>
      </c>
      <c r="AQ32" s="23" t="e">
        <f>AO32/$AO$44</f>
        <v>#VALUE!</v>
      </c>
      <c r="AR32" s="23" t="e">
        <f>AO32/$AO$45</f>
        <v>#VALUE!</v>
      </c>
      <c r="AS32" s="30"/>
      <c r="AT32" s="31"/>
      <c r="AU32" s="75"/>
    </row>
    <row r="33" spans="1:47" x14ac:dyDescent="0.25">
      <c r="A33" s="452"/>
      <c r="B33" s="72"/>
      <c r="C33" s="15"/>
      <c r="D33" s="27"/>
      <c r="E33" s="477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9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485"/>
      <c r="AB33" s="485"/>
      <c r="AC33" s="485"/>
      <c r="AD33" s="485"/>
      <c r="AE33" s="485"/>
      <c r="AF33" s="485"/>
      <c r="AG33" s="485"/>
      <c r="AH33" s="485"/>
      <c r="AI33" s="485"/>
      <c r="AJ33" s="485"/>
      <c r="AK33" s="485"/>
      <c r="AL33" s="485"/>
      <c r="AM33" s="485"/>
      <c r="AN33" s="486"/>
      <c r="AO33" s="23">
        <f>D33*Q33/1000</f>
        <v>0</v>
      </c>
      <c r="AP33" s="23" t="e">
        <f>AO33/$AO$35</f>
        <v>#DIV/0!</v>
      </c>
      <c r="AQ33" s="23" t="e">
        <f>AO33/$AO$44</f>
        <v>#VALUE!</v>
      </c>
      <c r="AR33" s="23" t="e">
        <f>AO33/$AO$45</f>
        <v>#VALUE!</v>
      </c>
      <c r="AS33" s="25"/>
    </row>
    <row r="34" spans="1:47" x14ac:dyDescent="0.25">
      <c r="A34" s="452"/>
      <c r="B34" s="72"/>
      <c r="C34" s="15"/>
      <c r="D34" s="76"/>
      <c r="E34" s="480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2"/>
      <c r="Q34" s="36"/>
      <c r="R34" s="28"/>
      <c r="S34" s="28"/>
      <c r="T34" s="28"/>
      <c r="U34" s="28"/>
      <c r="V34" s="28"/>
      <c r="W34" s="28"/>
      <c r="X34" s="28"/>
      <c r="Y34" s="28"/>
      <c r="Z34" s="28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8"/>
      <c r="AO34" s="23"/>
      <c r="AP34" s="23" t="e">
        <f>AO34/$AO$35</f>
        <v>#DIV/0!</v>
      </c>
      <c r="AQ34" s="23" t="e">
        <f>AO34/$AO$44</f>
        <v>#VALUE!</v>
      </c>
      <c r="AR34" s="23" t="e">
        <f>AO34/$AO$45</f>
        <v>#VALUE!</v>
      </c>
      <c r="AS34" s="25"/>
      <c r="AU34" s="77"/>
    </row>
    <row r="35" spans="1:47" x14ac:dyDescent="0.25">
      <c r="A35" s="453"/>
      <c r="B35" s="489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491"/>
      <c r="R35" s="110"/>
      <c r="S35" s="110"/>
      <c r="T35" s="110"/>
      <c r="U35" s="110"/>
      <c r="V35" s="110"/>
      <c r="W35" s="110"/>
      <c r="X35" s="110"/>
      <c r="Y35" s="110"/>
      <c r="Z35" s="110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>
        <f>SUM(AO31:AO34)</f>
        <v>0</v>
      </c>
      <c r="AP35" s="69" t="e">
        <f>SUM(AP31:AP34)</f>
        <v>#DIV/0!</v>
      </c>
      <c r="AQ35" s="69"/>
      <c r="AR35" s="69"/>
      <c r="AS35" s="78"/>
    </row>
    <row r="36" spans="1:47" x14ac:dyDescent="0.25">
      <c r="A36" s="451" t="s">
        <v>129</v>
      </c>
      <c r="B36" s="79"/>
      <c r="C36" s="80"/>
      <c r="D36" s="81"/>
      <c r="E36" s="492"/>
      <c r="F36" s="493"/>
      <c r="G36" s="493"/>
      <c r="H36" s="493"/>
      <c r="I36" s="493"/>
      <c r="J36" s="493"/>
      <c r="K36" s="493"/>
      <c r="L36" s="493"/>
      <c r="M36" s="493"/>
      <c r="N36" s="493"/>
      <c r="O36" s="493"/>
      <c r="P36" s="493"/>
      <c r="Q36" s="17"/>
      <c r="R36" s="28"/>
      <c r="S36" s="28"/>
      <c r="T36" s="28"/>
      <c r="U36" s="28"/>
      <c r="V36" s="28"/>
      <c r="W36" s="28"/>
      <c r="X36" s="28"/>
      <c r="Y36" s="28"/>
      <c r="Z36" s="28"/>
      <c r="AA36" s="483"/>
      <c r="AB36" s="483"/>
      <c r="AC36" s="483"/>
      <c r="AD36" s="483"/>
      <c r="AE36" s="483"/>
      <c r="AF36" s="483"/>
      <c r="AG36" s="483"/>
      <c r="AH36" s="483"/>
      <c r="AI36" s="483"/>
      <c r="AJ36" s="483"/>
      <c r="AK36" s="483"/>
      <c r="AL36" s="483"/>
      <c r="AM36" s="483"/>
      <c r="AN36" s="484"/>
      <c r="AO36" s="23">
        <f t="shared" ref="AO36:AO41" si="18">D36*Q36/1000</f>
        <v>0</v>
      </c>
      <c r="AP36" s="23" t="e">
        <f t="shared" ref="AP36:AP42" si="19">AO36/$AO$43</f>
        <v>#DIV/0!</v>
      </c>
      <c r="AQ36" s="23"/>
      <c r="AR36" s="23" t="e">
        <f t="shared" ref="AR36:AR42" si="20">AO36/$AO$45</f>
        <v>#VALUE!</v>
      </c>
      <c r="AS36" s="25"/>
    </row>
    <row r="37" spans="1:47" x14ac:dyDescent="0.25">
      <c r="A37" s="452"/>
      <c r="B37" s="72"/>
      <c r="C37" s="82"/>
      <c r="D37" s="83"/>
      <c r="E37" s="494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485"/>
      <c r="AB37" s="485"/>
      <c r="AC37" s="485"/>
      <c r="AD37" s="485"/>
      <c r="AE37" s="485"/>
      <c r="AF37" s="485"/>
      <c r="AG37" s="485"/>
      <c r="AH37" s="485"/>
      <c r="AI37" s="485"/>
      <c r="AJ37" s="485"/>
      <c r="AK37" s="485"/>
      <c r="AL37" s="485"/>
      <c r="AM37" s="485"/>
      <c r="AN37" s="486"/>
      <c r="AO37" s="23">
        <f t="shared" si="18"/>
        <v>0</v>
      </c>
      <c r="AP37" s="23" t="e">
        <f t="shared" si="19"/>
        <v>#DIV/0!</v>
      </c>
      <c r="AQ37" s="23"/>
      <c r="AR37" s="23" t="e">
        <f t="shared" si="20"/>
        <v>#VALUE!</v>
      </c>
      <c r="AS37" s="30"/>
      <c r="AT37" s="31"/>
    </row>
    <row r="38" spans="1:47" x14ac:dyDescent="0.25">
      <c r="A38" s="452"/>
      <c r="B38" s="72"/>
      <c r="C38" s="82"/>
      <c r="D38" s="83"/>
      <c r="E38" s="494"/>
      <c r="F38" s="495"/>
      <c r="G38" s="495"/>
      <c r="H38" s="495"/>
      <c r="I38" s="495"/>
      <c r="J38" s="495"/>
      <c r="K38" s="495"/>
      <c r="L38" s="495"/>
      <c r="M38" s="495"/>
      <c r="N38" s="495"/>
      <c r="O38" s="495"/>
      <c r="P38" s="495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485"/>
      <c r="AB38" s="485"/>
      <c r="AC38" s="485"/>
      <c r="AD38" s="485"/>
      <c r="AE38" s="485"/>
      <c r="AF38" s="485"/>
      <c r="AG38" s="485"/>
      <c r="AH38" s="485"/>
      <c r="AI38" s="485"/>
      <c r="AJ38" s="485"/>
      <c r="AK38" s="485"/>
      <c r="AL38" s="485"/>
      <c r="AM38" s="485"/>
      <c r="AN38" s="486"/>
      <c r="AO38" s="23">
        <f t="shared" si="18"/>
        <v>0</v>
      </c>
      <c r="AP38" s="23" t="e">
        <f t="shared" si="19"/>
        <v>#DIV/0!</v>
      </c>
      <c r="AQ38" s="23"/>
      <c r="AR38" s="23" t="e">
        <f t="shared" si="20"/>
        <v>#VALUE!</v>
      </c>
      <c r="AS38" s="30"/>
    </row>
    <row r="39" spans="1:47" x14ac:dyDescent="0.25">
      <c r="A39" s="452"/>
      <c r="B39" s="72"/>
      <c r="C39" s="82"/>
      <c r="D39" s="83"/>
      <c r="E39" s="494"/>
      <c r="F39" s="495"/>
      <c r="G39" s="495"/>
      <c r="H39" s="495"/>
      <c r="I39" s="495"/>
      <c r="J39" s="495"/>
      <c r="K39" s="495"/>
      <c r="L39" s="495"/>
      <c r="M39" s="495"/>
      <c r="N39" s="495"/>
      <c r="O39" s="495"/>
      <c r="P39" s="495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485"/>
      <c r="AB39" s="485"/>
      <c r="AC39" s="485"/>
      <c r="AD39" s="485"/>
      <c r="AE39" s="485"/>
      <c r="AF39" s="485"/>
      <c r="AG39" s="485"/>
      <c r="AH39" s="485"/>
      <c r="AI39" s="485"/>
      <c r="AJ39" s="485"/>
      <c r="AK39" s="485"/>
      <c r="AL39" s="485"/>
      <c r="AM39" s="485"/>
      <c r="AN39" s="486"/>
      <c r="AO39" s="23">
        <f t="shared" si="18"/>
        <v>0</v>
      </c>
      <c r="AP39" s="23" t="e">
        <f t="shared" si="19"/>
        <v>#DIV/0!</v>
      </c>
      <c r="AQ39" s="23"/>
      <c r="AR39" s="23" t="e">
        <f t="shared" si="20"/>
        <v>#VALUE!</v>
      </c>
      <c r="AS39" s="25"/>
      <c r="AU39" s="84"/>
    </row>
    <row r="40" spans="1:47" x14ac:dyDescent="0.25">
      <c r="A40" s="452"/>
      <c r="B40" s="72"/>
      <c r="C40" s="82"/>
      <c r="D40" s="83"/>
      <c r="E40" s="494"/>
      <c r="F40" s="495"/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485"/>
      <c r="AB40" s="485"/>
      <c r="AC40" s="485"/>
      <c r="AD40" s="485"/>
      <c r="AE40" s="485"/>
      <c r="AF40" s="485"/>
      <c r="AG40" s="485"/>
      <c r="AH40" s="485"/>
      <c r="AI40" s="485"/>
      <c r="AJ40" s="485"/>
      <c r="AK40" s="485"/>
      <c r="AL40" s="485"/>
      <c r="AM40" s="485"/>
      <c r="AN40" s="486"/>
      <c r="AO40" s="23">
        <f t="shared" si="18"/>
        <v>0</v>
      </c>
      <c r="AP40" s="23" t="e">
        <f t="shared" si="19"/>
        <v>#DIV/0!</v>
      </c>
      <c r="AQ40" s="23"/>
      <c r="AR40" s="23" t="e">
        <f t="shared" si="20"/>
        <v>#VALUE!</v>
      </c>
      <c r="AS40" s="25"/>
    </row>
    <row r="41" spans="1:47" x14ac:dyDescent="0.25">
      <c r="A41" s="452"/>
      <c r="B41" s="51"/>
      <c r="C41" s="82"/>
      <c r="D41" s="27"/>
      <c r="E41" s="494"/>
      <c r="F41" s="495"/>
      <c r="G41" s="495"/>
      <c r="H41" s="495"/>
      <c r="I41" s="495"/>
      <c r="J41" s="495"/>
      <c r="K41" s="495"/>
      <c r="L41" s="495"/>
      <c r="M41" s="495"/>
      <c r="N41" s="495"/>
      <c r="O41" s="495"/>
      <c r="P41" s="495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85"/>
      <c r="AB41" s="485"/>
      <c r="AC41" s="485"/>
      <c r="AD41" s="485"/>
      <c r="AE41" s="485"/>
      <c r="AF41" s="485"/>
      <c r="AG41" s="485"/>
      <c r="AH41" s="485"/>
      <c r="AI41" s="485"/>
      <c r="AJ41" s="485"/>
      <c r="AK41" s="485"/>
      <c r="AL41" s="485"/>
      <c r="AM41" s="485"/>
      <c r="AN41" s="486"/>
      <c r="AO41" s="23">
        <f t="shared" si="18"/>
        <v>0</v>
      </c>
      <c r="AP41" s="23" t="e">
        <f t="shared" si="19"/>
        <v>#DIV/0!</v>
      </c>
      <c r="AQ41" s="23"/>
      <c r="AR41" s="23" t="e">
        <f t="shared" si="20"/>
        <v>#VALUE!</v>
      </c>
      <c r="AS41" s="25"/>
    </row>
    <row r="42" spans="1:47" x14ac:dyDescent="0.25">
      <c r="A42" s="452"/>
      <c r="B42" s="85"/>
      <c r="C42" s="82"/>
      <c r="D42" s="76"/>
      <c r="E42" s="496"/>
      <c r="F42" s="497"/>
      <c r="G42" s="497"/>
      <c r="H42" s="497"/>
      <c r="I42" s="497"/>
      <c r="J42" s="497"/>
      <c r="K42" s="497"/>
      <c r="L42" s="497"/>
      <c r="M42" s="497"/>
      <c r="N42" s="497"/>
      <c r="O42" s="497"/>
      <c r="P42" s="497"/>
      <c r="Q42" s="36"/>
      <c r="R42" s="28"/>
      <c r="S42" s="28"/>
      <c r="T42" s="28"/>
      <c r="U42" s="28"/>
      <c r="V42" s="28"/>
      <c r="W42" s="28"/>
      <c r="X42" s="28"/>
      <c r="Y42" s="28"/>
      <c r="Z42" s="28"/>
      <c r="AA42" s="487"/>
      <c r="AB42" s="487"/>
      <c r="AC42" s="487"/>
      <c r="AD42" s="487"/>
      <c r="AE42" s="487"/>
      <c r="AF42" s="487"/>
      <c r="AG42" s="487"/>
      <c r="AH42" s="487"/>
      <c r="AI42" s="487"/>
      <c r="AJ42" s="487"/>
      <c r="AK42" s="487"/>
      <c r="AL42" s="487"/>
      <c r="AM42" s="487"/>
      <c r="AN42" s="488"/>
      <c r="AO42" s="23"/>
      <c r="AP42" s="23" t="e">
        <f t="shared" si="19"/>
        <v>#DIV/0!</v>
      </c>
      <c r="AQ42" s="23"/>
      <c r="AR42" s="23" t="e">
        <f t="shared" si="20"/>
        <v>#VALUE!</v>
      </c>
      <c r="AS42" s="25"/>
    </row>
    <row r="43" spans="1:47" x14ac:dyDescent="0.25">
      <c r="A43" s="453"/>
      <c r="B43" s="489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1"/>
      <c r="R43" s="110"/>
      <c r="S43" s="110"/>
      <c r="T43" s="110"/>
      <c r="U43" s="110"/>
      <c r="V43" s="110"/>
      <c r="W43" s="110"/>
      <c r="X43" s="110"/>
      <c r="Y43" s="110"/>
      <c r="Z43" s="110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>
        <f>SUM(AO36:AO42)</f>
        <v>0</v>
      </c>
      <c r="AP43" s="143" t="e">
        <f>SUM(AP36:AP42)</f>
        <v>#DIV/0!</v>
      </c>
      <c r="AQ43" s="143"/>
      <c r="AR43" s="143"/>
      <c r="AS43" s="71"/>
    </row>
    <row r="44" spans="1:47" x14ac:dyDescent="0.25">
      <c r="A44" s="86"/>
      <c r="B44" s="84"/>
      <c r="C44" s="87"/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88" t="e">
        <f>AA24+AA35</f>
        <v>#VALUE!</v>
      </c>
      <c r="AB44" s="88" t="e">
        <f>AB24+AB35</f>
        <v>#VALUE!</v>
      </c>
      <c r="AC44" s="88"/>
      <c r="AD44" s="88" t="e">
        <f>AD24+AD35</f>
        <v>#VALUE!</v>
      </c>
      <c r="AE44" s="88" t="e">
        <f>AE24+AE35</f>
        <v>#VALUE!</v>
      </c>
      <c r="AF44" s="88" t="e">
        <f>AF24+AF35</f>
        <v>#VALUE!</v>
      </c>
      <c r="AG44" s="88" t="e">
        <f>AG24+AG35</f>
        <v>#VALUE!</v>
      </c>
      <c r="AH44" s="88"/>
      <c r="AI44" s="88" t="e">
        <f t="shared" ref="AI44:AO44" si="21">AI24+AI35</f>
        <v>#VALUE!</v>
      </c>
      <c r="AJ44" s="88" t="e">
        <f t="shared" si="21"/>
        <v>#VALUE!</v>
      </c>
      <c r="AK44" s="88" t="e">
        <f t="shared" si="21"/>
        <v>#VALUE!</v>
      </c>
      <c r="AL44" s="88" t="e">
        <f t="shared" si="21"/>
        <v>#VALUE!</v>
      </c>
      <c r="AM44" s="88" t="e">
        <f t="shared" si="21"/>
        <v>#VALUE!</v>
      </c>
      <c r="AN44" s="88">
        <f t="shared" si="21"/>
        <v>0</v>
      </c>
      <c r="AO44" s="88" t="e">
        <f t="shared" si="21"/>
        <v>#VALUE!</v>
      </c>
      <c r="AP44" s="88"/>
      <c r="AQ44" s="88" t="e">
        <f>SUM(AQ10:AQ23)+SUM(AQ31:AQ34)</f>
        <v>#VALUE!</v>
      </c>
      <c r="AR44" s="88" t="e">
        <f>SUM(AR10:AR23)+SUM(AR31:AR34)+SUM(AR36:AR42)</f>
        <v>#VALUE!</v>
      </c>
      <c r="AS44" s="89"/>
      <c r="AT44" s="31"/>
    </row>
    <row r="45" spans="1:47" x14ac:dyDescent="0.25">
      <c r="A45" s="86"/>
      <c r="B45" s="84"/>
      <c r="C45" s="87"/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88" t="e">
        <f>AA24+AA35+AA43</f>
        <v>#VALUE!</v>
      </c>
      <c r="AB45" s="88" t="e">
        <f>AB24+AB35+AB43</f>
        <v>#VALUE!</v>
      </c>
      <c r="AC45" s="88"/>
      <c r="AD45" s="88" t="e">
        <f>AD24+AD35+AD43</f>
        <v>#VALUE!</v>
      </c>
      <c r="AE45" s="88" t="e">
        <f>AE24+AE35+AE43</f>
        <v>#VALUE!</v>
      </c>
      <c r="AF45" s="88" t="e">
        <f>AF24+AF35+AF43</f>
        <v>#VALUE!</v>
      </c>
      <c r="AG45" s="88" t="e">
        <f>AG24+AG35+AG43</f>
        <v>#VALUE!</v>
      </c>
      <c r="AH45" s="88"/>
      <c r="AI45" s="88" t="e">
        <f t="shared" ref="AI45:AO45" si="22">AI24+AI35+AI43</f>
        <v>#VALUE!</v>
      </c>
      <c r="AJ45" s="88" t="e">
        <f t="shared" si="22"/>
        <v>#VALUE!</v>
      </c>
      <c r="AK45" s="88" t="e">
        <f t="shared" si="22"/>
        <v>#VALUE!</v>
      </c>
      <c r="AL45" s="88" t="e">
        <f t="shared" si="22"/>
        <v>#VALUE!</v>
      </c>
      <c r="AM45" s="88" t="e">
        <f t="shared" si="22"/>
        <v>#VALUE!</v>
      </c>
      <c r="AN45" s="88">
        <f t="shared" si="22"/>
        <v>0</v>
      </c>
      <c r="AO45" s="88" t="e">
        <f t="shared" si="22"/>
        <v>#VALUE!</v>
      </c>
      <c r="AP45" s="88"/>
      <c r="AQ45" s="88"/>
      <c r="AR45" s="88"/>
      <c r="AS45" s="89"/>
      <c r="AT45" s="31"/>
    </row>
    <row r="46" spans="1:47" x14ac:dyDescent="0.25">
      <c r="A46" s="90" t="s">
        <v>33</v>
      </c>
      <c r="B46" s="331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109"/>
      <c r="S46" s="109"/>
      <c r="T46" s="109"/>
      <c r="U46" s="109"/>
      <c r="V46" s="109"/>
      <c r="W46" s="109"/>
      <c r="X46" s="109"/>
      <c r="Y46" s="109"/>
      <c r="Z46" s="109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2"/>
    </row>
    <row r="47" spans="1:47" x14ac:dyDescent="0.25">
      <c r="A47" s="84"/>
      <c r="B47" s="84"/>
      <c r="C47" s="93"/>
      <c r="D47" s="75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94"/>
    </row>
    <row r="48" spans="1:47" x14ac:dyDescent="0.25">
      <c r="B48" s="84"/>
    </row>
    <row r="49" spans="2:2" ht="20.25" customHeight="1" x14ac:dyDescent="0.45">
      <c r="B49" s="95"/>
    </row>
    <row r="50" spans="2:2" ht="20.25" customHeight="1" x14ac:dyDescent="0.45">
      <c r="B50" s="95"/>
    </row>
    <row r="51" spans="2:2" ht="20.25" customHeight="1" x14ac:dyDescent="0.45">
      <c r="B51" s="95"/>
    </row>
  </sheetData>
  <mergeCells count="57">
    <mergeCell ref="AA31:AN34"/>
    <mergeCell ref="B35:Q35"/>
    <mergeCell ref="A36:A43"/>
    <mergeCell ref="E36:P42"/>
    <mergeCell ref="AA36:AN42"/>
    <mergeCell ref="B43:Q43"/>
    <mergeCell ref="A25:A30"/>
    <mergeCell ref="B30:Q30"/>
    <mergeCell ref="A31:A35"/>
    <mergeCell ref="E31:P34"/>
    <mergeCell ref="B46:Q46"/>
    <mergeCell ref="A10:A24"/>
    <mergeCell ref="E24:Q24"/>
    <mergeCell ref="Z6:Z9"/>
    <mergeCell ref="Y6:Y9"/>
    <mergeCell ref="W8:W9"/>
    <mergeCell ref="T7:W7"/>
    <mergeCell ref="U8:U9"/>
    <mergeCell ref="V8:V9"/>
    <mergeCell ref="S8:S9"/>
    <mergeCell ref="R6:X6"/>
    <mergeCell ref="X7:X9"/>
    <mergeCell ref="R7:S7"/>
    <mergeCell ref="R8:R9"/>
    <mergeCell ref="A1:A4"/>
    <mergeCell ref="T8:T9"/>
    <mergeCell ref="A5:AS5"/>
    <mergeCell ref="A6:A9"/>
    <mergeCell ref="B6:B9"/>
    <mergeCell ref="C6:D8"/>
    <mergeCell ref="E6:N7"/>
    <mergeCell ref="O6:P7"/>
    <mergeCell ref="Q6:Q9"/>
    <mergeCell ref="E8:L8"/>
    <mergeCell ref="M8:N8"/>
    <mergeCell ref="O8:O9"/>
    <mergeCell ref="P8:P9"/>
    <mergeCell ref="AA6:AF8"/>
    <mergeCell ref="AG6:AN8"/>
    <mergeCell ref="AO6:AO7"/>
    <mergeCell ref="C3:F3"/>
    <mergeCell ref="B1:AN2"/>
    <mergeCell ref="AO1:AS2"/>
    <mergeCell ref="C4:F4"/>
    <mergeCell ref="I3:AA3"/>
    <mergeCell ref="I4:AA4"/>
    <mergeCell ref="AB3:AD3"/>
    <mergeCell ref="AE3:AN3"/>
    <mergeCell ref="AU6:AV6"/>
    <mergeCell ref="AP6:AP9"/>
    <mergeCell ref="AO3:AQ3"/>
    <mergeCell ref="AO4:AQ4"/>
    <mergeCell ref="AR3:AS3"/>
    <mergeCell ref="AR4:AS4"/>
    <mergeCell ref="AS6:AS9"/>
    <mergeCell ref="AQ6:AQ9"/>
    <mergeCell ref="AR6:AR9"/>
  </mergeCell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H51"/>
  <sheetViews>
    <sheetView workbookViewId="0">
      <selection activeCell="Q10" sqref="Q10"/>
    </sheetView>
  </sheetViews>
  <sheetFormatPr defaultRowHeight="13.8" x14ac:dyDescent="0.25"/>
  <cols>
    <col min="2" max="2" width="16.09765625" customWidth="1"/>
    <col min="4" max="4" width="13.3984375" customWidth="1"/>
    <col min="15" max="15" width="11.69921875" customWidth="1"/>
    <col min="17" max="17" width="13.09765625" customWidth="1"/>
    <col min="18" max="25" width="3.09765625" customWidth="1"/>
    <col min="26" max="26" width="16.59765625" customWidth="1"/>
    <col min="41" max="44" width="12.59765625" customWidth="1"/>
    <col min="45" max="45" width="44.59765625" customWidth="1"/>
    <col min="46" max="46" width="2.59765625" customWidth="1"/>
    <col min="47" max="47" width="10.296875" customWidth="1"/>
    <col min="48" max="48" width="9.3984375" customWidth="1"/>
  </cols>
  <sheetData>
    <row r="1" spans="1:60" s="215" customFormat="1" ht="15" customHeight="1" x14ac:dyDescent="0.25">
      <c r="A1" s="308"/>
      <c r="B1" s="498" t="s">
        <v>130</v>
      </c>
      <c r="C1" s="499"/>
      <c r="D1" s="499"/>
      <c r="E1" s="499"/>
      <c r="F1" s="499"/>
      <c r="G1" s="499"/>
      <c r="H1" s="499"/>
      <c r="I1" s="499"/>
      <c r="J1" s="499"/>
      <c r="K1" s="499"/>
      <c r="L1" s="499"/>
      <c r="M1" s="499"/>
      <c r="N1" s="499"/>
      <c r="O1" s="499"/>
      <c r="P1" s="499"/>
      <c r="Q1" s="499"/>
      <c r="R1" s="499"/>
      <c r="S1" s="499"/>
      <c r="T1" s="499"/>
      <c r="U1" s="499"/>
      <c r="V1" s="499"/>
      <c r="W1" s="499"/>
      <c r="X1" s="499"/>
      <c r="Y1" s="499"/>
      <c r="Z1" s="499"/>
      <c r="AA1" s="499"/>
      <c r="AB1" s="499"/>
      <c r="AC1" s="499"/>
      <c r="AD1" s="499"/>
      <c r="AE1" s="499"/>
      <c r="AF1" s="499"/>
      <c r="AG1" s="499"/>
      <c r="AH1" s="499"/>
      <c r="AI1" s="499"/>
      <c r="AJ1" s="499"/>
      <c r="AK1" s="499"/>
      <c r="AL1" s="499"/>
      <c r="AM1" s="499"/>
      <c r="AN1" s="500"/>
      <c r="AO1" s="288" t="s">
        <v>1</v>
      </c>
      <c r="AP1" s="370"/>
      <c r="AQ1" s="370"/>
      <c r="AR1" s="370"/>
      <c r="AS1" s="289"/>
      <c r="BF1" s="84"/>
      <c r="BG1" s="84"/>
      <c r="BH1" s="84"/>
    </row>
    <row r="2" spans="1:60" s="215" customFormat="1" ht="15" customHeight="1" x14ac:dyDescent="0.25">
      <c r="A2" s="309"/>
      <c r="B2" s="501"/>
      <c r="C2" s="502"/>
      <c r="D2" s="502"/>
      <c r="E2" s="502"/>
      <c r="F2" s="502"/>
      <c r="G2" s="502"/>
      <c r="H2" s="502"/>
      <c r="I2" s="502"/>
      <c r="J2" s="502"/>
      <c r="K2" s="502"/>
      <c r="L2" s="502"/>
      <c r="M2" s="502"/>
      <c r="N2" s="502"/>
      <c r="O2" s="502"/>
      <c r="P2" s="502"/>
      <c r="Q2" s="502"/>
      <c r="R2" s="502"/>
      <c r="S2" s="502"/>
      <c r="T2" s="502"/>
      <c r="U2" s="502"/>
      <c r="V2" s="502"/>
      <c r="W2" s="502"/>
      <c r="X2" s="502"/>
      <c r="Y2" s="502"/>
      <c r="Z2" s="502"/>
      <c r="AA2" s="502"/>
      <c r="AB2" s="502"/>
      <c r="AC2" s="502"/>
      <c r="AD2" s="502"/>
      <c r="AE2" s="502"/>
      <c r="AF2" s="502"/>
      <c r="AG2" s="502"/>
      <c r="AH2" s="502"/>
      <c r="AI2" s="502"/>
      <c r="AJ2" s="502"/>
      <c r="AK2" s="502"/>
      <c r="AL2" s="502"/>
      <c r="AM2" s="502"/>
      <c r="AN2" s="503"/>
      <c r="AO2" s="290"/>
      <c r="AP2" s="371"/>
      <c r="AQ2" s="371"/>
      <c r="AR2" s="371"/>
      <c r="AS2" s="291"/>
      <c r="BF2" s="84"/>
      <c r="BG2" s="84"/>
      <c r="BH2" s="84"/>
    </row>
    <row r="3" spans="1:60" s="215" customFormat="1" ht="21.75" customHeight="1" x14ac:dyDescent="0.25">
      <c r="A3" s="309"/>
      <c r="B3" s="207" t="s">
        <v>2</v>
      </c>
      <c r="C3" s="317" t="s">
        <v>3</v>
      </c>
      <c r="D3" s="318"/>
      <c r="E3" s="318"/>
      <c r="F3" s="330"/>
      <c r="G3" s="225"/>
      <c r="H3" s="208" t="s">
        <v>4</v>
      </c>
      <c r="I3" s="400" t="str">
        <f>'Fr-01'!$B$6</f>
        <v>ชื่อองค์กรที่ขอขึ้นทะเบียน</v>
      </c>
      <c r="J3" s="401"/>
      <c r="K3" s="401"/>
      <c r="L3" s="401"/>
      <c r="M3" s="401"/>
      <c r="N3" s="401"/>
      <c r="O3" s="401"/>
      <c r="P3" s="401"/>
      <c r="Q3" s="401"/>
      <c r="R3" s="401"/>
      <c r="S3" s="401"/>
      <c r="T3" s="401"/>
      <c r="U3" s="401"/>
      <c r="V3" s="401"/>
      <c r="W3" s="401"/>
      <c r="X3" s="401"/>
      <c r="Y3" s="401"/>
      <c r="Z3" s="401"/>
      <c r="AA3" s="402"/>
      <c r="AB3" s="406" t="s">
        <v>20</v>
      </c>
      <c r="AC3" s="407"/>
      <c r="AD3" s="408"/>
      <c r="AE3" s="400" t="str">
        <f>'Fr-01'!H24</f>
        <v xml:space="preserve"> ระบุปีฐาน เช่น ม.ค.61-ธ.ค.61</v>
      </c>
      <c r="AF3" s="401"/>
      <c r="AG3" s="401"/>
      <c r="AH3" s="401"/>
      <c r="AI3" s="401"/>
      <c r="AJ3" s="401"/>
      <c r="AK3" s="401"/>
      <c r="AL3" s="401"/>
      <c r="AM3" s="401"/>
      <c r="AN3" s="402"/>
      <c r="AO3" s="386" t="s">
        <v>5</v>
      </c>
      <c r="AP3" s="387"/>
      <c r="AQ3" s="388"/>
      <c r="AR3" s="389">
        <v>5</v>
      </c>
      <c r="AS3" s="390"/>
      <c r="BF3" s="84"/>
      <c r="BG3" s="84"/>
      <c r="BH3" s="84"/>
    </row>
    <row r="4" spans="1:60" s="215" customFormat="1" ht="21" customHeight="1" x14ac:dyDescent="0.25">
      <c r="A4" s="310"/>
      <c r="B4" s="207" t="s">
        <v>6</v>
      </c>
      <c r="C4" s="317" t="s">
        <v>131</v>
      </c>
      <c r="D4" s="318"/>
      <c r="E4" s="318"/>
      <c r="F4" s="330"/>
      <c r="G4" s="225"/>
      <c r="H4" s="208" t="s">
        <v>8</v>
      </c>
      <c r="I4" s="403">
        <f>'Fr-01'!$G$4</f>
        <v>0</v>
      </c>
      <c r="J4" s="404"/>
      <c r="K4" s="404"/>
      <c r="L4" s="404"/>
      <c r="M4" s="404"/>
      <c r="N4" s="404"/>
      <c r="O4" s="404"/>
      <c r="P4" s="404"/>
      <c r="Q4" s="404"/>
      <c r="R4" s="404"/>
      <c r="S4" s="404"/>
      <c r="T4" s="404"/>
      <c r="U4" s="404"/>
      <c r="V4" s="404"/>
      <c r="W4" s="404"/>
      <c r="X4" s="404"/>
      <c r="Y4" s="404"/>
      <c r="Z4" s="404"/>
      <c r="AA4" s="405"/>
      <c r="AB4" s="222"/>
      <c r="AC4" s="224"/>
      <c r="AD4" s="223"/>
      <c r="AE4" s="224"/>
      <c r="AF4" s="224"/>
      <c r="AG4" s="224"/>
      <c r="AH4" s="224"/>
      <c r="AI4" s="224"/>
      <c r="AJ4" s="224"/>
      <c r="AK4" s="224"/>
      <c r="AL4" s="224"/>
      <c r="AM4" s="224"/>
      <c r="AN4" s="223"/>
      <c r="AO4" s="386" t="s">
        <v>30</v>
      </c>
      <c r="AP4" s="387"/>
      <c r="AQ4" s="388"/>
      <c r="AR4" s="386"/>
      <c r="AS4" s="388"/>
      <c r="BF4" s="84"/>
      <c r="BG4" s="84"/>
      <c r="BH4" s="84"/>
    </row>
    <row r="5" spans="1:60" x14ac:dyDescent="0.25">
      <c r="A5" s="411"/>
      <c r="B5" s="412"/>
      <c r="C5" s="412"/>
      <c r="D5" s="412"/>
      <c r="E5" s="412"/>
      <c r="F5" s="412"/>
      <c r="G5" s="412"/>
      <c r="H5" s="412"/>
      <c r="I5" s="412"/>
      <c r="J5" s="412"/>
      <c r="K5" s="412"/>
      <c r="L5" s="412"/>
      <c r="M5" s="412"/>
      <c r="N5" s="412"/>
      <c r="O5" s="412"/>
      <c r="P5" s="412"/>
      <c r="Q5" s="412"/>
      <c r="R5" s="412"/>
      <c r="S5" s="412"/>
      <c r="T5" s="412"/>
      <c r="U5" s="412"/>
      <c r="V5" s="412"/>
      <c r="W5" s="412"/>
      <c r="X5" s="412"/>
      <c r="Y5" s="412"/>
      <c r="Z5" s="412"/>
      <c r="AA5" s="412"/>
      <c r="AB5" s="412"/>
      <c r="AC5" s="412"/>
      <c r="AD5" s="412"/>
      <c r="AE5" s="412"/>
      <c r="AF5" s="412"/>
      <c r="AG5" s="412"/>
      <c r="AH5" s="412"/>
      <c r="AI5" s="412"/>
      <c r="AJ5" s="412"/>
      <c r="AK5" s="412"/>
      <c r="AL5" s="412"/>
      <c r="AM5" s="412"/>
      <c r="AN5" s="412"/>
      <c r="AO5" s="412"/>
      <c r="AP5" s="412"/>
      <c r="AQ5" s="412"/>
      <c r="AR5" s="412"/>
      <c r="AS5" s="413"/>
    </row>
    <row r="6" spans="1:60" ht="15" customHeight="1" x14ac:dyDescent="0.35">
      <c r="A6" s="414" t="s">
        <v>81</v>
      </c>
      <c r="B6" s="417" t="s">
        <v>82</v>
      </c>
      <c r="C6" s="420" t="s">
        <v>83</v>
      </c>
      <c r="D6" s="421"/>
      <c r="E6" s="426" t="s">
        <v>84</v>
      </c>
      <c r="F6" s="427"/>
      <c r="G6" s="427"/>
      <c r="H6" s="427"/>
      <c r="I6" s="427"/>
      <c r="J6" s="427"/>
      <c r="K6" s="427"/>
      <c r="L6" s="427"/>
      <c r="M6" s="427"/>
      <c r="N6" s="428"/>
      <c r="O6" s="426" t="s">
        <v>85</v>
      </c>
      <c r="P6" s="428"/>
      <c r="Q6" s="432" t="s">
        <v>86</v>
      </c>
      <c r="R6" s="462" t="s">
        <v>87</v>
      </c>
      <c r="S6" s="463"/>
      <c r="T6" s="463"/>
      <c r="U6" s="463"/>
      <c r="V6" s="463"/>
      <c r="W6" s="463"/>
      <c r="X6" s="466"/>
      <c r="Y6" s="409" t="s">
        <v>88</v>
      </c>
      <c r="Z6" s="457" t="s">
        <v>89</v>
      </c>
      <c r="AA6" s="440" t="s">
        <v>90</v>
      </c>
      <c r="AB6" s="441"/>
      <c r="AC6" s="441"/>
      <c r="AD6" s="441"/>
      <c r="AE6" s="441"/>
      <c r="AF6" s="442"/>
      <c r="AG6" s="441" t="s">
        <v>91</v>
      </c>
      <c r="AH6" s="441"/>
      <c r="AI6" s="441"/>
      <c r="AJ6" s="441"/>
      <c r="AK6" s="441"/>
      <c r="AL6" s="441"/>
      <c r="AM6" s="441"/>
      <c r="AN6" s="442"/>
      <c r="AO6" s="449" t="s">
        <v>92</v>
      </c>
      <c r="AP6" s="383" t="s">
        <v>93</v>
      </c>
      <c r="AQ6" s="383" t="s">
        <v>94</v>
      </c>
      <c r="AR6" s="383" t="s">
        <v>95</v>
      </c>
      <c r="AS6" s="504" t="s">
        <v>132</v>
      </c>
      <c r="AU6" s="381" t="s">
        <v>97</v>
      </c>
      <c r="AV6" s="382"/>
    </row>
    <row r="7" spans="1:60" ht="15" customHeight="1" x14ac:dyDescent="0.25">
      <c r="A7" s="415"/>
      <c r="B7" s="418"/>
      <c r="C7" s="422"/>
      <c r="D7" s="423"/>
      <c r="E7" s="429"/>
      <c r="F7" s="430"/>
      <c r="G7" s="430"/>
      <c r="H7" s="430"/>
      <c r="I7" s="430"/>
      <c r="J7" s="430"/>
      <c r="K7" s="430"/>
      <c r="L7" s="430"/>
      <c r="M7" s="430"/>
      <c r="N7" s="431"/>
      <c r="O7" s="429"/>
      <c r="P7" s="431"/>
      <c r="Q7" s="433"/>
      <c r="R7" s="467" t="s">
        <v>98</v>
      </c>
      <c r="S7" s="467"/>
      <c r="T7" s="462" t="s">
        <v>99</v>
      </c>
      <c r="U7" s="463"/>
      <c r="V7" s="463"/>
      <c r="W7" s="463"/>
      <c r="X7" s="409" t="s">
        <v>100</v>
      </c>
      <c r="Y7" s="459"/>
      <c r="Z7" s="458"/>
      <c r="AA7" s="443"/>
      <c r="AB7" s="444"/>
      <c r="AC7" s="444"/>
      <c r="AD7" s="444"/>
      <c r="AE7" s="444"/>
      <c r="AF7" s="445"/>
      <c r="AG7" s="444"/>
      <c r="AH7" s="444"/>
      <c r="AI7" s="444"/>
      <c r="AJ7" s="444"/>
      <c r="AK7" s="444"/>
      <c r="AL7" s="444"/>
      <c r="AM7" s="444"/>
      <c r="AN7" s="445"/>
      <c r="AO7" s="450"/>
      <c r="AP7" s="384"/>
      <c r="AQ7" s="384"/>
      <c r="AR7" s="384"/>
      <c r="AS7" s="505"/>
      <c r="AT7" s="1"/>
      <c r="AU7" s="2" t="s">
        <v>87</v>
      </c>
      <c r="AV7" s="126" t="s">
        <v>101</v>
      </c>
    </row>
    <row r="8" spans="1:60" ht="31.5" customHeight="1" x14ac:dyDescent="0.25">
      <c r="A8" s="415"/>
      <c r="B8" s="418"/>
      <c r="C8" s="424"/>
      <c r="D8" s="425"/>
      <c r="E8" s="435" t="s">
        <v>102</v>
      </c>
      <c r="F8" s="436"/>
      <c r="G8" s="436"/>
      <c r="H8" s="436"/>
      <c r="I8" s="436"/>
      <c r="J8" s="436"/>
      <c r="K8" s="436"/>
      <c r="L8" s="437"/>
      <c r="M8" s="435" t="s">
        <v>103</v>
      </c>
      <c r="N8" s="437"/>
      <c r="O8" s="438" t="s">
        <v>102</v>
      </c>
      <c r="P8" s="438" t="s">
        <v>103</v>
      </c>
      <c r="Q8" s="433"/>
      <c r="R8" s="409" t="s">
        <v>104</v>
      </c>
      <c r="S8" s="464" t="s">
        <v>105</v>
      </c>
      <c r="T8" s="409" t="s">
        <v>106</v>
      </c>
      <c r="U8" s="409" t="s">
        <v>107</v>
      </c>
      <c r="V8" s="409" t="s">
        <v>108</v>
      </c>
      <c r="W8" s="460" t="s">
        <v>109</v>
      </c>
      <c r="X8" s="459"/>
      <c r="Y8" s="459"/>
      <c r="Z8" s="458"/>
      <c r="AA8" s="446"/>
      <c r="AB8" s="447"/>
      <c r="AC8" s="447"/>
      <c r="AD8" s="447"/>
      <c r="AE8" s="447"/>
      <c r="AF8" s="448"/>
      <c r="AG8" s="447"/>
      <c r="AH8" s="447"/>
      <c r="AI8" s="447"/>
      <c r="AJ8" s="447"/>
      <c r="AK8" s="447"/>
      <c r="AL8" s="447"/>
      <c r="AM8" s="447"/>
      <c r="AN8" s="448"/>
      <c r="AO8" s="3" t="s">
        <v>110</v>
      </c>
      <c r="AP8" s="384"/>
      <c r="AQ8" s="384"/>
      <c r="AR8" s="384"/>
      <c r="AS8" s="505"/>
      <c r="AT8" s="1"/>
      <c r="AU8" s="2" t="s">
        <v>111</v>
      </c>
      <c r="AV8" s="2">
        <v>1</v>
      </c>
    </row>
    <row r="9" spans="1:60" x14ac:dyDescent="0.25">
      <c r="A9" s="416"/>
      <c r="B9" s="419"/>
      <c r="C9" s="4" t="s">
        <v>112</v>
      </c>
      <c r="D9" s="5" t="s">
        <v>113</v>
      </c>
      <c r="E9" s="6" t="s">
        <v>114</v>
      </c>
      <c r="F9" s="7" t="s">
        <v>115</v>
      </c>
      <c r="G9" s="7" t="s">
        <v>116</v>
      </c>
      <c r="H9" s="6" t="s">
        <v>117</v>
      </c>
      <c r="I9" s="8" t="s">
        <v>118</v>
      </c>
      <c r="J9" s="7" t="s">
        <v>119</v>
      </c>
      <c r="K9" s="7" t="s">
        <v>120</v>
      </c>
      <c r="L9" s="7" t="s">
        <v>121</v>
      </c>
      <c r="M9" s="7" t="s">
        <v>120</v>
      </c>
      <c r="N9" s="7" t="s">
        <v>121</v>
      </c>
      <c r="O9" s="439"/>
      <c r="P9" s="439"/>
      <c r="Q9" s="434"/>
      <c r="R9" s="410"/>
      <c r="S9" s="465"/>
      <c r="T9" s="410"/>
      <c r="U9" s="410"/>
      <c r="V9" s="410"/>
      <c r="W9" s="461"/>
      <c r="X9" s="410"/>
      <c r="Y9" s="410"/>
      <c r="Z9" s="458"/>
      <c r="AA9" s="9" t="s">
        <v>111</v>
      </c>
      <c r="AB9" s="10" t="s">
        <v>115</v>
      </c>
      <c r="AC9" s="10" t="s">
        <v>122</v>
      </c>
      <c r="AD9" s="11" t="s">
        <v>123</v>
      </c>
      <c r="AE9" s="11" t="s">
        <v>124</v>
      </c>
      <c r="AF9" s="12" t="s">
        <v>125</v>
      </c>
      <c r="AG9" s="10" t="s">
        <v>115</v>
      </c>
      <c r="AH9" s="10" t="s">
        <v>122</v>
      </c>
      <c r="AI9" s="11" t="s">
        <v>123</v>
      </c>
      <c r="AJ9" s="11" t="s">
        <v>124</v>
      </c>
      <c r="AK9" s="11" t="s">
        <v>125</v>
      </c>
      <c r="AL9" s="11" t="s">
        <v>120</v>
      </c>
      <c r="AM9" s="11" t="s">
        <v>121</v>
      </c>
      <c r="AN9" s="11" t="s">
        <v>100</v>
      </c>
      <c r="AO9" s="13"/>
      <c r="AP9" s="385"/>
      <c r="AQ9" s="385"/>
      <c r="AR9" s="385"/>
      <c r="AS9" s="506"/>
      <c r="AU9" s="2" t="s">
        <v>115</v>
      </c>
      <c r="AV9" s="160">
        <v>30</v>
      </c>
    </row>
    <row r="10" spans="1:60" x14ac:dyDescent="0.25">
      <c r="A10" s="451" t="s">
        <v>126</v>
      </c>
      <c r="B10" s="14"/>
      <c r="C10" s="15"/>
      <c r="D10" s="16"/>
      <c r="E10" s="17"/>
      <c r="F10" s="17"/>
      <c r="G10" s="17"/>
      <c r="H10" s="17"/>
      <c r="I10" s="17"/>
      <c r="J10" s="17"/>
      <c r="K10" s="17"/>
      <c r="L10" s="17"/>
      <c r="M10" s="18"/>
      <c r="N10" s="19"/>
      <c r="O10" s="20"/>
      <c r="P10" s="21"/>
      <c r="Q10" s="22">
        <f t="shared" ref="Q10:Q23" si="0">(E10*$AV$8)+(F10*$AV$9)+(G10*$AV$10)+(H10*$AV$11)+(I10*$AV$12)+(J10*$AV$13)+(K10*M10)+(L10*N10)</f>
        <v>0</v>
      </c>
      <c r="R10" s="28"/>
      <c r="S10" s="28"/>
      <c r="T10" s="28"/>
      <c r="U10" s="28"/>
      <c r="V10" s="28"/>
      <c r="W10" s="28"/>
      <c r="X10" s="28"/>
      <c r="Y10" s="28"/>
      <c r="Z10" s="28"/>
      <c r="AA10" s="23">
        <f t="shared" ref="AA10:AA23" si="1">D10*E10/1000</f>
        <v>0</v>
      </c>
      <c r="AB10" s="23">
        <f t="shared" ref="AB10:AB23" si="2">D10*F10/1000</f>
        <v>0</v>
      </c>
      <c r="AC10" s="23">
        <f t="shared" ref="AC10:AC23" si="3">D10*G10/1000</f>
        <v>0</v>
      </c>
      <c r="AD10" s="23">
        <f t="shared" ref="AD10:AD23" si="4">D10*H10/1000</f>
        <v>0</v>
      </c>
      <c r="AE10" s="23">
        <f t="shared" ref="AE10:AE23" si="5">D10*I10/1000</f>
        <v>0</v>
      </c>
      <c r="AF10" s="23">
        <f t="shared" ref="AF10:AF23" si="6">D10*J10/1000</f>
        <v>0</v>
      </c>
      <c r="AG10" s="23">
        <f t="shared" ref="AG10:AG23" si="7">D10*F10*$AV$9/1000</f>
        <v>0</v>
      </c>
      <c r="AH10" s="23">
        <f t="shared" ref="AH10:AH23" si="8">D10*G10*$AV$10/1000</f>
        <v>0</v>
      </c>
      <c r="AI10" s="23">
        <f t="shared" ref="AI10:AI23" si="9">D10*H10*$AV$11/1000</f>
        <v>0</v>
      </c>
      <c r="AJ10" s="23">
        <f t="shared" ref="AJ10:AJ23" si="10">D10*I10*$AV$12/1000</f>
        <v>0</v>
      </c>
      <c r="AK10" s="23">
        <f t="shared" ref="AK10:AK23" si="11">D10*J10*$AV$13/1000</f>
        <v>0</v>
      </c>
      <c r="AL10" s="23">
        <f t="shared" ref="AL10:AL23" si="12">D10*K10*M10/1000</f>
        <v>0</v>
      </c>
      <c r="AM10" s="23">
        <f t="shared" ref="AM10:AM23" si="13">D10*L10*N10/1000</f>
        <v>0</v>
      </c>
      <c r="AN10" s="24"/>
      <c r="AO10" s="23">
        <f t="shared" ref="AO10:AO23" si="14">D10*Q10/1000</f>
        <v>0</v>
      </c>
      <c r="AP10" s="23" t="e">
        <f t="shared" ref="AP10:AP23" si="15">AO10/$AO$24</f>
        <v>#DIV/0!</v>
      </c>
      <c r="AQ10" s="23" t="e">
        <f t="shared" ref="AQ10:AQ23" si="16">AO10/$AO$44</f>
        <v>#DIV/0!</v>
      </c>
      <c r="AR10" s="23" t="e">
        <f t="shared" ref="AR10:AR23" si="17">AO10/$AO$45</f>
        <v>#DIV/0!</v>
      </c>
      <c r="AS10" s="25"/>
      <c r="AU10" s="2" t="s">
        <v>122</v>
      </c>
      <c r="AV10" s="160">
        <v>28</v>
      </c>
    </row>
    <row r="11" spans="1:60" x14ac:dyDescent="0.25">
      <c r="A11" s="452"/>
      <c r="B11" s="26"/>
      <c r="C11" s="15"/>
      <c r="D11" s="27"/>
      <c r="E11" s="28"/>
      <c r="F11" s="28"/>
      <c r="G11" s="28"/>
      <c r="H11" s="28"/>
      <c r="I11" s="28"/>
      <c r="J11" s="28"/>
      <c r="K11" s="28"/>
      <c r="L11" s="28"/>
      <c r="M11" s="18"/>
      <c r="N11" s="19"/>
      <c r="O11" s="29"/>
      <c r="P11" s="21"/>
      <c r="Q11" s="22">
        <f t="shared" si="0"/>
        <v>0</v>
      </c>
      <c r="R11" s="28"/>
      <c r="S11" s="28"/>
      <c r="T11" s="28"/>
      <c r="U11" s="28"/>
      <c r="V11" s="28"/>
      <c r="W11" s="28"/>
      <c r="X11" s="28"/>
      <c r="Y11" s="28"/>
      <c r="Z11" s="28"/>
      <c r="AA11" s="23">
        <f t="shared" si="1"/>
        <v>0</v>
      </c>
      <c r="AB11" s="23">
        <f t="shared" si="2"/>
        <v>0</v>
      </c>
      <c r="AC11" s="23">
        <f t="shared" si="3"/>
        <v>0</v>
      </c>
      <c r="AD11" s="23">
        <f t="shared" si="4"/>
        <v>0</v>
      </c>
      <c r="AE11" s="23">
        <f t="shared" si="5"/>
        <v>0</v>
      </c>
      <c r="AF11" s="23">
        <f t="shared" si="6"/>
        <v>0</v>
      </c>
      <c r="AG11" s="23">
        <f t="shared" si="7"/>
        <v>0</v>
      </c>
      <c r="AH11" s="23">
        <f t="shared" si="8"/>
        <v>0</v>
      </c>
      <c r="AI11" s="23">
        <f t="shared" si="9"/>
        <v>0</v>
      </c>
      <c r="AJ11" s="23">
        <f t="shared" si="10"/>
        <v>0</v>
      </c>
      <c r="AK11" s="23">
        <f t="shared" si="11"/>
        <v>0</v>
      </c>
      <c r="AL11" s="23">
        <f t="shared" si="12"/>
        <v>0</v>
      </c>
      <c r="AM11" s="23">
        <f t="shared" si="13"/>
        <v>0</v>
      </c>
      <c r="AN11" s="24"/>
      <c r="AO11" s="23">
        <f t="shared" si="14"/>
        <v>0</v>
      </c>
      <c r="AP11" s="23" t="e">
        <f t="shared" si="15"/>
        <v>#DIV/0!</v>
      </c>
      <c r="AQ11" s="23" t="e">
        <f t="shared" si="16"/>
        <v>#DIV/0!</v>
      </c>
      <c r="AR11" s="23" t="e">
        <f t="shared" si="17"/>
        <v>#DIV/0!</v>
      </c>
      <c r="AS11" s="30"/>
      <c r="AT11" s="31"/>
      <c r="AU11" s="2" t="s">
        <v>123</v>
      </c>
      <c r="AV11" s="2">
        <v>265</v>
      </c>
    </row>
    <row r="12" spans="1:60" x14ac:dyDescent="0.25">
      <c r="A12" s="452"/>
      <c r="B12" s="26"/>
      <c r="C12" s="15"/>
      <c r="D12" s="27"/>
      <c r="E12" s="28"/>
      <c r="F12" s="28"/>
      <c r="G12" s="28"/>
      <c r="H12" s="28"/>
      <c r="I12" s="28"/>
      <c r="J12" s="28"/>
      <c r="K12" s="28"/>
      <c r="L12" s="28"/>
      <c r="M12" s="18"/>
      <c r="N12" s="19"/>
      <c r="O12" s="29"/>
      <c r="P12" s="21"/>
      <c r="Q12" s="22">
        <f t="shared" si="0"/>
        <v>0</v>
      </c>
      <c r="R12" s="28"/>
      <c r="S12" s="28"/>
      <c r="T12" s="28"/>
      <c r="U12" s="28"/>
      <c r="V12" s="28"/>
      <c r="W12" s="28"/>
      <c r="X12" s="28"/>
      <c r="Y12" s="28"/>
      <c r="Z12" s="28"/>
      <c r="AA12" s="23">
        <f t="shared" si="1"/>
        <v>0</v>
      </c>
      <c r="AB12" s="23">
        <f t="shared" si="2"/>
        <v>0</v>
      </c>
      <c r="AC12" s="23">
        <f t="shared" si="3"/>
        <v>0</v>
      </c>
      <c r="AD12" s="23">
        <f t="shared" si="4"/>
        <v>0</v>
      </c>
      <c r="AE12" s="23">
        <f t="shared" si="5"/>
        <v>0</v>
      </c>
      <c r="AF12" s="23">
        <f t="shared" si="6"/>
        <v>0</v>
      </c>
      <c r="AG12" s="23">
        <f t="shared" si="7"/>
        <v>0</v>
      </c>
      <c r="AH12" s="23">
        <f t="shared" si="8"/>
        <v>0</v>
      </c>
      <c r="AI12" s="23">
        <f t="shared" si="9"/>
        <v>0</v>
      </c>
      <c r="AJ12" s="23">
        <f t="shared" si="10"/>
        <v>0</v>
      </c>
      <c r="AK12" s="23">
        <f t="shared" si="11"/>
        <v>0</v>
      </c>
      <c r="AL12" s="23">
        <f t="shared" si="12"/>
        <v>0</v>
      </c>
      <c r="AM12" s="23">
        <f t="shared" si="13"/>
        <v>0</v>
      </c>
      <c r="AN12" s="24"/>
      <c r="AO12" s="23">
        <f t="shared" si="14"/>
        <v>0</v>
      </c>
      <c r="AP12" s="23" t="e">
        <f t="shared" si="15"/>
        <v>#DIV/0!</v>
      </c>
      <c r="AQ12" s="23" t="e">
        <f t="shared" si="16"/>
        <v>#DIV/0!</v>
      </c>
      <c r="AR12" s="23" t="e">
        <f t="shared" si="17"/>
        <v>#DIV/0!</v>
      </c>
      <c r="AS12" s="30"/>
      <c r="AT12" s="31"/>
      <c r="AU12" s="2" t="s">
        <v>124</v>
      </c>
      <c r="AV12" s="2">
        <v>23500</v>
      </c>
    </row>
    <row r="13" spans="1:60" x14ac:dyDescent="0.25">
      <c r="A13" s="452"/>
      <c r="B13" s="26"/>
      <c r="C13" s="15"/>
      <c r="D13" s="27"/>
      <c r="E13" s="28"/>
      <c r="F13" s="28"/>
      <c r="G13" s="28"/>
      <c r="H13" s="28"/>
      <c r="I13" s="28"/>
      <c r="J13" s="28"/>
      <c r="K13" s="28"/>
      <c r="L13" s="28"/>
      <c r="M13" s="18"/>
      <c r="N13" s="19"/>
      <c r="O13" s="29"/>
      <c r="P13" s="21"/>
      <c r="Q13" s="22">
        <f t="shared" si="0"/>
        <v>0</v>
      </c>
      <c r="R13" s="28"/>
      <c r="S13" s="28"/>
      <c r="T13" s="28"/>
      <c r="U13" s="28"/>
      <c r="V13" s="28"/>
      <c r="W13" s="28"/>
      <c r="X13" s="28"/>
      <c r="Y13" s="28"/>
      <c r="Z13" s="28"/>
      <c r="AA13" s="23">
        <f t="shared" si="1"/>
        <v>0</v>
      </c>
      <c r="AB13" s="23">
        <f t="shared" si="2"/>
        <v>0</v>
      </c>
      <c r="AC13" s="23">
        <f t="shared" si="3"/>
        <v>0</v>
      </c>
      <c r="AD13" s="23">
        <f t="shared" si="4"/>
        <v>0</v>
      </c>
      <c r="AE13" s="23">
        <f t="shared" si="5"/>
        <v>0</v>
      </c>
      <c r="AF13" s="23">
        <f t="shared" si="6"/>
        <v>0</v>
      </c>
      <c r="AG13" s="23">
        <f t="shared" si="7"/>
        <v>0</v>
      </c>
      <c r="AH13" s="23">
        <f t="shared" si="8"/>
        <v>0</v>
      </c>
      <c r="AI13" s="23">
        <f t="shared" si="9"/>
        <v>0</v>
      </c>
      <c r="AJ13" s="23">
        <f t="shared" si="10"/>
        <v>0</v>
      </c>
      <c r="AK13" s="23">
        <f t="shared" si="11"/>
        <v>0</v>
      </c>
      <c r="AL13" s="23">
        <f t="shared" si="12"/>
        <v>0</v>
      </c>
      <c r="AM13" s="23">
        <f t="shared" si="13"/>
        <v>0</v>
      </c>
      <c r="AN13" s="24"/>
      <c r="AO13" s="23">
        <f t="shared" si="14"/>
        <v>0</v>
      </c>
      <c r="AP13" s="23" t="e">
        <f t="shared" si="15"/>
        <v>#DIV/0!</v>
      </c>
      <c r="AQ13" s="23" t="e">
        <f t="shared" si="16"/>
        <v>#DIV/0!</v>
      </c>
      <c r="AR13" s="23" t="e">
        <f t="shared" si="17"/>
        <v>#DIV/0!</v>
      </c>
      <c r="AS13" s="30"/>
      <c r="AT13" s="31"/>
      <c r="AU13" s="2" t="s">
        <v>125</v>
      </c>
      <c r="AV13" s="2">
        <v>16100</v>
      </c>
    </row>
    <row r="14" spans="1:60" x14ac:dyDescent="0.25">
      <c r="A14" s="452"/>
      <c r="B14" s="14"/>
      <c r="C14" s="15"/>
      <c r="D14" s="32"/>
      <c r="E14" s="28"/>
      <c r="F14" s="28"/>
      <c r="G14" s="28"/>
      <c r="H14" s="28"/>
      <c r="I14" s="28"/>
      <c r="J14" s="28"/>
      <c r="K14" s="28"/>
      <c r="L14" s="28"/>
      <c r="M14" s="18"/>
      <c r="N14" s="19"/>
      <c r="O14" s="29"/>
      <c r="P14" s="21"/>
      <c r="Q14" s="22">
        <f t="shared" si="0"/>
        <v>0</v>
      </c>
      <c r="R14" s="28"/>
      <c r="S14" s="28"/>
      <c r="T14" s="28"/>
      <c r="U14" s="28"/>
      <c r="V14" s="28"/>
      <c r="W14" s="28"/>
      <c r="X14" s="28"/>
      <c r="Y14" s="28"/>
      <c r="Z14" s="28"/>
      <c r="AA14" s="23">
        <f t="shared" si="1"/>
        <v>0</v>
      </c>
      <c r="AB14" s="23">
        <f t="shared" si="2"/>
        <v>0</v>
      </c>
      <c r="AC14" s="23">
        <f t="shared" si="3"/>
        <v>0</v>
      </c>
      <c r="AD14" s="23">
        <f t="shared" si="4"/>
        <v>0</v>
      </c>
      <c r="AE14" s="23">
        <f t="shared" si="5"/>
        <v>0</v>
      </c>
      <c r="AF14" s="23">
        <f t="shared" si="6"/>
        <v>0</v>
      </c>
      <c r="AG14" s="23">
        <f t="shared" si="7"/>
        <v>0</v>
      </c>
      <c r="AH14" s="23">
        <f t="shared" si="8"/>
        <v>0</v>
      </c>
      <c r="AI14" s="23">
        <f t="shared" si="9"/>
        <v>0</v>
      </c>
      <c r="AJ14" s="23">
        <f t="shared" si="10"/>
        <v>0</v>
      </c>
      <c r="AK14" s="23">
        <f t="shared" si="11"/>
        <v>0</v>
      </c>
      <c r="AL14" s="23">
        <f t="shared" si="12"/>
        <v>0</v>
      </c>
      <c r="AM14" s="23">
        <f t="shared" si="13"/>
        <v>0</v>
      </c>
      <c r="AN14" s="24"/>
      <c r="AO14" s="23">
        <f t="shared" si="14"/>
        <v>0</v>
      </c>
      <c r="AP14" s="23" t="e">
        <f t="shared" si="15"/>
        <v>#DIV/0!</v>
      </c>
      <c r="AQ14" s="23" t="e">
        <f t="shared" si="16"/>
        <v>#DIV/0!</v>
      </c>
      <c r="AR14" s="23" t="e">
        <f t="shared" si="17"/>
        <v>#DIV/0!</v>
      </c>
      <c r="AS14" s="30"/>
      <c r="AT14" s="31"/>
    </row>
    <row r="15" spans="1:60" x14ac:dyDescent="0.25">
      <c r="A15" s="452"/>
      <c r="B15" s="26"/>
      <c r="C15" s="15"/>
      <c r="D15" s="32"/>
      <c r="E15" s="28"/>
      <c r="F15" s="28"/>
      <c r="G15" s="28"/>
      <c r="H15" s="28"/>
      <c r="I15" s="28"/>
      <c r="J15" s="28"/>
      <c r="K15" s="28"/>
      <c r="L15" s="28"/>
      <c r="M15" s="18"/>
      <c r="N15" s="19"/>
      <c r="O15" s="29"/>
      <c r="P15" s="21"/>
      <c r="Q15" s="22">
        <f t="shared" si="0"/>
        <v>0</v>
      </c>
      <c r="R15" s="28"/>
      <c r="S15" s="28"/>
      <c r="T15" s="28"/>
      <c r="U15" s="28"/>
      <c r="V15" s="28"/>
      <c r="W15" s="28"/>
      <c r="X15" s="28"/>
      <c r="Y15" s="28"/>
      <c r="Z15" s="28"/>
      <c r="AA15" s="23">
        <f t="shared" si="1"/>
        <v>0</v>
      </c>
      <c r="AB15" s="23">
        <f t="shared" si="2"/>
        <v>0</v>
      </c>
      <c r="AC15" s="23">
        <f t="shared" si="3"/>
        <v>0</v>
      </c>
      <c r="AD15" s="23">
        <f t="shared" si="4"/>
        <v>0</v>
      </c>
      <c r="AE15" s="23">
        <f t="shared" si="5"/>
        <v>0</v>
      </c>
      <c r="AF15" s="23">
        <f t="shared" si="6"/>
        <v>0</v>
      </c>
      <c r="AG15" s="23">
        <f t="shared" si="7"/>
        <v>0</v>
      </c>
      <c r="AH15" s="23">
        <f t="shared" si="8"/>
        <v>0</v>
      </c>
      <c r="AI15" s="23">
        <f t="shared" si="9"/>
        <v>0</v>
      </c>
      <c r="AJ15" s="23">
        <f t="shared" si="10"/>
        <v>0</v>
      </c>
      <c r="AK15" s="23">
        <f t="shared" si="11"/>
        <v>0</v>
      </c>
      <c r="AL15" s="23">
        <f t="shared" si="12"/>
        <v>0</v>
      </c>
      <c r="AM15" s="23">
        <f t="shared" si="13"/>
        <v>0</v>
      </c>
      <c r="AN15" s="24"/>
      <c r="AO15" s="23">
        <f t="shared" si="14"/>
        <v>0</v>
      </c>
      <c r="AP15" s="23" t="e">
        <f t="shared" si="15"/>
        <v>#DIV/0!</v>
      </c>
      <c r="AQ15" s="23" t="e">
        <f t="shared" si="16"/>
        <v>#DIV/0!</v>
      </c>
      <c r="AR15" s="23" t="e">
        <f t="shared" si="17"/>
        <v>#DIV/0!</v>
      </c>
      <c r="AS15" s="30"/>
      <c r="AT15" s="31"/>
    </row>
    <row r="16" spans="1:60" x14ac:dyDescent="0.25">
      <c r="A16" s="452"/>
      <c r="B16" s="26"/>
      <c r="C16" s="15"/>
      <c r="D16" s="32"/>
      <c r="E16" s="28"/>
      <c r="F16" s="28"/>
      <c r="G16" s="28"/>
      <c r="H16" s="28"/>
      <c r="I16" s="28"/>
      <c r="J16" s="28"/>
      <c r="K16" s="28"/>
      <c r="L16" s="28"/>
      <c r="M16" s="28"/>
      <c r="N16" s="19"/>
      <c r="O16" s="29"/>
      <c r="P16" s="33"/>
      <c r="Q16" s="22">
        <f t="shared" si="0"/>
        <v>0</v>
      </c>
      <c r="R16" s="28"/>
      <c r="S16" s="28"/>
      <c r="T16" s="28"/>
      <c r="U16" s="28"/>
      <c r="V16" s="28"/>
      <c r="W16" s="28"/>
      <c r="X16" s="28"/>
      <c r="Y16" s="28"/>
      <c r="Z16" s="28"/>
      <c r="AA16" s="23">
        <f t="shared" si="1"/>
        <v>0</v>
      </c>
      <c r="AB16" s="23">
        <f t="shared" si="2"/>
        <v>0</v>
      </c>
      <c r="AC16" s="23">
        <f t="shared" si="3"/>
        <v>0</v>
      </c>
      <c r="AD16" s="23">
        <f t="shared" si="4"/>
        <v>0</v>
      </c>
      <c r="AE16" s="23">
        <f t="shared" si="5"/>
        <v>0</v>
      </c>
      <c r="AF16" s="23">
        <f t="shared" si="6"/>
        <v>0</v>
      </c>
      <c r="AG16" s="23">
        <f t="shared" si="7"/>
        <v>0</v>
      </c>
      <c r="AH16" s="23">
        <f t="shared" si="8"/>
        <v>0</v>
      </c>
      <c r="AI16" s="23">
        <f t="shared" si="9"/>
        <v>0</v>
      </c>
      <c r="AJ16" s="23">
        <f t="shared" si="10"/>
        <v>0</v>
      </c>
      <c r="AK16" s="23">
        <f t="shared" si="11"/>
        <v>0</v>
      </c>
      <c r="AL16" s="23">
        <f t="shared" si="12"/>
        <v>0</v>
      </c>
      <c r="AM16" s="23">
        <f t="shared" si="13"/>
        <v>0</v>
      </c>
      <c r="AN16" s="24"/>
      <c r="AO16" s="23">
        <f t="shared" si="14"/>
        <v>0</v>
      </c>
      <c r="AP16" s="23" t="e">
        <f t="shared" si="15"/>
        <v>#DIV/0!</v>
      </c>
      <c r="AQ16" s="23" t="e">
        <f t="shared" si="16"/>
        <v>#DIV/0!</v>
      </c>
      <c r="AR16" s="23" t="e">
        <f t="shared" si="17"/>
        <v>#DIV/0!</v>
      </c>
      <c r="AS16" s="30"/>
      <c r="AT16" s="31"/>
    </row>
    <row r="17" spans="1:47" x14ac:dyDescent="0.25">
      <c r="A17" s="452"/>
      <c r="B17" s="14"/>
      <c r="C17" s="15"/>
      <c r="D17" s="32"/>
      <c r="E17" s="28"/>
      <c r="F17" s="28"/>
      <c r="G17" s="28"/>
      <c r="H17" s="28"/>
      <c r="I17" s="28"/>
      <c r="J17" s="28"/>
      <c r="K17" s="28"/>
      <c r="L17" s="28"/>
      <c r="M17" s="18"/>
      <c r="N17" s="19"/>
      <c r="O17" s="29"/>
      <c r="P17" s="21"/>
      <c r="Q17" s="22">
        <f t="shared" si="0"/>
        <v>0</v>
      </c>
      <c r="R17" s="28"/>
      <c r="S17" s="28"/>
      <c r="T17" s="28"/>
      <c r="U17" s="28"/>
      <c r="V17" s="28"/>
      <c r="W17" s="28"/>
      <c r="X17" s="28"/>
      <c r="Y17" s="28"/>
      <c r="Z17" s="28"/>
      <c r="AA17" s="23">
        <f t="shared" si="1"/>
        <v>0</v>
      </c>
      <c r="AB17" s="23">
        <f t="shared" si="2"/>
        <v>0</v>
      </c>
      <c r="AC17" s="23">
        <f t="shared" si="3"/>
        <v>0</v>
      </c>
      <c r="AD17" s="23">
        <f t="shared" si="4"/>
        <v>0</v>
      </c>
      <c r="AE17" s="23">
        <f t="shared" si="5"/>
        <v>0</v>
      </c>
      <c r="AF17" s="23">
        <f t="shared" si="6"/>
        <v>0</v>
      </c>
      <c r="AG17" s="23">
        <f t="shared" si="7"/>
        <v>0</v>
      </c>
      <c r="AH17" s="23">
        <f t="shared" si="8"/>
        <v>0</v>
      </c>
      <c r="AI17" s="23">
        <f t="shared" si="9"/>
        <v>0</v>
      </c>
      <c r="AJ17" s="23">
        <f t="shared" si="10"/>
        <v>0</v>
      </c>
      <c r="AK17" s="23">
        <f t="shared" si="11"/>
        <v>0</v>
      </c>
      <c r="AL17" s="23">
        <f t="shared" si="12"/>
        <v>0</v>
      </c>
      <c r="AM17" s="23">
        <f t="shared" si="13"/>
        <v>0</v>
      </c>
      <c r="AN17" s="24"/>
      <c r="AO17" s="23">
        <f t="shared" si="14"/>
        <v>0</v>
      </c>
      <c r="AP17" s="23" t="e">
        <f t="shared" si="15"/>
        <v>#DIV/0!</v>
      </c>
      <c r="AQ17" s="23" t="e">
        <f t="shared" si="16"/>
        <v>#DIV/0!</v>
      </c>
      <c r="AR17" s="23" t="e">
        <f t="shared" si="17"/>
        <v>#DIV/0!</v>
      </c>
      <c r="AS17" s="30"/>
      <c r="AT17" s="31"/>
    </row>
    <row r="18" spans="1:47" x14ac:dyDescent="0.25">
      <c r="A18" s="452"/>
      <c r="B18" s="26"/>
      <c r="C18" s="15"/>
      <c r="D18" s="32"/>
      <c r="E18" s="28"/>
      <c r="F18" s="28"/>
      <c r="G18" s="28"/>
      <c r="H18" s="28"/>
      <c r="I18" s="28"/>
      <c r="J18" s="28"/>
      <c r="K18" s="28"/>
      <c r="L18" s="28"/>
      <c r="M18" s="18"/>
      <c r="N18" s="19"/>
      <c r="O18" s="29"/>
      <c r="P18" s="21"/>
      <c r="Q18" s="22">
        <f t="shared" si="0"/>
        <v>0</v>
      </c>
      <c r="R18" s="28"/>
      <c r="S18" s="28"/>
      <c r="T18" s="28"/>
      <c r="U18" s="28"/>
      <c r="V18" s="28"/>
      <c r="W18" s="28"/>
      <c r="X18" s="28"/>
      <c r="Y18" s="28"/>
      <c r="Z18" s="28"/>
      <c r="AA18" s="23">
        <f t="shared" si="1"/>
        <v>0</v>
      </c>
      <c r="AB18" s="23">
        <f t="shared" si="2"/>
        <v>0</v>
      </c>
      <c r="AC18" s="23">
        <f t="shared" si="3"/>
        <v>0</v>
      </c>
      <c r="AD18" s="23">
        <f t="shared" si="4"/>
        <v>0</v>
      </c>
      <c r="AE18" s="23">
        <f t="shared" si="5"/>
        <v>0</v>
      </c>
      <c r="AF18" s="23">
        <f t="shared" si="6"/>
        <v>0</v>
      </c>
      <c r="AG18" s="23">
        <f t="shared" si="7"/>
        <v>0</v>
      </c>
      <c r="AH18" s="23">
        <f t="shared" si="8"/>
        <v>0</v>
      </c>
      <c r="AI18" s="23">
        <f t="shared" si="9"/>
        <v>0</v>
      </c>
      <c r="AJ18" s="23">
        <f t="shared" si="10"/>
        <v>0</v>
      </c>
      <c r="AK18" s="23">
        <f t="shared" si="11"/>
        <v>0</v>
      </c>
      <c r="AL18" s="23">
        <f t="shared" si="12"/>
        <v>0</v>
      </c>
      <c r="AM18" s="23">
        <f t="shared" si="13"/>
        <v>0</v>
      </c>
      <c r="AN18" s="24"/>
      <c r="AO18" s="23">
        <f t="shared" si="14"/>
        <v>0</v>
      </c>
      <c r="AP18" s="23" t="e">
        <f t="shared" si="15"/>
        <v>#DIV/0!</v>
      </c>
      <c r="AQ18" s="23" t="e">
        <f t="shared" si="16"/>
        <v>#DIV/0!</v>
      </c>
      <c r="AR18" s="23" t="e">
        <f t="shared" si="17"/>
        <v>#DIV/0!</v>
      </c>
      <c r="AS18" s="30"/>
      <c r="AT18" s="31"/>
    </row>
    <row r="19" spans="1:47" x14ac:dyDescent="0.25">
      <c r="A19" s="452"/>
      <c r="B19" s="14"/>
      <c r="C19" s="15"/>
      <c r="D19" s="32"/>
      <c r="E19" s="28"/>
      <c r="F19" s="28"/>
      <c r="G19" s="28"/>
      <c r="H19" s="28"/>
      <c r="I19" s="28"/>
      <c r="J19" s="28"/>
      <c r="K19" s="28"/>
      <c r="L19" s="28"/>
      <c r="M19" s="18"/>
      <c r="N19" s="19"/>
      <c r="O19" s="29"/>
      <c r="P19" s="21"/>
      <c r="Q19" s="22">
        <f t="shared" si="0"/>
        <v>0</v>
      </c>
      <c r="R19" s="28"/>
      <c r="S19" s="28"/>
      <c r="T19" s="28"/>
      <c r="U19" s="28"/>
      <c r="V19" s="28"/>
      <c r="W19" s="28"/>
      <c r="X19" s="28"/>
      <c r="Y19" s="28"/>
      <c r="Z19" s="28"/>
      <c r="AA19" s="23">
        <f t="shared" si="1"/>
        <v>0</v>
      </c>
      <c r="AB19" s="23">
        <f t="shared" si="2"/>
        <v>0</v>
      </c>
      <c r="AC19" s="23">
        <f t="shared" si="3"/>
        <v>0</v>
      </c>
      <c r="AD19" s="23">
        <f t="shared" si="4"/>
        <v>0</v>
      </c>
      <c r="AE19" s="23">
        <f t="shared" si="5"/>
        <v>0</v>
      </c>
      <c r="AF19" s="23">
        <f t="shared" si="6"/>
        <v>0</v>
      </c>
      <c r="AG19" s="23">
        <f t="shared" si="7"/>
        <v>0</v>
      </c>
      <c r="AH19" s="23">
        <f t="shared" si="8"/>
        <v>0</v>
      </c>
      <c r="AI19" s="23">
        <f t="shared" si="9"/>
        <v>0</v>
      </c>
      <c r="AJ19" s="23">
        <f t="shared" si="10"/>
        <v>0</v>
      </c>
      <c r="AK19" s="23">
        <f t="shared" si="11"/>
        <v>0</v>
      </c>
      <c r="AL19" s="23">
        <f t="shared" si="12"/>
        <v>0</v>
      </c>
      <c r="AM19" s="23">
        <f t="shared" si="13"/>
        <v>0</v>
      </c>
      <c r="AN19" s="24"/>
      <c r="AO19" s="23">
        <f t="shared" si="14"/>
        <v>0</v>
      </c>
      <c r="AP19" s="23" t="e">
        <f t="shared" si="15"/>
        <v>#DIV/0!</v>
      </c>
      <c r="AQ19" s="23" t="e">
        <f t="shared" si="16"/>
        <v>#DIV/0!</v>
      </c>
      <c r="AR19" s="23" t="e">
        <f t="shared" si="17"/>
        <v>#DIV/0!</v>
      </c>
      <c r="AS19" s="30"/>
      <c r="AT19" s="31"/>
    </row>
    <row r="20" spans="1:47" x14ac:dyDescent="0.25">
      <c r="A20" s="452"/>
      <c r="B20" s="26"/>
      <c r="C20" s="15"/>
      <c r="D20" s="27"/>
      <c r="E20" s="28"/>
      <c r="F20" s="28"/>
      <c r="G20" s="28"/>
      <c r="H20" s="28"/>
      <c r="I20" s="28"/>
      <c r="J20" s="28"/>
      <c r="K20" s="28"/>
      <c r="L20" s="28"/>
      <c r="M20" s="18"/>
      <c r="N20" s="28"/>
      <c r="O20" s="29"/>
      <c r="P20" s="21"/>
      <c r="Q20" s="22">
        <f t="shared" si="0"/>
        <v>0</v>
      </c>
      <c r="R20" s="28"/>
      <c r="S20" s="28"/>
      <c r="T20" s="28"/>
      <c r="U20" s="28"/>
      <c r="V20" s="28"/>
      <c r="W20" s="28"/>
      <c r="X20" s="28"/>
      <c r="Y20" s="28"/>
      <c r="Z20" s="28"/>
      <c r="AA20" s="23">
        <f t="shared" si="1"/>
        <v>0</v>
      </c>
      <c r="AB20" s="23">
        <f t="shared" si="2"/>
        <v>0</v>
      </c>
      <c r="AC20" s="23">
        <f t="shared" si="3"/>
        <v>0</v>
      </c>
      <c r="AD20" s="23">
        <f t="shared" si="4"/>
        <v>0</v>
      </c>
      <c r="AE20" s="23">
        <f t="shared" si="5"/>
        <v>0</v>
      </c>
      <c r="AF20" s="23">
        <f t="shared" si="6"/>
        <v>0</v>
      </c>
      <c r="AG20" s="23">
        <f t="shared" si="7"/>
        <v>0</v>
      </c>
      <c r="AH20" s="23">
        <f t="shared" si="8"/>
        <v>0</v>
      </c>
      <c r="AI20" s="23">
        <f t="shared" si="9"/>
        <v>0</v>
      </c>
      <c r="AJ20" s="23">
        <f t="shared" si="10"/>
        <v>0</v>
      </c>
      <c r="AK20" s="23">
        <f t="shared" si="11"/>
        <v>0</v>
      </c>
      <c r="AL20" s="23">
        <f t="shared" si="12"/>
        <v>0</v>
      </c>
      <c r="AM20" s="23">
        <f t="shared" si="13"/>
        <v>0</v>
      </c>
      <c r="AN20" s="24"/>
      <c r="AO20" s="23">
        <f t="shared" si="14"/>
        <v>0</v>
      </c>
      <c r="AP20" s="23" t="e">
        <f t="shared" si="15"/>
        <v>#DIV/0!</v>
      </c>
      <c r="AQ20" s="23" t="e">
        <f t="shared" si="16"/>
        <v>#DIV/0!</v>
      </c>
      <c r="AR20" s="23" t="e">
        <f t="shared" si="17"/>
        <v>#DIV/0!</v>
      </c>
      <c r="AS20" s="30"/>
      <c r="AT20" s="31"/>
    </row>
    <row r="21" spans="1:47" x14ac:dyDescent="0.25">
      <c r="A21" s="452"/>
      <c r="B21" s="26"/>
      <c r="C21" s="15"/>
      <c r="D21" s="27"/>
      <c r="E21" s="28"/>
      <c r="F21" s="28"/>
      <c r="G21" s="28"/>
      <c r="H21" s="28"/>
      <c r="I21" s="28"/>
      <c r="J21" s="28"/>
      <c r="K21" s="28"/>
      <c r="L21" s="28"/>
      <c r="M21" s="18"/>
      <c r="N21" s="28"/>
      <c r="O21" s="29"/>
      <c r="P21" s="21"/>
      <c r="Q21" s="22">
        <f t="shared" si="0"/>
        <v>0</v>
      </c>
      <c r="R21" s="28"/>
      <c r="S21" s="28"/>
      <c r="T21" s="28"/>
      <c r="U21" s="28"/>
      <c r="V21" s="28"/>
      <c r="W21" s="28"/>
      <c r="X21" s="28"/>
      <c r="Y21" s="28"/>
      <c r="Z21" s="28"/>
      <c r="AA21" s="23">
        <f t="shared" si="1"/>
        <v>0</v>
      </c>
      <c r="AB21" s="23">
        <f t="shared" si="2"/>
        <v>0</v>
      </c>
      <c r="AC21" s="23">
        <f t="shared" si="3"/>
        <v>0</v>
      </c>
      <c r="AD21" s="23">
        <f t="shared" si="4"/>
        <v>0</v>
      </c>
      <c r="AE21" s="23">
        <f t="shared" si="5"/>
        <v>0</v>
      </c>
      <c r="AF21" s="23">
        <f t="shared" si="6"/>
        <v>0</v>
      </c>
      <c r="AG21" s="23">
        <f t="shared" si="7"/>
        <v>0</v>
      </c>
      <c r="AH21" s="23">
        <f t="shared" si="8"/>
        <v>0</v>
      </c>
      <c r="AI21" s="23">
        <f t="shared" si="9"/>
        <v>0</v>
      </c>
      <c r="AJ21" s="23">
        <f t="shared" si="10"/>
        <v>0</v>
      </c>
      <c r="AK21" s="23">
        <f t="shared" si="11"/>
        <v>0</v>
      </c>
      <c r="AL21" s="23">
        <f t="shared" si="12"/>
        <v>0</v>
      </c>
      <c r="AM21" s="23">
        <f t="shared" si="13"/>
        <v>0</v>
      </c>
      <c r="AN21" s="24"/>
      <c r="AO21" s="23">
        <f t="shared" si="14"/>
        <v>0</v>
      </c>
      <c r="AP21" s="23" t="e">
        <f t="shared" si="15"/>
        <v>#DIV/0!</v>
      </c>
      <c r="AQ21" s="23" t="e">
        <f t="shared" si="16"/>
        <v>#DIV/0!</v>
      </c>
      <c r="AR21" s="23" t="e">
        <f t="shared" si="17"/>
        <v>#DIV/0!</v>
      </c>
      <c r="AS21" s="30"/>
      <c r="AT21" s="31"/>
    </row>
    <row r="22" spans="1:47" x14ac:dyDescent="0.25">
      <c r="A22" s="452"/>
      <c r="B22" s="26"/>
      <c r="C22" s="15"/>
      <c r="D22" s="27"/>
      <c r="E22" s="28"/>
      <c r="F22" s="28"/>
      <c r="G22" s="28"/>
      <c r="H22" s="28"/>
      <c r="I22" s="28"/>
      <c r="J22" s="28"/>
      <c r="K22" s="28"/>
      <c r="L22" s="28"/>
      <c r="M22" s="18"/>
      <c r="N22" s="19"/>
      <c r="O22" s="29"/>
      <c r="P22" s="21"/>
      <c r="Q22" s="22">
        <f t="shared" si="0"/>
        <v>0</v>
      </c>
      <c r="R22" s="28"/>
      <c r="S22" s="28"/>
      <c r="T22" s="28"/>
      <c r="U22" s="28"/>
      <c r="V22" s="28"/>
      <c r="W22" s="28"/>
      <c r="X22" s="28"/>
      <c r="Y22" s="28"/>
      <c r="Z22" s="28"/>
      <c r="AA22" s="23">
        <f t="shared" si="1"/>
        <v>0</v>
      </c>
      <c r="AB22" s="23">
        <f t="shared" si="2"/>
        <v>0</v>
      </c>
      <c r="AC22" s="23">
        <f t="shared" si="3"/>
        <v>0</v>
      </c>
      <c r="AD22" s="23">
        <f t="shared" si="4"/>
        <v>0</v>
      </c>
      <c r="AE22" s="23">
        <f t="shared" si="5"/>
        <v>0</v>
      </c>
      <c r="AF22" s="23">
        <f t="shared" si="6"/>
        <v>0</v>
      </c>
      <c r="AG22" s="23">
        <f t="shared" si="7"/>
        <v>0</v>
      </c>
      <c r="AH22" s="23">
        <f t="shared" si="8"/>
        <v>0</v>
      </c>
      <c r="AI22" s="23">
        <f t="shared" si="9"/>
        <v>0</v>
      </c>
      <c r="AJ22" s="23">
        <f t="shared" si="10"/>
        <v>0</v>
      </c>
      <c r="AK22" s="23">
        <f t="shared" si="11"/>
        <v>0</v>
      </c>
      <c r="AL22" s="23">
        <f t="shared" si="12"/>
        <v>0</v>
      </c>
      <c r="AM22" s="23">
        <f t="shared" si="13"/>
        <v>0</v>
      </c>
      <c r="AN22" s="24"/>
      <c r="AO22" s="23">
        <f t="shared" si="14"/>
        <v>0</v>
      </c>
      <c r="AP22" s="23" t="e">
        <f t="shared" si="15"/>
        <v>#DIV/0!</v>
      </c>
      <c r="AQ22" s="23" t="e">
        <f t="shared" si="16"/>
        <v>#DIV/0!</v>
      </c>
      <c r="AR22" s="23" t="e">
        <f t="shared" si="17"/>
        <v>#DIV/0!</v>
      </c>
      <c r="AS22" s="34"/>
      <c r="AT22" s="31"/>
    </row>
    <row r="23" spans="1:47" x14ac:dyDescent="0.25">
      <c r="A23" s="452"/>
      <c r="B23" s="26"/>
      <c r="C23" s="15"/>
      <c r="D23" s="35"/>
      <c r="E23" s="36"/>
      <c r="F23" s="36"/>
      <c r="G23" s="36"/>
      <c r="H23" s="36"/>
      <c r="I23" s="36"/>
      <c r="J23" s="36"/>
      <c r="K23" s="36"/>
      <c r="L23" s="36"/>
      <c r="M23" s="18"/>
      <c r="N23" s="37"/>
      <c r="O23" s="29"/>
      <c r="P23" s="21"/>
      <c r="Q23" s="22">
        <f t="shared" si="0"/>
        <v>0</v>
      </c>
      <c r="R23" s="28"/>
      <c r="S23" s="28"/>
      <c r="T23" s="28"/>
      <c r="U23" s="28"/>
      <c r="V23" s="28"/>
      <c r="W23" s="28"/>
      <c r="X23" s="28"/>
      <c r="Y23" s="28"/>
      <c r="Z23" s="28"/>
      <c r="AA23" s="23">
        <f t="shared" si="1"/>
        <v>0</v>
      </c>
      <c r="AB23" s="23">
        <f t="shared" si="2"/>
        <v>0</v>
      </c>
      <c r="AC23" s="23">
        <f t="shared" si="3"/>
        <v>0</v>
      </c>
      <c r="AD23" s="23">
        <f t="shared" si="4"/>
        <v>0</v>
      </c>
      <c r="AE23" s="23">
        <f t="shared" si="5"/>
        <v>0</v>
      </c>
      <c r="AF23" s="23">
        <f t="shared" si="6"/>
        <v>0</v>
      </c>
      <c r="AG23" s="23">
        <f t="shared" si="7"/>
        <v>0</v>
      </c>
      <c r="AH23" s="23">
        <f t="shared" si="8"/>
        <v>0</v>
      </c>
      <c r="AI23" s="23">
        <f t="shared" si="9"/>
        <v>0</v>
      </c>
      <c r="AJ23" s="23">
        <f t="shared" si="10"/>
        <v>0</v>
      </c>
      <c r="AK23" s="23">
        <f t="shared" si="11"/>
        <v>0</v>
      </c>
      <c r="AL23" s="23">
        <f t="shared" si="12"/>
        <v>0</v>
      </c>
      <c r="AM23" s="23">
        <f t="shared" si="13"/>
        <v>0</v>
      </c>
      <c r="AN23" s="24"/>
      <c r="AO23" s="23">
        <f t="shared" si="14"/>
        <v>0</v>
      </c>
      <c r="AP23" s="23" t="e">
        <f t="shared" si="15"/>
        <v>#DIV/0!</v>
      </c>
      <c r="AQ23" s="23" t="e">
        <f t="shared" si="16"/>
        <v>#DIV/0!</v>
      </c>
      <c r="AR23" s="23" t="e">
        <f t="shared" si="17"/>
        <v>#DIV/0!</v>
      </c>
      <c r="AS23" s="25"/>
      <c r="AT23" s="31"/>
    </row>
    <row r="24" spans="1:47" x14ac:dyDescent="0.25">
      <c r="A24" s="453"/>
      <c r="B24" s="38"/>
      <c r="C24" s="39"/>
      <c r="D24" s="40"/>
      <c r="E24" s="454"/>
      <c r="F24" s="455"/>
      <c r="G24" s="455"/>
      <c r="H24" s="455"/>
      <c r="I24" s="455"/>
      <c r="J24" s="455"/>
      <c r="K24" s="455"/>
      <c r="L24" s="455"/>
      <c r="M24" s="455"/>
      <c r="N24" s="455"/>
      <c r="O24" s="455"/>
      <c r="P24" s="455"/>
      <c r="Q24" s="456"/>
      <c r="R24" s="107"/>
      <c r="S24" s="107"/>
      <c r="T24" s="107"/>
      <c r="U24" s="107"/>
      <c r="V24" s="107"/>
      <c r="W24" s="107"/>
      <c r="X24" s="107"/>
      <c r="Y24" s="107"/>
      <c r="Z24" s="107"/>
      <c r="AA24" s="41">
        <f t="shared" ref="AA24:AP24" si="18">SUM(AA10:AA23)</f>
        <v>0</v>
      </c>
      <c r="AB24" s="41">
        <f t="shared" si="18"/>
        <v>0</v>
      </c>
      <c r="AC24" s="41">
        <f t="shared" si="18"/>
        <v>0</v>
      </c>
      <c r="AD24" s="41">
        <f t="shared" si="18"/>
        <v>0</v>
      </c>
      <c r="AE24" s="41">
        <f t="shared" si="18"/>
        <v>0</v>
      </c>
      <c r="AF24" s="41">
        <f t="shared" si="18"/>
        <v>0</v>
      </c>
      <c r="AG24" s="41">
        <f t="shared" si="18"/>
        <v>0</v>
      </c>
      <c r="AH24" s="41">
        <f t="shared" si="18"/>
        <v>0</v>
      </c>
      <c r="AI24" s="41">
        <f t="shared" si="18"/>
        <v>0</v>
      </c>
      <c r="AJ24" s="41">
        <f t="shared" si="18"/>
        <v>0</v>
      </c>
      <c r="AK24" s="41">
        <f t="shared" si="18"/>
        <v>0</v>
      </c>
      <c r="AL24" s="41">
        <f t="shared" si="18"/>
        <v>0</v>
      </c>
      <c r="AM24" s="41">
        <f t="shared" si="18"/>
        <v>0</v>
      </c>
      <c r="AN24" s="41">
        <f t="shared" si="18"/>
        <v>0</v>
      </c>
      <c r="AO24" s="41">
        <f t="shared" si="18"/>
        <v>0</v>
      </c>
      <c r="AP24" s="41" t="e">
        <f t="shared" si="18"/>
        <v>#DIV/0!</v>
      </c>
      <c r="AQ24" s="41"/>
      <c r="AR24" s="41"/>
      <c r="AS24" s="42"/>
    </row>
    <row r="25" spans="1:47" x14ac:dyDescent="0.25">
      <c r="A25" s="468" t="s">
        <v>127</v>
      </c>
      <c r="B25" s="43"/>
      <c r="C25" s="44"/>
      <c r="D25" s="45"/>
      <c r="E25" s="17"/>
      <c r="F25" s="46"/>
      <c r="G25" s="47"/>
      <c r="H25" s="47"/>
      <c r="I25" s="47"/>
      <c r="J25" s="47"/>
      <c r="K25" s="47"/>
      <c r="L25" s="47"/>
      <c r="M25" s="47"/>
      <c r="N25" s="48"/>
      <c r="O25" s="17"/>
      <c r="P25" s="17"/>
      <c r="Q25" s="22">
        <f>(E25*$AV$8)+(O25*P25)</f>
        <v>0</v>
      </c>
      <c r="R25" s="28"/>
      <c r="S25" s="28"/>
      <c r="T25" s="28"/>
      <c r="U25" s="28"/>
      <c r="V25" s="28"/>
      <c r="W25" s="28"/>
      <c r="X25" s="28"/>
      <c r="Y25" s="28"/>
      <c r="Z25" s="28"/>
      <c r="AA25" s="23">
        <f>D25*E25*$AV$8/1000</f>
        <v>0</v>
      </c>
      <c r="AB25" s="49"/>
      <c r="AC25" s="50"/>
      <c r="AD25" s="50"/>
      <c r="AE25" s="50"/>
      <c r="AF25" s="50"/>
      <c r="AG25" s="49"/>
      <c r="AH25" s="50"/>
      <c r="AI25" s="50"/>
      <c r="AJ25" s="50"/>
      <c r="AK25" s="50"/>
      <c r="AL25" s="50"/>
      <c r="AM25" s="50"/>
      <c r="AN25" s="23">
        <f>D25*O25*P25/1000</f>
        <v>0</v>
      </c>
      <c r="AO25" s="23">
        <f>D25*Q25/1000</f>
        <v>0</v>
      </c>
      <c r="AP25" s="23" t="e">
        <f>AO25/$AO$30</f>
        <v>#DIV/0!</v>
      </c>
      <c r="AQ25" s="23"/>
      <c r="AR25" s="23"/>
      <c r="AS25" s="30"/>
    </row>
    <row r="26" spans="1:47" x14ac:dyDescent="0.25">
      <c r="A26" s="469"/>
      <c r="B26" s="51"/>
      <c r="C26" s="52"/>
      <c r="D26" s="53"/>
      <c r="E26" s="19"/>
      <c r="F26" s="33"/>
      <c r="G26" s="21"/>
      <c r="H26" s="21"/>
      <c r="I26" s="21"/>
      <c r="J26" s="21"/>
      <c r="K26" s="21"/>
      <c r="L26" s="21"/>
      <c r="M26" s="21"/>
      <c r="N26" s="54"/>
      <c r="O26" s="28"/>
      <c r="P26" s="28"/>
      <c r="Q26" s="22">
        <f>(E26*$AV$8)+(O26*P26)</f>
        <v>0</v>
      </c>
      <c r="R26" s="28"/>
      <c r="S26" s="28"/>
      <c r="T26" s="28"/>
      <c r="U26" s="28"/>
      <c r="V26" s="28"/>
      <c r="W26" s="28"/>
      <c r="X26" s="28"/>
      <c r="Y26" s="28"/>
      <c r="Z26" s="28"/>
      <c r="AA26" s="23">
        <f>D26*E26*$AV$8/1000</f>
        <v>0</v>
      </c>
      <c r="AB26" s="55"/>
      <c r="AC26" s="56"/>
      <c r="AD26" s="56"/>
      <c r="AE26" s="56"/>
      <c r="AF26" s="56"/>
      <c r="AG26" s="55"/>
      <c r="AH26" s="56"/>
      <c r="AI26" s="56"/>
      <c r="AJ26" s="56"/>
      <c r="AK26" s="56"/>
      <c r="AL26" s="56"/>
      <c r="AM26" s="56"/>
      <c r="AN26" s="23">
        <f>D26*O26*P26/1000</f>
        <v>0</v>
      </c>
      <c r="AO26" s="23">
        <f>D26*Q26/1000</f>
        <v>0</v>
      </c>
      <c r="AP26" s="23" t="e">
        <f>AO26/$AO$30</f>
        <v>#DIV/0!</v>
      </c>
      <c r="AQ26" s="142"/>
      <c r="AR26" s="142"/>
      <c r="AS26" s="57"/>
    </row>
    <row r="27" spans="1:47" x14ac:dyDescent="0.25">
      <c r="A27" s="469"/>
      <c r="B27" s="51"/>
      <c r="C27" s="52"/>
      <c r="D27" s="53"/>
      <c r="E27" s="19"/>
      <c r="F27" s="33"/>
      <c r="G27" s="21"/>
      <c r="H27" s="21"/>
      <c r="I27" s="21"/>
      <c r="J27" s="21"/>
      <c r="K27" s="21"/>
      <c r="L27" s="21"/>
      <c r="M27" s="21"/>
      <c r="N27" s="54"/>
      <c r="O27" s="28"/>
      <c r="P27" s="28"/>
      <c r="Q27" s="22">
        <f>(E27*$AV$8)+(O27*P27)</f>
        <v>0</v>
      </c>
      <c r="R27" s="28"/>
      <c r="S27" s="28"/>
      <c r="T27" s="28"/>
      <c r="U27" s="28"/>
      <c r="V27" s="28"/>
      <c r="W27" s="28"/>
      <c r="X27" s="28"/>
      <c r="Y27" s="28"/>
      <c r="Z27" s="28"/>
      <c r="AA27" s="23">
        <f>D27*E27*$AV$8/1000</f>
        <v>0</v>
      </c>
      <c r="AB27" s="55"/>
      <c r="AC27" s="56"/>
      <c r="AD27" s="56"/>
      <c r="AE27" s="56"/>
      <c r="AF27" s="56"/>
      <c r="AG27" s="55"/>
      <c r="AH27" s="56"/>
      <c r="AI27" s="56"/>
      <c r="AJ27" s="56"/>
      <c r="AK27" s="56"/>
      <c r="AL27" s="56"/>
      <c r="AM27" s="56"/>
      <c r="AN27" s="23">
        <f>D27*O27*P27/1000</f>
        <v>0</v>
      </c>
      <c r="AO27" s="23">
        <f>D27*Q27/1000</f>
        <v>0</v>
      </c>
      <c r="AP27" s="23" t="e">
        <f>AO27/$AO$30</f>
        <v>#DIV/0!</v>
      </c>
      <c r="AQ27" s="142"/>
      <c r="AR27" s="142"/>
      <c r="AS27" s="57"/>
    </row>
    <row r="28" spans="1:47" x14ac:dyDescent="0.25">
      <c r="A28" s="469"/>
      <c r="B28" s="51"/>
      <c r="C28" s="58"/>
      <c r="D28" s="53"/>
      <c r="E28" s="59"/>
      <c r="F28" s="33"/>
      <c r="G28" s="21"/>
      <c r="H28" s="21"/>
      <c r="I28" s="21"/>
      <c r="J28" s="21"/>
      <c r="K28" s="21"/>
      <c r="L28" s="21"/>
      <c r="M28" s="60"/>
      <c r="N28" s="54"/>
      <c r="O28" s="28"/>
      <c r="P28" s="53"/>
      <c r="Q28" s="22">
        <f>(E28*$AV$8)+(O28*P28)</f>
        <v>0</v>
      </c>
      <c r="R28" s="28"/>
      <c r="S28" s="28"/>
      <c r="T28" s="28"/>
      <c r="U28" s="28"/>
      <c r="V28" s="28"/>
      <c r="W28" s="28"/>
      <c r="X28" s="28"/>
      <c r="Y28" s="28"/>
      <c r="Z28" s="28"/>
      <c r="AA28" s="23">
        <f>D28*E28*$AV$8/1000</f>
        <v>0</v>
      </c>
      <c r="AB28" s="55"/>
      <c r="AC28" s="56"/>
      <c r="AD28" s="56"/>
      <c r="AE28" s="56"/>
      <c r="AF28" s="56"/>
      <c r="AG28" s="55"/>
      <c r="AH28" s="56"/>
      <c r="AI28" s="56"/>
      <c r="AJ28" s="56"/>
      <c r="AK28" s="56"/>
      <c r="AL28" s="56"/>
      <c r="AM28" s="56"/>
      <c r="AN28" s="23">
        <f>D28*O28*P28/1000</f>
        <v>0</v>
      </c>
      <c r="AO28" s="23">
        <f>D28*Q28/1000</f>
        <v>0</v>
      </c>
      <c r="AP28" s="23" t="e">
        <f>AO28/$AO$30</f>
        <v>#DIV/0!</v>
      </c>
      <c r="AQ28" s="142"/>
      <c r="AR28" s="142"/>
      <c r="AS28" s="61"/>
      <c r="AT28" s="31"/>
    </row>
    <row r="29" spans="1:47" x14ac:dyDescent="0.25">
      <c r="A29" s="469"/>
      <c r="B29" s="51"/>
      <c r="C29" s="58"/>
      <c r="D29" s="53"/>
      <c r="E29" s="59"/>
      <c r="F29" s="62"/>
      <c r="G29" s="63"/>
      <c r="H29" s="63"/>
      <c r="I29" s="63"/>
      <c r="J29" s="63"/>
      <c r="K29" s="63"/>
      <c r="L29" s="63"/>
      <c r="M29" s="64"/>
      <c r="N29" s="65"/>
      <c r="O29" s="36"/>
      <c r="P29" s="66"/>
      <c r="Q29" s="22">
        <f>(E29*$AV$8)+(O29*P29)</f>
        <v>0</v>
      </c>
      <c r="R29" s="28"/>
      <c r="S29" s="28"/>
      <c r="T29" s="28"/>
      <c r="U29" s="28"/>
      <c r="V29" s="28"/>
      <c r="W29" s="28"/>
      <c r="X29" s="28"/>
      <c r="Y29" s="28"/>
      <c r="Z29" s="28"/>
      <c r="AA29" s="23">
        <f>D29*E29*$AV$8/1000</f>
        <v>0</v>
      </c>
      <c r="AB29" s="67"/>
      <c r="AC29" s="68"/>
      <c r="AD29" s="68"/>
      <c r="AE29" s="68"/>
      <c r="AF29" s="68"/>
      <c r="AG29" s="67"/>
      <c r="AH29" s="68"/>
      <c r="AI29" s="68"/>
      <c r="AJ29" s="68"/>
      <c r="AK29" s="68"/>
      <c r="AL29" s="68"/>
      <c r="AM29" s="68"/>
      <c r="AN29" s="23">
        <f>D29*O29*P29/1000</f>
        <v>0</v>
      </c>
      <c r="AO29" s="23">
        <f>D29*Q29/1000</f>
        <v>0</v>
      </c>
      <c r="AP29" s="23" t="e">
        <f>AO29/$AO$30</f>
        <v>#DIV/0!</v>
      </c>
      <c r="AQ29" s="142"/>
      <c r="AR29" s="142"/>
      <c r="AS29" s="61"/>
      <c r="AT29" s="31"/>
    </row>
    <row r="30" spans="1:47" x14ac:dyDescent="0.25">
      <c r="A30" s="470"/>
      <c r="B30" s="471"/>
      <c r="C30" s="472"/>
      <c r="D30" s="472"/>
      <c r="E30" s="472"/>
      <c r="F30" s="472"/>
      <c r="G30" s="472"/>
      <c r="H30" s="472"/>
      <c r="I30" s="472"/>
      <c r="J30" s="472"/>
      <c r="K30" s="472"/>
      <c r="L30" s="472"/>
      <c r="M30" s="472"/>
      <c r="N30" s="472"/>
      <c r="O30" s="472"/>
      <c r="P30" s="472"/>
      <c r="Q30" s="473"/>
      <c r="R30" s="108"/>
      <c r="S30" s="108"/>
      <c r="T30" s="108"/>
      <c r="U30" s="108"/>
      <c r="V30" s="108"/>
      <c r="W30" s="108"/>
      <c r="X30" s="108"/>
      <c r="Y30" s="108"/>
      <c r="Z30" s="108"/>
      <c r="AA30" s="69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69">
        <f>SUM(AO25:AO29)</f>
        <v>0</v>
      </c>
      <c r="AP30" s="143" t="e">
        <f>SUM(AP25:AP29)</f>
        <v>#DIV/0!</v>
      </c>
      <c r="AQ30" s="143"/>
      <c r="AR30" s="143"/>
      <c r="AS30" s="71"/>
      <c r="AT30" s="31"/>
    </row>
    <row r="31" spans="1:47" x14ac:dyDescent="0.25">
      <c r="A31" s="451" t="s">
        <v>128</v>
      </c>
      <c r="B31" s="72"/>
      <c r="C31" s="15"/>
      <c r="D31" s="73"/>
      <c r="E31" s="474"/>
      <c r="F31" s="475"/>
      <c r="G31" s="475"/>
      <c r="H31" s="475"/>
      <c r="I31" s="475"/>
      <c r="J31" s="475"/>
      <c r="K31" s="475"/>
      <c r="L31" s="475"/>
      <c r="M31" s="475"/>
      <c r="N31" s="475"/>
      <c r="O31" s="475"/>
      <c r="P31" s="476"/>
      <c r="Q31" s="17"/>
      <c r="R31" s="28"/>
      <c r="S31" s="28"/>
      <c r="T31" s="28"/>
      <c r="U31" s="28"/>
      <c r="V31" s="28"/>
      <c r="W31" s="28"/>
      <c r="X31" s="28"/>
      <c r="Y31" s="28"/>
      <c r="Z31" s="28"/>
      <c r="AA31" s="483"/>
      <c r="AB31" s="483"/>
      <c r="AC31" s="483"/>
      <c r="AD31" s="483"/>
      <c r="AE31" s="483"/>
      <c r="AF31" s="483"/>
      <c r="AG31" s="483"/>
      <c r="AH31" s="483"/>
      <c r="AI31" s="483"/>
      <c r="AJ31" s="483"/>
      <c r="AK31" s="483"/>
      <c r="AL31" s="483"/>
      <c r="AM31" s="483"/>
      <c r="AN31" s="484"/>
      <c r="AO31" s="23">
        <f>D31*Q31/1000</f>
        <v>0</v>
      </c>
      <c r="AP31" s="23" t="e">
        <f>AO31/$AO$35</f>
        <v>#DIV/0!</v>
      </c>
      <c r="AQ31" s="23" t="e">
        <f>AO31/$AO$44</f>
        <v>#DIV/0!</v>
      </c>
      <c r="AR31" s="23" t="e">
        <f>AO31/$AO$45</f>
        <v>#DIV/0!</v>
      </c>
      <c r="AS31" s="25"/>
      <c r="AU31" s="74"/>
    </row>
    <row r="32" spans="1:47" x14ac:dyDescent="0.25">
      <c r="A32" s="452"/>
      <c r="B32" s="72"/>
      <c r="C32" s="15"/>
      <c r="D32" s="27"/>
      <c r="E32" s="477"/>
      <c r="F32" s="478"/>
      <c r="G32" s="478"/>
      <c r="H32" s="478"/>
      <c r="I32" s="478"/>
      <c r="J32" s="478"/>
      <c r="K32" s="478"/>
      <c r="L32" s="478"/>
      <c r="M32" s="478"/>
      <c r="N32" s="478"/>
      <c r="O32" s="478"/>
      <c r="P32" s="479"/>
      <c r="Q32" s="28"/>
      <c r="R32" s="28"/>
      <c r="S32" s="28"/>
      <c r="T32" s="28"/>
      <c r="U32" s="28"/>
      <c r="V32" s="28"/>
      <c r="W32" s="28"/>
      <c r="X32" s="28"/>
      <c r="Y32" s="28"/>
      <c r="Z32" s="28"/>
      <c r="AA32" s="485"/>
      <c r="AB32" s="485"/>
      <c r="AC32" s="485"/>
      <c r="AD32" s="485"/>
      <c r="AE32" s="485"/>
      <c r="AF32" s="485"/>
      <c r="AG32" s="485"/>
      <c r="AH32" s="485"/>
      <c r="AI32" s="485"/>
      <c r="AJ32" s="485"/>
      <c r="AK32" s="485"/>
      <c r="AL32" s="485"/>
      <c r="AM32" s="485"/>
      <c r="AN32" s="486"/>
      <c r="AO32" s="23">
        <f>D32*Q32/1000</f>
        <v>0</v>
      </c>
      <c r="AP32" s="23" t="e">
        <f>AO32/$AO$35</f>
        <v>#DIV/0!</v>
      </c>
      <c r="AQ32" s="23" t="e">
        <f>AO32/$AO$44</f>
        <v>#DIV/0!</v>
      </c>
      <c r="AR32" s="23" t="e">
        <f>AO32/$AO$45</f>
        <v>#DIV/0!</v>
      </c>
      <c r="AS32" s="30"/>
      <c r="AT32" s="31"/>
      <c r="AU32" s="75"/>
    </row>
    <row r="33" spans="1:47" x14ac:dyDescent="0.25">
      <c r="A33" s="452"/>
      <c r="B33" s="72"/>
      <c r="C33" s="15"/>
      <c r="D33" s="27"/>
      <c r="E33" s="477"/>
      <c r="F33" s="478"/>
      <c r="G33" s="478"/>
      <c r="H33" s="478"/>
      <c r="I33" s="478"/>
      <c r="J33" s="478"/>
      <c r="K33" s="478"/>
      <c r="L33" s="478"/>
      <c r="M33" s="478"/>
      <c r="N33" s="478"/>
      <c r="O33" s="478"/>
      <c r="P33" s="479"/>
      <c r="Q33" s="28"/>
      <c r="R33" s="28"/>
      <c r="S33" s="28"/>
      <c r="T33" s="28"/>
      <c r="U33" s="28"/>
      <c r="V33" s="28"/>
      <c r="W33" s="28"/>
      <c r="X33" s="28"/>
      <c r="Y33" s="28"/>
      <c r="Z33" s="28"/>
      <c r="AA33" s="485"/>
      <c r="AB33" s="485"/>
      <c r="AC33" s="485"/>
      <c r="AD33" s="485"/>
      <c r="AE33" s="485"/>
      <c r="AF33" s="485"/>
      <c r="AG33" s="485"/>
      <c r="AH33" s="485"/>
      <c r="AI33" s="485"/>
      <c r="AJ33" s="485"/>
      <c r="AK33" s="485"/>
      <c r="AL33" s="485"/>
      <c r="AM33" s="485"/>
      <c r="AN33" s="486"/>
      <c r="AO33" s="23">
        <f>D33*Q33/1000</f>
        <v>0</v>
      </c>
      <c r="AP33" s="23" t="e">
        <f>AO33/$AO$35</f>
        <v>#DIV/0!</v>
      </c>
      <c r="AQ33" s="23" t="e">
        <f>AO33/$AO$44</f>
        <v>#DIV/0!</v>
      </c>
      <c r="AR33" s="23" t="e">
        <f>AO33/$AO$45</f>
        <v>#DIV/0!</v>
      </c>
      <c r="AS33" s="25"/>
    </row>
    <row r="34" spans="1:47" x14ac:dyDescent="0.25">
      <c r="A34" s="452"/>
      <c r="B34" s="72"/>
      <c r="C34" s="15"/>
      <c r="D34" s="76"/>
      <c r="E34" s="480"/>
      <c r="F34" s="481"/>
      <c r="G34" s="481"/>
      <c r="H34" s="481"/>
      <c r="I34" s="481"/>
      <c r="J34" s="481"/>
      <c r="K34" s="481"/>
      <c r="L34" s="481"/>
      <c r="M34" s="481"/>
      <c r="N34" s="481"/>
      <c r="O34" s="481"/>
      <c r="P34" s="482"/>
      <c r="Q34" s="36"/>
      <c r="R34" s="28"/>
      <c r="S34" s="28"/>
      <c r="T34" s="28"/>
      <c r="U34" s="28"/>
      <c r="V34" s="28"/>
      <c r="W34" s="28"/>
      <c r="X34" s="28"/>
      <c r="Y34" s="28"/>
      <c r="Z34" s="28"/>
      <c r="AA34" s="487"/>
      <c r="AB34" s="487"/>
      <c r="AC34" s="487"/>
      <c r="AD34" s="487"/>
      <c r="AE34" s="487"/>
      <c r="AF34" s="487"/>
      <c r="AG34" s="487"/>
      <c r="AH34" s="487"/>
      <c r="AI34" s="487"/>
      <c r="AJ34" s="487"/>
      <c r="AK34" s="487"/>
      <c r="AL34" s="487"/>
      <c r="AM34" s="487"/>
      <c r="AN34" s="488"/>
      <c r="AO34" s="23"/>
      <c r="AP34" s="23" t="e">
        <f>AO34/$AO$35</f>
        <v>#DIV/0!</v>
      </c>
      <c r="AQ34" s="23" t="e">
        <f>AO34/$AO$44</f>
        <v>#DIV/0!</v>
      </c>
      <c r="AR34" s="23" t="e">
        <f>AO34/$AO$45</f>
        <v>#DIV/0!</v>
      </c>
      <c r="AS34" s="25"/>
      <c r="AU34" s="77"/>
    </row>
    <row r="35" spans="1:47" x14ac:dyDescent="0.25">
      <c r="A35" s="453"/>
      <c r="B35" s="489"/>
      <c r="C35" s="490"/>
      <c r="D35" s="490"/>
      <c r="E35" s="490"/>
      <c r="F35" s="490"/>
      <c r="G35" s="490"/>
      <c r="H35" s="490"/>
      <c r="I35" s="490"/>
      <c r="J35" s="490"/>
      <c r="K35" s="490"/>
      <c r="L35" s="490"/>
      <c r="M35" s="490"/>
      <c r="N35" s="490"/>
      <c r="O35" s="490"/>
      <c r="P35" s="490"/>
      <c r="Q35" s="491"/>
      <c r="R35" s="110"/>
      <c r="S35" s="110"/>
      <c r="T35" s="110"/>
      <c r="U35" s="110"/>
      <c r="V35" s="110"/>
      <c r="W35" s="110"/>
      <c r="X35" s="110"/>
      <c r="Y35" s="110"/>
      <c r="Z35" s="110"/>
      <c r="AA35" s="69"/>
      <c r="AB35" s="69"/>
      <c r="AC35" s="69"/>
      <c r="AD35" s="69"/>
      <c r="AE35" s="69"/>
      <c r="AF35" s="69"/>
      <c r="AG35" s="69"/>
      <c r="AH35" s="69"/>
      <c r="AI35" s="69"/>
      <c r="AJ35" s="69"/>
      <c r="AK35" s="69"/>
      <c r="AL35" s="69"/>
      <c r="AM35" s="69"/>
      <c r="AN35" s="69"/>
      <c r="AO35" s="69">
        <f>SUM(AO31:AO34)</f>
        <v>0</v>
      </c>
      <c r="AP35" s="69" t="e">
        <f>SUM(AP31:AP34)</f>
        <v>#DIV/0!</v>
      </c>
      <c r="AQ35" s="69"/>
      <c r="AR35" s="69"/>
      <c r="AS35" s="78"/>
    </row>
    <row r="36" spans="1:47" x14ac:dyDescent="0.25">
      <c r="A36" s="451" t="s">
        <v>129</v>
      </c>
      <c r="B36" s="79"/>
      <c r="C36" s="80"/>
      <c r="D36" s="81"/>
      <c r="E36" s="492"/>
      <c r="F36" s="493"/>
      <c r="G36" s="493"/>
      <c r="H36" s="493"/>
      <c r="I36" s="493"/>
      <c r="J36" s="493"/>
      <c r="K36" s="493"/>
      <c r="L36" s="493"/>
      <c r="M36" s="493"/>
      <c r="N36" s="493"/>
      <c r="O36" s="493"/>
      <c r="P36" s="493"/>
      <c r="Q36" s="17"/>
      <c r="R36" s="28"/>
      <c r="S36" s="28"/>
      <c r="T36" s="28"/>
      <c r="U36" s="28"/>
      <c r="V36" s="28"/>
      <c r="W36" s="28"/>
      <c r="X36" s="28"/>
      <c r="Y36" s="28"/>
      <c r="Z36" s="28"/>
      <c r="AA36" s="483"/>
      <c r="AB36" s="483"/>
      <c r="AC36" s="483"/>
      <c r="AD36" s="483"/>
      <c r="AE36" s="483"/>
      <c r="AF36" s="483"/>
      <c r="AG36" s="483"/>
      <c r="AH36" s="483"/>
      <c r="AI36" s="483"/>
      <c r="AJ36" s="483"/>
      <c r="AK36" s="483"/>
      <c r="AL36" s="483"/>
      <c r="AM36" s="483"/>
      <c r="AN36" s="484"/>
      <c r="AO36" s="23">
        <f t="shared" ref="AO36:AO41" si="19">D36*Q36/1000</f>
        <v>0</v>
      </c>
      <c r="AP36" s="23" t="e">
        <f t="shared" ref="AP36:AP42" si="20">AO36/$AO$43</f>
        <v>#DIV/0!</v>
      </c>
      <c r="AQ36" s="23"/>
      <c r="AR36" s="23" t="e">
        <f t="shared" ref="AR36:AR42" si="21">AO36/$AO$45</f>
        <v>#DIV/0!</v>
      </c>
      <c r="AS36" s="25"/>
    </row>
    <row r="37" spans="1:47" x14ac:dyDescent="0.25">
      <c r="A37" s="452"/>
      <c r="B37" s="72"/>
      <c r="C37" s="82"/>
      <c r="D37" s="83"/>
      <c r="E37" s="494"/>
      <c r="F37" s="495"/>
      <c r="G37" s="495"/>
      <c r="H37" s="495"/>
      <c r="I37" s="495"/>
      <c r="J37" s="495"/>
      <c r="K37" s="495"/>
      <c r="L37" s="495"/>
      <c r="M37" s="495"/>
      <c r="N37" s="495"/>
      <c r="O37" s="495"/>
      <c r="P37" s="495"/>
      <c r="Q37" s="28"/>
      <c r="R37" s="28"/>
      <c r="S37" s="28"/>
      <c r="T37" s="28"/>
      <c r="U37" s="28"/>
      <c r="V37" s="28"/>
      <c r="W37" s="28"/>
      <c r="X37" s="28"/>
      <c r="Y37" s="28"/>
      <c r="Z37" s="28"/>
      <c r="AA37" s="485"/>
      <c r="AB37" s="485"/>
      <c r="AC37" s="485"/>
      <c r="AD37" s="485"/>
      <c r="AE37" s="485"/>
      <c r="AF37" s="485"/>
      <c r="AG37" s="485"/>
      <c r="AH37" s="485"/>
      <c r="AI37" s="485"/>
      <c r="AJ37" s="485"/>
      <c r="AK37" s="485"/>
      <c r="AL37" s="485"/>
      <c r="AM37" s="485"/>
      <c r="AN37" s="486"/>
      <c r="AO37" s="23">
        <f t="shared" si="19"/>
        <v>0</v>
      </c>
      <c r="AP37" s="23" t="e">
        <f t="shared" si="20"/>
        <v>#DIV/0!</v>
      </c>
      <c r="AQ37" s="23"/>
      <c r="AR37" s="23" t="e">
        <f t="shared" si="21"/>
        <v>#DIV/0!</v>
      </c>
      <c r="AS37" s="30"/>
      <c r="AT37" s="31"/>
    </row>
    <row r="38" spans="1:47" x14ac:dyDescent="0.25">
      <c r="A38" s="452"/>
      <c r="B38" s="72"/>
      <c r="C38" s="82"/>
      <c r="D38" s="83"/>
      <c r="E38" s="494"/>
      <c r="F38" s="495"/>
      <c r="G38" s="495"/>
      <c r="H38" s="495"/>
      <c r="I38" s="495"/>
      <c r="J38" s="495"/>
      <c r="K38" s="495"/>
      <c r="L38" s="495"/>
      <c r="M38" s="495"/>
      <c r="N38" s="495"/>
      <c r="O38" s="495"/>
      <c r="P38" s="495"/>
      <c r="Q38" s="28"/>
      <c r="R38" s="28"/>
      <c r="S38" s="28"/>
      <c r="T38" s="28"/>
      <c r="U38" s="28"/>
      <c r="V38" s="28"/>
      <c r="W38" s="28"/>
      <c r="X38" s="28"/>
      <c r="Y38" s="28"/>
      <c r="Z38" s="28"/>
      <c r="AA38" s="485"/>
      <c r="AB38" s="485"/>
      <c r="AC38" s="485"/>
      <c r="AD38" s="485"/>
      <c r="AE38" s="485"/>
      <c r="AF38" s="485"/>
      <c r="AG38" s="485"/>
      <c r="AH38" s="485"/>
      <c r="AI38" s="485"/>
      <c r="AJ38" s="485"/>
      <c r="AK38" s="485"/>
      <c r="AL38" s="485"/>
      <c r="AM38" s="485"/>
      <c r="AN38" s="486"/>
      <c r="AO38" s="23">
        <f t="shared" si="19"/>
        <v>0</v>
      </c>
      <c r="AP38" s="23" t="e">
        <f t="shared" si="20"/>
        <v>#DIV/0!</v>
      </c>
      <c r="AQ38" s="23"/>
      <c r="AR38" s="23" t="e">
        <f t="shared" si="21"/>
        <v>#DIV/0!</v>
      </c>
      <c r="AS38" s="30"/>
    </row>
    <row r="39" spans="1:47" x14ac:dyDescent="0.25">
      <c r="A39" s="452"/>
      <c r="B39" s="72"/>
      <c r="C39" s="82"/>
      <c r="D39" s="83"/>
      <c r="E39" s="494"/>
      <c r="F39" s="495"/>
      <c r="G39" s="495"/>
      <c r="H39" s="495"/>
      <c r="I39" s="495"/>
      <c r="J39" s="495"/>
      <c r="K39" s="495"/>
      <c r="L39" s="495"/>
      <c r="M39" s="495"/>
      <c r="N39" s="495"/>
      <c r="O39" s="495"/>
      <c r="P39" s="495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485"/>
      <c r="AB39" s="485"/>
      <c r="AC39" s="485"/>
      <c r="AD39" s="485"/>
      <c r="AE39" s="485"/>
      <c r="AF39" s="485"/>
      <c r="AG39" s="485"/>
      <c r="AH39" s="485"/>
      <c r="AI39" s="485"/>
      <c r="AJ39" s="485"/>
      <c r="AK39" s="485"/>
      <c r="AL39" s="485"/>
      <c r="AM39" s="485"/>
      <c r="AN39" s="486"/>
      <c r="AO39" s="23">
        <f t="shared" si="19"/>
        <v>0</v>
      </c>
      <c r="AP39" s="23" t="e">
        <f t="shared" si="20"/>
        <v>#DIV/0!</v>
      </c>
      <c r="AQ39" s="23"/>
      <c r="AR39" s="23" t="e">
        <f t="shared" si="21"/>
        <v>#DIV/0!</v>
      </c>
      <c r="AS39" s="25"/>
      <c r="AU39" s="84"/>
    </row>
    <row r="40" spans="1:47" x14ac:dyDescent="0.25">
      <c r="A40" s="452"/>
      <c r="B40" s="72"/>
      <c r="C40" s="82"/>
      <c r="D40" s="83"/>
      <c r="E40" s="494"/>
      <c r="F40" s="495"/>
      <c r="G40" s="495"/>
      <c r="H40" s="495"/>
      <c r="I40" s="495"/>
      <c r="J40" s="495"/>
      <c r="K40" s="495"/>
      <c r="L40" s="495"/>
      <c r="M40" s="495"/>
      <c r="N40" s="495"/>
      <c r="O40" s="495"/>
      <c r="P40" s="495"/>
      <c r="Q40" s="28"/>
      <c r="R40" s="28"/>
      <c r="S40" s="28"/>
      <c r="T40" s="28"/>
      <c r="U40" s="28"/>
      <c r="V40" s="28"/>
      <c r="W40" s="28"/>
      <c r="X40" s="28"/>
      <c r="Y40" s="28"/>
      <c r="Z40" s="28"/>
      <c r="AA40" s="485"/>
      <c r="AB40" s="485"/>
      <c r="AC40" s="485"/>
      <c r="AD40" s="485"/>
      <c r="AE40" s="485"/>
      <c r="AF40" s="485"/>
      <c r="AG40" s="485"/>
      <c r="AH40" s="485"/>
      <c r="AI40" s="485"/>
      <c r="AJ40" s="485"/>
      <c r="AK40" s="485"/>
      <c r="AL40" s="485"/>
      <c r="AM40" s="485"/>
      <c r="AN40" s="486"/>
      <c r="AO40" s="23">
        <f t="shared" si="19"/>
        <v>0</v>
      </c>
      <c r="AP40" s="23" t="e">
        <f t="shared" si="20"/>
        <v>#DIV/0!</v>
      </c>
      <c r="AQ40" s="23"/>
      <c r="AR40" s="23" t="e">
        <f t="shared" si="21"/>
        <v>#DIV/0!</v>
      </c>
      <c r="AS40" s="25"/>
    </row>
    <row r="41" spans="1:47" x14ac:dyDescent="0.25">
      <c r="A41" s="452"/>
      <c r="B41" s="51"/>
      <c r="C41" s="82"/>
      <c r="D41" s="27"/>
      <c r="E41" s="494"/>
      <c r="F41" s="495"/>
      <c r="G41" s="495"/>
      <c r="H41" s="495"/>
      <c r="I41" s="495"/>
      <c r="J41" s="495"/>
      <c r="K41" s="495"/>
      <c r="L41" s="495"/>
      <c r="M41" s="495"/>
      <c r="N41" s="495"/>
      <c r="O41" s="495"/>
      <c r="P41" s="495"/>
      <c r="Q41" s="28"/>
      <c r="R41" s="28"/>
      <c r="S41" s="28"/>
      <c r="T41" s="28"/>
      <c r="U41" s="28"/>
      <c r="V41" s="28"/>
      <c r="W41" s="28"/>
      <c r="X41" s="28"/>
      <c r="Y41" s="28"/>
      <c r="Z41" s="28"/>
      <c r="AA41" s="485"/>
      <c r="AB41" s="485"/>
      <c r="AC41" s="485"/>
      <c r="AD41" s="485"/>
      <c r="AE41" s="485"/>
      <c r="AF41" s="485"/>
      <c r="AG41" s="485"/>
      <c r="AH41" s="485"/>
      <c r="AI41" s="485"/>
      <c r="AJ41" s="485"/>
      <c r="AK41" s="485"/>
      <c r="AL41" s="485"/>
      <c r="AM41" s="485"/>
      <c r="AN41" s="486"/>
      <c r="AO41" s="23">
        <f t="shared" si="19"/>
        <v>0</v>
      </c>
      <c r="AP41" s="23" t="e">
        <f t="shared" si="20"/>
        <v>#DIV/0!</v>
      </c>
      <c r="AQ41" s="23"/>
      <c r="AR41" s="23" t="e">
        <f t="shared" si="21"/>
        <v>#DIV/0!</v>
      </c>
      <c r="AS41" s="25"/>
    </row>
    <row r="42" spans="1:47" x14ac:dyDescent="0.25">
      <c r="A42" s="452"/>
      <c r="B42" s="85"/>
      <c r="C42" s="82"/>
      <c r="D42" s="76"/>
      <c r="E42" s="496"/>
      <c r="F42" s="497"/>
      <c r="G42" s="497"/>
      <c r="H42" s="497"/>
      <c r="I42" s="497"/>
      <c r="J42" s="497"/>
      <c r="K42" s="497"/>
      <c r="L42" s="497"/>
      <c r="M42" s="497"/>
      <c r="N42" s="497"/>
      <c r="O42" s="497"/>
      <c r="P42" s="497"/>
      <c r="Q42" s="36"/>
      <c r="R42" s="28"/>
      <c r="S42" s="28"/>
      <c r="T42" s="28"/>
      <c r="U42" s="28"/>
      <c r="V42" s="28"/>
      <c r="W42" s="28"/>
      <c r="X42" s="28"/>
      <c r="Y42" s="28"/>
      <c r="Z42" s="28"/>
      <c r="AA42" s="487"/>
      <c r="AB42" s="487"/>
      <c r="AC42" s="487"/>
      <c r="AD42" s="487"/>
      <c r="AE42" s="487"/>
      <c r="AF42" s="487"/>
      <c r="AG42" s="487"/>
      <c r="AH42" s="487"/>
      <c r="AI42" s="487"/>
      <c r="AJ42" s="487"/>
      <c r="AK42" s="487"/>
      <c r="AL42" s="487"/>
      <c r="AM42" s="487"/>
      <c r="AN42" s="488"/>
      <c r="AO42" s="23"/>
      <c r="AP42" s="23" t="e">
        <f t="shared" si="20"/>
        <v>#DIV/0!</v>
      </c>
      <c r="AQ42" s="23"/>
      <c r="AR42" s="23" t="e">
        <f t="shared" si="21"/>
        <v>#DIV/0!</v>
      </c>
      <c r="AS42" s="25"/>
    </row>
    <row r="43" spans="1:47" x14ac:dyDescent="0.25">
      <c r="A43" s="453"/>
      <c r="B43" s="489"/>
      <c r="C43" s="490"/>
      <c r="D43" s="490"/>
      <c r="E43" s="490"/>
      <c r="F43" s="490"/>
      <c r="G43" s="490"/>
      <c r="H43" s="490"/>
      <c r="I43" s="490"/>
      <c r="J43" s="490"/>
      <c r="K43" s="490"/>
      <c r="L43" s="490"/>
      <c r="M43" s="490"/>
      <c r="N43" s="490"/>
      <c r="O43" s="490"/>
      <c r="P43" s="490"/>
      <c r="Q43" s="491"/>
      <c r="R43" s="110"/>
      <c r="S43" s="110"/>
      <c r="T43" s="110"/>
      <c r="U43" s="110"/>
      <c r="V43" s="110"/>
      <c r="W43" s="110"/>
      <c r="X43" s="110"/>
      <c r="Y43" s="110"/>
      <c r="Z43" s="110"/>
      <c r="AA43" s="69"/>
      <c r="AB43" s="69"/>
      <c r="AC43" s="69"/>
      <c r="AD43" s="69"/>
      <c r="AE43" s="69"/>
      <c r="AF43" s="69"/>
      <c r="AG43" s="69"/>
      <c r="AH43" s="69"/>
      <c r="AI43" s="69"/>
      <c r="AJ43" s="69"/>
      <c r="AK43" s="69"/>
      <c r="AL43" s="69"/>
      <c r="AM43" s="69"/>
      <c r="AN43" s="69"/>
      <c r="AO43" s="69">
        <f>SUM(AO36:AO42)</f>
        <v>0</v>
      </c>
      <c r="AP43" s="143" t="e">
        <f>SUM(AP36:AP42)</f>
        <v>#DIV/0!</v>
      </c>
      <c r="AQ43" s="143"/>
      <c r="AR43" s="143"/>
      <c r="AS43" s="71"/>
    </row>
    <row r="44" spans="1:47" x14ac:dyDescent="0.25">
      <c r="A44" s="86"/>
      <c r="B44" s="84"/>
      <c r="C44" s="87"/>
      <c r="D44" s="83"/>
      <c r="E44" s="72"/>
      <c r="F44" s="72"/>
      <c r="G44" s="72"/>
      <c r="H44" s="72"/>
      <c r="I44" s="72"/>
      <c r="J44" s="72"/>
      <c r="K44" s="72"/>
      <c r="L44" s="72"/>
      <c r="M44" s="72"/>
      <c r="N44" s="72"/>
      <c r="O44" s="72"/>
      <c r="P44" s="72"/>
      <c r="Q44" s="72"/>
      <c r="R44" s="72"/>
      <c r="S44" s="72"/>
      <c r="T44" s="72"/>
      <c r="U44" s="72"/>
      <c r="V44" s="72"/>
      <c r="W44" s="72"/>
      <c r="X44" s="72"/>
      <c r="Y44" s="72"/>
      <c r="Z44" s="72"/>
      <c r="AA44" s="88">
        <f>AA24+AA35</f>
        <v>0</v>
      </c>
      <c r="AB44" s="88">
        <f>AB24+AB35</f>
        <v>0</v>
      </c>
      <c r="AC44" s="88"/>
      <c r="AD44" s="88">
        <f>AD24+AD35</f>
        <v>0</v>
      </c>
      <c r="AE44" s="88">
        <f>AE24+AE35</f>
        <v>0</v>
      </c>
      <c r="AF44" s="88">
        <f>AF24+AF35</f>
        <v>0</v>
      </c>
      <c r="AG44" s="88">
        <f>AG24+AG35</f>
        <v>0</v>
      </c>
      <c r="AH44" s="88"/>
      <c r="AI44" s="88">
        <f t="shared" ref="AI44:AO44" si="22">AI24+AI35</f>
        <v>0</v>
      </c>
      <c r="AJ44" s="88">
        <f t="shared" si="22"/>
        <v>0</v>
      </c>
      <c r="AK44" s="88">
        <f t="shared" si="22"/>
        <v>0</v>
      </c>
      <c r="AL44" s="88">
        <f t="shared" si="22"/>
        <v>0</v>
      </c>
      <c r="AM44" s="88">
        <f t="shared" si="22"/>
        <v>0</v>
      </c>
      <c r="AN44" s="88">
        <f t="shared" si="22"/>
        <v>0</v>
      </c>
      <c r="AO44" s="88">
        <f t="shared" si="22"/>
        <v>0</v>
      </c>
      <c r="AP44" s="88"/>
      <c r="AQ44" s="88" t="e">
        <f>SUM(AQ10:AQ23)+SUM(AQ31:AQ34)</f>
        <v>#DIV/0!</v>
      </c>
      <c r="AR44" s="88" t="e">
        <f>SUM(AR10:AR23)+SUM(AR31:AR34)+SUM(AR36:AR42)</f>
        <v>#DIV/0!</v>
      </c>
      <c r="AS44" s="89"/>
      <c r="AT44" s="31"/>
    </row>
    <row r="45" spans="1:47" x14ac:dyDescent="0.25">
      <c r="A45" s="86"/>
      <c r="B45" s="84"/>
      <c r="C45" s="87"/>
      <c r="D45" s="83"/>
      <c r="E45" s="72"/>
      <c r="F45" s="72"/>
      <c r="G45" s="72"/>
      <c r="H45" s="72"/>
      <c r="I45" s="72"/>
      <c r="J45" s="72"/>
      <c r="K45" s="72"/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88">
        <f>AA24+AA35+AA43</f>
        <v>0</v>
      </c>
      <c r="AB45" s="88">
        <f>AB24+AB35+AB43</f>
        <v>0</v>
      </c>
      <c r="AC45" s="88"/>
      <c r="AD45" s="88">
        <f>AD24+AD35+AD43</f>
        <v>0</v>
      </c>
      <c r="AE45" s="88">
        <f>AE24+AE35+AE43</f>
        <v>0</v>
      </c>
      <c r="AF45" s="88">
        <f>AF24+AF35+AF43</f>
        <v>0</v>
      </c>
      <c r="AG45" s="88">
        <f>AG24+AG35+AG43</f>
        <v>0</v>
      </c>
      <c r="AH45" s="88"/>
      <c r="AI45" s="88">
        <f t="shared" ref="AI45:AO45" si="23">AI24+AI35+AI43</f>
        <v>0</v>
      </c>
      <c r="AJ45" s="88">
        <f t="shared" si="23"/>
        <v>0</v>
      </c>
      <c r="AK45" s="88">
        <f t="shared" si="23"/>
        <v>0</v>
      </c>
      <c r="AL45" s="88">
        <f t="shared" si="23"/>
        <v>0</v>
      </c>
      <c r="AM45" s="88">
        <f t="shared" si="23"/>
        <v>0</v>
      </c>
      <c r="AN45" s="88">
        <f t="shared" si="23"/>
        <v>0</v>
      </c>
      <c r="AO45" s="88">
        <f t="shared" si="23"/>
        <v>0</v>
      </c>
      <c r="AP45" s="88"/>
      <c r="AQ45" s="88"/>
      <c r="AR45" s="88"/>
      <c r="AS45" s="89"/>
      <c r="AT45" s="31"/>
    </row>
    <row r="46" spans="1:47" x14ac:dyDescent="0.25">
      <c r="A46" s="90" t="s">
        <v>33</v>
      </c>
      <c r="B46" s="331"/>
      <c r="C46" s="332"/>
      <c r="D46" s="332"/>
      <c r="E46" s="332"/>
      <c r="F46" s="332"/>
      <c r="G46" s="332"/>
      <c r="H46" s="332"/>
      <c r="I46" s="332"/>
      <c r="J46" s="332"/>
      <c r="K46" s="332"/>
      <c r="L46" s="332"/>
      <c r="M46" s="332"/>
      <c r="N46" s="332"/>
      <c r="O46" s="332"/>
      <c r="P46" s="332"/>
      <c r="Q46" s="332"/>
      <c r="R46" s="109"/>
      <c r="S46" s="109"/>
      <c r="T46" s="109"/>
      <c r="U46" s="109"/>
      <c r="V46" s="109"/>
      <c r="W46" s="109"/>
      <c r="X46" s="109"/>
      <c r="Y46" s="109"/>
      <c r="Z46" s="109"/>
      <c r="AA46" s="91"/>
      <c r="AB46" s="91"/>
      <c r="AC46" s="91"/>
      <c r="AD46" s="91"/>
      <c r="AE46" s="91"/>
      <c r="AF46" s="91"/>
      <c r="AG46" s="91"/>
      <c r="AH46" s="91"/>
      <c r="AI46" s="91"/>
      <c r="AJ46" s="91"/>
      <c r="AK46" s="91"/>
      <c r="AL46" s="91"/>
      <c r="AM46" s="91"/>
      <c r="AN46" s="91"/>
      <c r="AO46" s="91"/>
      <c r="AP46" s="91"/>
      <c r="AQ46" s="91"/>
      <c r="AR46" s="91"/>
      <c r="AS46" s="92"/>
    </row>
    <row r="47" spans="1:47" x14ac:dyDescent="0.25">
      <c r="A47" s="84"/>
      <c r="B47" s="84"/>
      <c r="C47" s="93"/>
      <c r="D47" s="75"/>
      <c r="E47" s="84"/>
      <c r="F47" s="84"/>
      <c r="G47" s="84"/>
      <c r="H47" s="84"/>
      <c r="I47" s="84"/>
      <c r="J47" s="84"/>
      <c r="K47" s="84"/>
      <c r="L47" s="84"/>
      <c r="M47" s="84"/>
      <c r="N47" s="84"/>
      <c r="O47" s="84"/>
      <c r="P47" s="84"/>
      <c r="Q47" s="84"/>
      <c r="R47" s="84"/>
      <c r="S47" s="84"/>
      <c r="T47" s="84"/>
      <c r="U47" s="84"/>
      <c r="V47" s="84"/>
      <c r="W47" s="84"/>
      <c r="X47" s="84"/>
      <c r="Y47" s="84"/>
      <c r="Z47" s="84"/>
      <c r="AA47" s="84"/>
      <c r="AB47" s="84"/>
      <c r="AC47" s="84"/>
      <c r="AD47" s="84"/>
      <c r="AE47" s="84"/>
      <c r="AF47" s="84"/>
      <c r="AG47" s="84"/>
      <c r="AH47" s="84"/>
      <c r="AI47" s="84"/>
      <c r="AJ47" s="84"/>
      <c r="AK47" s="84"/>
      <c r="AL47" s="84"/>
      <c r="AM47" s="84"/>
      <c r="AN47" s="84"/>
      <c r="AO47" s="84"/>
      <c r="AP47" s="84"/>
      <c r="AQ47" s="84"/>
      <c r="AR47" s="84"/>
      <c r="AS47" s="84"/>
      <c r="AT47" s="94"/>
    </row>
    <row r="48" spans="1:47" x14ac:dyDescent="0.25">
      <c r="B48" s="84"/>
    </row>
    <row r="49" spans="2:2" ht="20.25" customHeight="1" x14ac:dyDescent="0.45">
      <c r="B49" s="95"/>
    </row>
    <row r="50" spans="2:2" ht="20.25" customHeight="1" x14ac:dyDescent="0.45">
      <c r="B50" s="95"/>
    </row>
    <row r="51" spans="2:2" ht="20.25" customHeight="1" x14ac:dyDescent="0.45">
      <c r="B51" s="95"/>
    </row>
  </sheetData>
  <mergeCells count="57">
    <mergeCell ref="B46:Q46"/>
    <mergeCell ref="I3:AA3"/>
    <mergeCell ref="I4:AA4"/>
    <mergeCell ref="AB3:AD3"/>
    <mergeCell ref="AE3:AN3"/>
    <mergeCell ref="AA31:AN34"/>
    <mergeCell ref="B35:Q35"/>
    <mergeCell ref="E8:L8"/>
    <mergeCell ref="M8:N8"/>
    <mergeCell ref="O8:O9"/>
    <mergeCell ref="P8:P9"/>
    <mergeCell ref="R8:R9"/>
    <mergeCell ref="S8:S9"/>
    <mergeCell ref="R7:S7"/>
    <mergeCell ref="T7:W7"/>
    <mergeCell ref="X7:X9"/>
    <mergeCell ref="A36:A43"/>
    <mergeCell ref="E36:P42"/>
    <mergeCell ref="AA36:AN42"/>
    <mergeCell ref="B43:Q43"/>
    <mergeCell ref="A10:A24"/>
    <mergeCell ref="E24:Q24"/>
    <mergeCell ref="A25:A30"/>
    <mergeCell ref="B30:Q30"/>
    <mergeCell ref="A31:A35"/>
    <mergeCell ref="E31:P34"/>
    <mergeCell ref="AP6:AP9"/>
    <mergeCell ref="AQ6:AQ9"/>
    <mergeCell ref="AR6:AR9"/>
    <mergeCell ref="AS6:AS9"/>
    <mergeCell ref="AU6:AV6"/>
    <mergeCell ref="T8:T9"/>
    <mergeCell ref="U8:U9"/>
    <mergeCell ref="R6:X6"/>
    <mergeCell ref="Y6:Y9"/>
    <mergeCell ref="Z6:Z9"/>
    <mergeCell ref="AA6:AF8"/>
    <mergeCell ref="AG6:AN8"/>
    <mergeCell ref="AO6:AO7"/>
    <mergeCell ref="V8:V9"/>
    <mergeCell ref="W8:W9"/>
    <mergeCell ref="AO4:AQ4"/>
    <mergeCell ref="AR4:AS4"/>
    <mergeCell ref="A5:AS5"/>
    <mergeCell ref="A6:A9"/>
    <mergeCell ref="B6:B9"/>
    <mergeCell ref="C6:D8"/>
    <mergeCell ref="E6:N7"/>
    <mergeCell ref="O6:P7"/>
    <mergeCell ref="Q6:Q9"/>
    <mergeCell ref="A1:A4"/>
    <mergeCell ref="B1:AN2"/>
    <mergeCell ref="AO1:AS2"/>
    <mergeCell ref="C3:F3"/>
    <mergeCell ref="AO3:AQ3"/>
    <mergeCell ref="AR3:AS3"/>
    <mergeCell ref="C4:F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7"/>
  <sheetViews>
    <sheetView workbookViewId="0">
      <selection activeCell="M18" sqref="M18"/>
    </sheetView>
  </sheetViews>
  <sheetFormatPr defaultRowHeight="13.8" x14ac:dyDescent="0.25"/>
  <cols>
    <col min="1" max="1" width="13.59765625" style="212" customWidth="1"/>
    <col min="2" max="3" width="14.59765625" style="212" customWidth="1"/>
    <col min="4" max="4" width="13.69921875" style="212" customWidth="1"/>
    <col min="5" max="5" width="13.296875" style="212" customWidth="1"/>
    <col min="6" max="6" width="9.09765625" style="212" customWidth="1"/>
  </cols>
  <sheetData>
    <row r="1" spans="1:18" ht="15" customHeight="1" x14ac:dyDescent="0.25">
      <c r="A1" s="513"/>
      <c r="B1" s="518" t="s">
        <v>133</v>
      </c>
      <c r="C1" s="518"/>
      <c r="D1" s="518"/>
      <c r="E1" s="518"/>
      <c r="F1" s="518"/>
      <c r="G1" s="518"/>
      <c r="H1" s="518"/>
      <c r="I1" s="516" t="s">
        <v>134</v>
      </c>
      <c r="J1" s="517"/>
      <c r="K1" s="121"/>
      <c r="L1" s="121"/>
      <c r="M1" s="121"/>
      <c r="N1" s="121"/>
      <c r="O1" s="121"/>
      <c r="P1" s="121"/>
      <c r="Q1" s="121"/>
      <c r="R1" s="121"/>
    </row>
    <row r="2" spans="1:18" ht="15" customHeight="1" x14ac:dyDescent="0.25">
      <c r="A2" s="514"/>
      <c r="B2" s="518"/>
      <c r="C2" s="518"/>
      <c r="D2" s="518"/>
      <c r="E2" s="518"/>
      <c r="F2" s="518"/>
      <c r="G2" s="518"/>
      <c r="H2" s="518"/>
      <c r="I2" s="517"/>
      <c r="J2" s="517"/>
      <c r="K2" s="121"/>
      <c r="L2" s="121"/>
      <c r="M2" s="121"/>
      <c r="N2" s="121"/>
      <c r="O2" s="121"/>
      <c r="P2" s="121"/>
      <c r="Q2" s="121"/>
      <c r="R2" s="121"/>
    </row>
    <row r="3" spans="1:18" ht="15" customHeight="1" x14ac:dyDescent="0.25">
      <c r="A3" s="514"/>
      <c r="B3" s="207" t="s">
        <v>2</v>
      </c>
      <c r="C3" s="372" t="s">
        <v>3</v>
      </c>
      <c r="D3" s="372"/>
      <c r="E3" s="207" t="s">
        <v>4</v>
      </c>
      <c r="F3" s="348" t="str">
        <f>'Fr-01'!$B$6</f>
        <v>ชื่อองค์กรที่ขอขึ้นทะเบียน</v>
      </c>
      <c r="G3" s="349"/>
      <c r="H3" s="350"/>
      <c r="I3" s="208" t="s">
        <v>5</v>
      </c>
      <c r="J3" s="209">
        <v>6</v>
      </c>
      <c r="K3" s="121"/>
      <c r="L3" s="121"/>
      <c r="M3" s="121"/>
      <c r="N3" s="121"/>
      <c r="O3" s="121"/>
      <c r="P3" s="121"/>
      <c r="Q3" s="121"/>
      <c r="R3" s="121"/>
    </row>
    <row r="4" spans="1:18" ht="15" customHeight="1" x14ac:dyDescent="0.25">
      <c r="A4" s="515"/>
      <c r="B4" s="207" t="s">
        <v>6</v>
      </c>
      <c r="C4" s="372" t="s">
        <v>135</v>
      </c>
      <c r="D4" s="372"/>
      <c r="E4" s="207" t="s">
        <v>8</v>
      </c>
      <c r="F4" s="348">
        <f>'Fr-01'!$G$4</f>
        <v>0</v>
      </c>
      <c r="G4" s="349"/>
      <c r="H4" s="350"/>
      <c r="I4" s="208" t="s">
        <v>9</v>
      </c>
      <c r="J4" s="209"/>
      <c r="K4" s="121"/>
      <c r="L4" s="121"/>
      <c r="M4" s="121"/>
      <c r="N4" s="121"/>
      <c r="O4" s="121"/>
      <c r="P4" s="121"/>
      <c r="Q4" s="121"/>
      <c r="R4" s="121"/>
    </row>
    <row r="5" spans="1:18" s="215" customFormat="1" ht="15" customHeight="1" x14ac:dyDescent="0.25">
      <c r="A5" s="210" t="s">
        <v>136</v>
      </c>
      <c r="B5" s="211" t="str">
        <f>'Fr-01'!H22</f>
        <v xml:space="preserve"> ระบุปีที่เก็บข้อมูล เช่น ม.ค.63-ธ.ค.63</v>
      </c>
      <c r="C5" s="213"/>
      <c r="D5" s="213"/>
      <c r="E5" s="213"/>
      <c r="F5" s="213"/>
      <c r="G5" s="213"/>
      <c r="H5" s="213"/>
      <c r="I5" s="213"/>
      <c r="J5" s="214"/>
      <c r="K5" s="84"/>
      <c r="L5" s="84"/>
      <c r="M5" s="84"/>
      <c r="N5" s="84"/>
      <c r="O5" s="84"/>
      <c r="P5" s="84"/>
      <c r="Q5" s="84"/>
      <c r="R5" s="84"/>
    </row>
    <row r="6" spans="1:18" x14ac:dyDescent="0.25">
      <c r="A6" s="507"/>
      <c r="B6" s="528" t="s">
        <v>81</v>
      </c>
      <c r="C6" s="529" t="s">
        <v>137</v>
      </c>
      <c r="D6" s="531" t="s">
        <v>138</v>
      </c>
      <c r="E6" s="531" t="s">
        <v>139</v>
      </c>
      <c r="F6" s="508"/>
      <c r="G6" s="509"/>
      <c r="H6" s="509"/>
      <c r="I6" s="509"/>
      <c r="J6" s="510"/>
    </row>
    <row r="7" spans="1:18" x14ac:dyDescent="0.25">
      <c r="A7" s="507"/>
      <c r="B7" s="528"/>
      <c r="C7" s="529"/>
      <c r="D7" s="531"/>
      <c r="E7" s="531"/>
      <c r="F7" s="508"/>
      <c r="G7" s="509"/>
      <c r="H7" s="509"/>
      <c r="I7" s="509"/>
      <c r="J7" s="510"/>
      <c r="L7" s="72"/>
      <c r="M7" s="72"/>
    </row>
    <row r="8" spans="1:18" x14ac:dyDescent="0.25">
      <c r="A8" s="507"/>
      <c r="B8" s="528"/>
      <c r="C8" s="529"/>
      <c r="D8" s="531"/>
      <c r="E8" s="531"/>
      <c r="F8" s="508"/>
      <c r="G8" s="509"/>
      <c r="H8" s="509"/>
      <c r="I8" s="509"/>
      <c r="J8" s="510"/>
      <c r="L8" s="72"/>
      <c r="M8" s="72"/>
    </row>
    <row r="9" spans="1:18" x14ac:dyDescent="0.25">
      <c r="A9" s="507"/>
      <c r="B9" s="528"/>
      <c r="C9" s="530"/>
      <c r="D9" s="532"/>
      <c r="E9" s="532"/>
      <c r="F9" s="508"/>
      <c r="G9" s="509"/>
      <c r="H9" s="509"/>
      <c r="I9" s="509"/>
      <c r="J9" s="510"/>
      <c r="L9" s="72"/>
      <c r="M9" s="72"/>
    </row>
    <row r="10" spans="1:18" ht="32.25" customHeight="1" x14ac:dyDescent="0.25">
      <c r="A10" s="507"/>
      <c r="B10" s="99" t="s">
        <v>140</v>
      </c>
      <c r="C10" s="104" t="e">
        <f>ROUNDUP('Fr-04.1'!AO24,0)</f>
        <v>#VALUE!</v>
      </c>
      <c r="D10" s="100" t="e">
        <f>C10/C$14%</f>
        <v>#VALUE!</v>
      </c>
      <c r="E10" s="100" t="e">
        <f>C10/SUM(C10:C12)%</f>
        <v>#VALUE!</v>
      </c>
      <c r="F10" s="508"/>
      <c r="G10" s="509"/>
      <c r="H10" s="509"/>
      <c r="I10" s="509"/>
      <c r="J10" s="510"/>
      <c r="L10" s="101"/>
      <c r="M10" s="101"/>
    </row>
    <row r="11" spans="1:18" ht="32.25" customHeight="1" x14ac:dyDescent="0.25">
      <c r="A11" s="507"/>
      <c r="B11" s="102" t="s">
        <v>14</v>
      </c>
      <c r="C11" s="104">
        <f>ROUNDUP('Fr-04.1'!AO35,0)</f>
        <v>0</v>
      </c>
      <c r="D11" s="100" t="e">
        <f>C11/C$14%</f>
        <v>#VALUE!</v>
      </c>
      <c r="E11" s="100" t="e">
        <f>C11/SUM(C10:C12)%</f>
        <v>#VALUE!</v>
      </c>
      <c r="F11" s="508"/>
      <c r="G11" s="509"/>
      <c r="H11" s="509"/>
      <c r="I11" s="509"/>
      <c r="J11" s="510"/>
    </row>
    <row r="12" spans="1:18" ht="32.25" customHeight="1" x14ac:dyDescent="0.25">
      <c r="A12" s="507"/>
      <c r="B12" s="102" t="s">
        <v>15</v>
      </c>
      <c r="C12" s="104">
        <f>ROUNDUP('Fr-04.1'!AO43,0)</f>
        <v>0</v>
      </c>
      <c r="D12" s="519"/>
      <c r="E12" s="100" t="e">
        <f>C12/SUM(C10:C12)%</f>
        <v>#VALUE!</v>
      </c>
      <c r="F12" s="508"/>
      <c r="G12" s="509"/>
      <c r="H12" s="509"/>
      <c r="I12" s="509"/>
      <c r="J12" s="510"/>
    </row>
    <row r="13" spans="1:18" ht="32.25" customHeight="1" x14ac:dyDescent="0.25">
      <c r="A13" s="507"/>
      <c r="B13" s="103" t="s">
        <v>141</v>
      </c>
      <c r="C13" s="104">
        <f>ROUNDUP('Fr-04.1'!AO30,0)</f>
        <v>0</v>
      </c>
      <c r="D13" s="520"/>
      <c r="E13" s="104"/>
      <c r="F13" s="508"/>
      <c r="G13" s="509"/>
      <c r="H13" s="509"/>
      <c r="I13" s="509"/>
      <c r="J13" s="510"/>
    </row>
    <row r="14" spans="1:18" ht="32.25" customHeight="1" x14ac:dyDescent="0.25">
      <c r="A14" s="507"/>
      <c r="B14" s="177" t="s">
        <v>142</v>
      </c>
      <c r="C14" s="125" t="e">
        <f>SUM(C10:C11)</f>
        <v>#VALUE!</v>
      </c>
      <c r="D14" s="105" t="e">
        <f>SUM(D10:D11)</f>
        <v>#VALUE!</v>
      </c>
      <c r="E14" s="105"/>
      <c r="F14" s="508"/>
      <c r="G14" s="509"/>
      <c r="H14" s="509"/>
      <c r="I14" s="509"/>
      <c r="J14" s="510"/>
    </row>
    <row r="15" spans="1:18" ht="32.25" customHeight="1" x14ac:dyDescent="0.25">
      <c r="A15" s="507"/>
      <c r="B15" s="177" t="s">
        <v>143</v>
      </c>
      <c r="C15" s="125" t="e">
        <f>SUM(C10:C12)</f>
        <v>#VALUE!</v>
      </c>
      <c r="D15" s="105"/>
      <c r="E15" s="105" t="e">
        <f>SUM(E10:E12)</f>
        <v>#VALUE!</v>
      </c>
      <c r="F15" s="508"/>
      <c r="G15" s="509"/>
      <c r="H15" s="509"/>
      <c r="I15" s="509"/>
      <c r="J15" s="510"/>
    </row>
    <row r="16" spans="1:18" x14ac:dyDescent="0.25">
      <c r="A16" s="178"/>
      <c r="B16" s="176"/>
      <c r="C16" s="176"/>
      <c r="D16" s="176"/>
      <c r="E16" s="176"/>
      <c r="F16" s="176"/>
      <c r="G16" s="176"/>
      <c r="H16" s="176"/>
      <c r="I16" s="176"/>
      <c r="J16" s="179"/>
    </row>
    <row r="17" spans="1:10" x14ac:dyDescent="0.25">
      <c r="A17" s="178"/>
      <c r="B17" s="511" t="s">
        <v>144</v>
      </c>
      <c r="C17" s="512"/>
      <c r="D17" s="182" t="e">
        <f>C14/'Fr-01'!H23</f>
        <v>#VALUE!</v>
      </c>
      <c r="E17" s="184" t="s">
        <v>145</v>
      </c>
      <c r="F17" s="185" t="str">
        <f>'Fr-01'!J23</f>
        <v>ระบุหน่วย</v>
      </c>
      <c r="G17" s="176"/>
      <c r="H17" s="176"/>
      <c r="I17" s="176"/>
      <c r="J17" s="179"/>
    </row>
    <row r="18" spans="1:10" x14ac:dyDescent="0.25">
      <c r="A18" s="178"/>
      <c r="B18" s="511" t="s">
        <v>146</v>
      </c>
      <c r="C18" s="512"/>
      <c r="D18" s="183" t="e">
        <f>C15/'Fr-01'!H23</f>
        <v>#VALUE!</v>
      </c>
      <c r="E18" s="184" t="s">
        <v>145</v>
      </c>
      <c r="F18" s="185" t="str">
        <f>'Fr-01'!J23</f>
        <v>ระบุหน่วย</v>
      </c>
      <c r="G18" s="176"/>
      <c r="H18" s="176"/>
      <c r="I18" s="176"/>
      <c r="J18" s="179"/>
    </row>
    <row r="19" spans="1:10" x14ac:dyDescent="0.25">
      <c r="A19" s="173"/>
      <c r="B19" s="174"/>
      <c r="C19" s="174"/>
      <c r="D19" s="174"/>
      <c r="E19" s="174"/>
      <c r="F19" s="174"/>
      <c r="G19" s="174"/>
      <c r="H19" s="174"/>
      <c r="I19" s="174"/>
      <c r="J19" s="175"/>
    </row>
    <row r="20" spans="1:10" s="215" customFormat="1" ht="12.75" customHeight="1" x14ac:dyDescent="0.25">
      <c r="A20" s="210" t="s">
        <v>20</v>
      </c>
      <c r="B20" s="211" t="str">
        <f>'Fr-01'!H24</f>
        <v xml:space="preserve"> ระบุปีฐาน เช่น ม.ค.61-ธ.ค.61</v>
      </c>
      <c r="C20" s="213"/>
      <c r="D20" s="213"/>
      <c r="E20" s="213"/>
      <c r="F20" s="213"/>
      <c r="G20" s="213"/>
      <c r="H20" s="213"/>
      <c r="I20" s="213"/>
      <c r="J20" s="214"/>
    </row>
    <row r="21" spans="1:10" x14ac:dyDescent="0.25">
      <c r="A21" s="216"/>
      <c r="B21" s="217"/>
      <c r="C21" s="217"/>
      <c r="D21" s="217"/>
      <c r="E21" s="217"/>
      <c r="F21" s="217"/>
      <c r="G21" s="217"/>
      <c r="H21" s="217"/>
      <c r="I21" s="217"/>
      <c r="J21" s="218"/>
    </row>
    <row r="22" spans="1:10" ht="15" customHeight="1" x14ac:dyDescent="0.25">
      <c r="A22" s="216"/>
      <c r="B22" s="533" t="s">
        <v>81</v>
      </c>
      <c r="C22" s="534" t="s">
        <v>137</v>
      </c>
      <c r="D22" s="535" t="s">
        <v>138</v>
      </c>
      <c r="E22" s="535" t="s">
        <v>139</v>
      </c>
      <c r="F22" s="178"/>
      <c r="G22" s="536" t="s">
        <v>147</v>
      </c>
      <c r="H22" s="536"/>
      <c r="I22" s="536"/>
      <c r="J22" s="179"/>
    </row>
    <row r="23" spans="1:10" x14ac:dyDescent="0.25">
      <c r="A23" s="178"/>
      <c r="B23" s="528"/>
      <c r="C23" s="529"/>
      <c r="D23" s="531"/>
      <c r="E23" s="531"/>
      <c r="F23" s="178"/>
      <c r="G23" s="176"/>
      <c r="H23" s="176"/>
      <c r="I23" s="176"/>
      <c r="J23" s="179"/>
    </row>
    <row r="24" spans="1:10" x14ac:dyDescent="0.25">
      <c r="A24" s="216"/>
      <c r="B24" s="528"/>
      <c r="C24" s="529"/>
      <c r="D24" s="531"/>
      <c r="E24" s="531"/>
      <c r="F24" s="178"/>
      <c r="G24" s="176"/>
      <c r="H24" s="176"/>
      <c r="I24" s="176"/>
      <c r="J24" s="179"/>
    </row>
    <row r="25" spans="1:10" x14ac:dyDescent="0.25">
      <c r="A25" s="216"/>
      <c r="B25" s="528"/>
      <c r="C25" s="530"/>
      <c r="D25" s="532"/>
      <c r="E25" s="532"/>
      <c r="F25" s="178"/>
      <c r="G25" s="176"/>
      <c r="H25" s="176"/>
      <c r="I25" s="176"/>
      <c r="J25" s="179"/>
    </row>
    <row r="26" spans="1:10" ht="32.25" customHeight="1" x14ac:dyDescent="0.25">
      <c r="A26" s="216"/>
      <c r="B26" s="99" t="s">
        <v>140</v>
      </c>
      <c r="C26" s="104">
        <f>ROUNDUP('Fr-04.2'!AO24,0)</f>
        <v>0</v>
      </c>
      <c r="D26" s="100" t="e">
        <f>C26/C$14%</f>
        <v>#VALUE!</v>
      </c>
      <c r="E26" s="100" t="e">
        <f>C26/SUM(C26:C28)%</f>
        <v>#DIV/0!</v>
      </c>
      <c r="F26" s="178"/>
      <c r="G26" s="176"/>
      <c r="H26" s="176"/>
      <c r="I26" s="176"/>
      <c r="J26" s="179"/>
    </row>
    <row r="27" spans="1:10" ht="32.25" customHeight="1" x14ac:dyDescent="0.25">
      <c r="A27" s="216"/>
      <c r="B27" s="102" t="s">
        <v>14</v>
      </c>
      <c r="C27" s="104">
        <f>ROUNDUP('Fr-04.2'!AO35,0)</f>
        <v>0</v>
      </c>
      <c r="D27" s="100" t="e">
        <f>C27/C$14%</f>
        <v>#VALUE!</v>
      </c>
      <c r="E27" s="100" t="e">
        <f>C27/SUM(C26:C28)%</f>
        <v>#DIV/0!</v>
      </c>
      <c r="F27" s="178"/>
      <c r="G27" s="176"/>
      <c r="H27" s="176"/>
      <c r="I27" s="176"/>
      <c r="J27" s="179"/>
    </row>
    <row r="28" spans="1:10" ht="32.25" customHeight="1" x14ac:dyDescent="0.25">
      <c r="A28" s="216"/>
      <c r="B28" s="102" t="s">
        <v>15</v>
      </c>
      <c r="C28" s="104">
        <f>ROUNDUP('Fr-04.2'!AO43,0)</f>
        <v>0</v>
      </c>
      <c r="D28" s="519"/>
      <c r="E28" s="100" t="e">
        <f>C28/SUM(C26:C28)%</f>
        <v>#DIV/0!</v>
      </c>
      <c r="F28" s="178"/>
      <c r="G28" s="176"/>
      <c r="H28" s="176"/>
      <c r="I28" s="176"/>
      <c r="J28" s="179"/>
    </row>
    <row r="29" spans="1:10" ht="32.25" customHeight="1" x14ac:dyDescent="0.25">
      <c r="A29" s="216"/>
      <c r="B29" s="103" t="s">
        <v>141</v>
      </c>
      <c r="C29" s="104">
        <f>ROUNDUP('Fr-04.2'!AO46,0)</f>
        <v>0</v>
      </c>
      <c r="D29" s="520"/>
      <c r="E29" s="104"/>
      <c r="F29" s="178"/>
      <c r="G29" s="176"/>
      <c r="H29" s="176"/>
      <c r="I29" s="176"/>
      <c r="J29" s="179"/>
    </row>
    <row r="30" spans="1:10" ht="22.5" customHeight="1" x14ac:dyDescent="0.25">
      <c r="A30" s="216"/>
      <c r="B30" s="177" t="s">
        <v>142</v>
      </c>
      <c r="C30" s="125">
        <f>SUM(C26:C27)</f>
        <v>0</v>
      </c>
      <c r="D30" s="105" t="e">
        <f>SUM(D26:D27)</f>
        <v>#VALUE!</v>
      </c>
      <c r="E30" s="105"/>
      <c r="F30" s="178"/>
      <c r="G30" s="176"/>
      <c r="H30" s="176"/>
      <c r="I30" s="176"/>
      <c r="J30" s="179"/>
    </row>
    <row r="31" spans="1:10" ht="22.5" customHeight="1" x14ac:dyDescent="0.25">
      <c r="A31" s="216"/>
      <c r="B31" s="177" t="s">
        <v>143</v>
      </c>
      <c r="C31" s="125">
        <f>SUM(C26:C28)</f>
        <v>0</v>
      </c>
      <c r="D31" s="105"/>
      <c r="E31" s="105" t="e">
        <f>SUM(E26:E28)</f>
        <v>#DIV/0!</v>
      </c>
      <c r="F31" s="178"/>
      <c r="G31" s="176"/>
      <c r="H31" s="176"/>
      <c r="I31" s="176"/>
      <c r="J31" s="179"/>
    </row>
    <row r="32" spans="1:10" x14ac:dyDescent="0.25">
      <c r="A32" s="216"/>
      <c r="B32" s="176"/>
      <c r="C32" s="176"/>
      <c r="D32" s="176"/>
      <c r="E32" s="176"/>
      <c r="F32" s="176"/>
      <c r="G32" s="176"/>
      <c r="H32" s="176"/>
      <c r="I32" s="176"/>
      <c r="J32" s="179"/>
    </row>
    <row r="33" spans="1:10" x14ac:dyDescent="0.25">
      <c r="A33" s="216"/>
      <c r="B33" s="511" t="s">
        <v>144</v>
      </c>
      <c r="C33" s="512"/>
      <c r="D33" s="182" t="e">
        <f>C30/'Fr-01'!H25</f>
        <v>#DIV/0!</v>
      </c>
      <c r="E33" s="184" t="s">
        <v>145</v>
      </c>
      <c r="F33" s="185" t="str">
        <f>F17</f>
        <v>ระบุหน่วย</v>
      </c>
      <c r="G33" s="176"/>
      <c r="H33" s="176"/>
      <c r="I33" s="176"/>
      <c r="J33" s="179"/>
    </row>
    <row r="34" spans="1:10" x14ac:dyDescent="0.25">
      <c r="A34" s="216"/>
      <c r="B34" s="511" t="s">
        <v>146</v>
      </c>
      <c r="C34" s="512"/>
      <c r="D34" s="183" t="e">
        <f>C31/'Fr-01'!H25</f>
        <v>#DIV/0!</v>
      </c>
      <c r="E34" s="184" t="s">
        <v>145</v>
      </c>
      <c r="F34" s="185" t="str">
        <f>F18</f>
        <v>ระบุหน่วย</v>
      </c>
      <c r="G34" s="176"/>
      <c r="H34" s="176"/>
      <c r="I34" s="176"/>
      <c r="J34" s="179"/>
    </row>
    <row r="35" spans="1:10" x14ac:dyDescent="0.25">
      <c r="A35" s="216"/>
      <c r="B35" s="217"/>
      <c r="C35" s="217"/>
      <c r="D35" s="217"/>
      <c r="E35" s="217"/>
      <c r="F35" s="217"/>
      <c r="G35" s="217"/>
      <c r="H35" s="217"/>
      <c r="I35" s="217"/>
      <c r="J35" s="218"/>
    </row>
    <row r="36" spans="1:10" x14ac:dyDescent="0.25">
      <c r="A36" s="219"/>
      <c r="B36" s="220"/>
      <c r="C36" s="220"/>
      <c r="D36" s="220"/>
      <c r="E36" s="220"/>
      <c r="F36" s="220"/>
      <c r="G36" s="220"/>
      <c r="H36" s="220"/>
      <c r="I36" s="220"/>
      <c r="J36" s="221"/>
    </row>
    <row r="37" spans="1:10" x14ac:dyDescent="0.25">
      <c r="A37" s="124" t="s">
        <v>33</v>
      </c>
      <c r="B37" s="521"/>
      <c r="C37" s="522"/>
      <c r="D37" s="522"/>
      <c r="E37" s="523"/>
      <c r="F37" s="524"/>
      <c r="G37" s="106" t="s">
        <v>34</v>
      </c>
      <c r="H37" s="525">
        <v>0</v>
      </c>
      <c r="I37" s="526"/>
      <c r="J37" s="527"/>
    </row>
  </sheetData>
  <mergeCells count="26">
    <mergeCell ref="B37:F37"/>
    <mergeCell ref="H37:J37"/>
    <mergeCell ref="B6:B9"/>
    <mergeCell ref="C6:C9"/>
    <mergeCell ref="D6:D9"/>
    <mergeCell ref="E6:E9"/>
    <mergeCell ref="B22:B25"/>
    <mergeCell ref="C22:C25"/>
    <mergeCell ref="D22:D25"/>
    <mergeCell ref="E22:E25"/>
    <mergeCell ref="D28:D29"/>
    <mergeCell ref="B33:C33"/>
    <mergeCell ref="B34:C34"/>
    <mergeCell ref="G22:I22"/>
    <mergeCell ref="A6:A15"/>
    <mergeCell ref="F6:J15"/>
    <mergeCell ref="B17:C17"/>
    <mergeCell ref="B18:C18"/>
    <mergeCell ref="A1:A4"/>
    <mergeCell ref="C3:D3"/>
    <mergeCell ref="C4:D4"/>
    <mergeCell ref="I1:J2"/>
    <mergeCell ref="B1:H2"/>
    <mergeCell ref="F3:H3"/>
    <mergeCell ref="F4:H4"/>
    <mergeCell ref="D12:D1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S157"/>
  <sheetViews>
    <sheetView workbookViewId="0">
      <selection activeCell="G11" sqref="G11"/>
    </sheetView>
  </sheetViews>
  <sheetFormatPr defaultColWidth="9.09765625" defaultRowHeight="13.8" x14ac:dyDescent="0.25"/>
  <cols>
    <col min="1" max="1" width="6.296875" style="127" customWidth="1"/>
    <col min="2" max="2" width="34.3984375" style="127" customWidth="1"/>
    <col min="3" max="3" width="8" style="127" customWidth="1"/>
    <col min="4" max="7" width="14.296875" style="127" customWidth="1"/>
    <col min="8" max="8" width="50.8984375" style="127" customWidth="1"/>
    <col min="9" max="15" width="9.09765625" style="127"/>
    <col min="16" max="16" width="63.69921875" style="127" customWidth="1"/>
    <col min="17" max="17" width="6.09765625" style="127" customWidth="1"/>
    <col min="18" max="18" width="30.09765625" style="127" customWidth="1"/>
    <col min="19" max="19" width="9.09765625" style="127"/>
  </cols>
  <sheetData>
    <row r="2" spans="1:15" ht="18" customHeight="1" x14ac:dyDescent="0.35">
      <c r="A2" s="538"/>
      <c r="B2" s="539" t="s">
        <v>148</v>
      </c>
      <c r="C2" s="538" t="s">
        <v>149</v>
      </c>
      <c r="D2" s="540" t="s">
        <v>150</v>
      </c>
      <c r="E2" s="541"/>
      <c r="F2" s="541"/>
      <c r="G2" s="541"/>
      <c r="H2" s="539" t="s">
        <v>151</v>
      </c>
      <c r="J2" s="381" t="s">
        <v>97</v>
      </c>
      <c r="K2" s="537"/>
      <c r="L2" s="382"/>
    </row>
    <row r="3" spans="1:15" ht="15.6" x14ac:dyDescent="0.25">
      <c r="A3" s="538"/>
      <c r="B3" s="539"/>
      <c r="C3" s="538"/>
      <c r="D3" s="145" t="s">
        <v>152</v>
      </c>
      <c r="E3" s="145" t="s">
        <v>153</v>
      </c>
      <c r="F3" s="145" t="s">
        <v>154</v>
      </c>
      <c r="G3" s="145" t="s">
        <v>155</v>
      </c>
      <c r="H3" s="539"/>
      <c r="J3" s="2" t="s">
        <v>87</v>
      </c>
      <c r="K3" s="126" t="s">
        <v>156</v>
      </c>
      <c r="L3" s="126" t="s">
        <v>101</v>
      </c>
    </row>
    <row r="4" spans="1:15" ht="15.6" x14ac:dyDescent="0.25">
      <c r="A4" s="538"/>
      <c r="B4" s="539"/>
      <c r="C4" s="538"/>
      <c r="D4" s="145" t="s">
        <v>157</v>
      </c>
      <c r="E4" s="145" t="s">
        <v>158</v>
      </c>
      <c r="F4" s="145" t="s">
        <v>159</v>
      </c>
      <c r="G4" s="145" t="s">
        <v>160</v>
      </c>
      <c r="H4" s="539"/>
      <c r="J4" s="2" t="s">
        <v>111</v>
      </c>
      <c r="K4" s="2">
        <v>1</v>
      </c>
      <c r="L4" s="2">
        <v>1</v>
      </c>
    </row>
    <row r="5" spans="1:15" x14ac:dyDescent="0.25">
      <c r="A5" s="146" t="s">
        <v>161</v>
      </c>
      <c r="C5" s="147"/>
      <c r="D5" s="147"/>
      <c r="E5" s="147"/>
      <c r="F5" s="147"/>
      <c r="G5" s="147"/>
      <c r="H5" s="128"/>
      <c r="J5" s="2" t="s">
        <v>122</v>
      </c>
      <c r="K5" s="2">
        <v>25</v>
      </c>
      <c r="L5" s="2">
        <v>28</v>
      </c>
    </row>
    <row r="6" spans="1:15" x14ac:dyDescent="0.25">
      <c r="A6" s="129"/>
      <c r="B6" s="130" t="s">
        <v>162</v>
      </c>
      <c r="C6" s="129" t="s">
        <v>163</v>
      </c>
      <c r="D6" s="148">
        <f>D48*$G$48*10^-6</f>
        <v>5.7221999999999995E-2</v>
      </c>
      <c r="E6" s="148">
        <f>E48*$G$48*10^-6</f>
        <v>1.02E-6</v>
      </c>
      <c r="F6" s="148">
        <f>F48*$G$48*10^-6</f>
        <v>1.02E-7</v>
      </c>
      <c r="G6" s="149">
        <f t="shared" ref="G6:G17" si="0">D6+(E6*$K$5)+(F6*$K$6)</f>
        <v>5.7277895999999995E-2</v>
      </c>
      <c r="H6" s="131" t="s">
        <v>164</v>
      </c>
      <c r="I6" s="157"/>
      <c r="J6" s="2" t="s">
        <v>123</v>
      </c>
      <c r="K6" s="2">
        <v>298</v>
      </c>
      <c r="L6" s="2">
        <v>265</v>
      </c>
      <c r="N6" s="158"/>
      <c r="O6" s="158"/>
    </row>
    <row r="7" spans="1:15" x14ac:dyDescent="0.25">
      <c r="A7" s="129"/>
      <c r="B7" s="130" t="s">
        <v>162</v>
      </c>
      <c r="C7" s="129" t="s">
        <v>165</v>
      </c>
      <c r="D7" s="148">
        <f>D48/1000000</f>
        <v>5.6099999999999997E-2</v>
      </c>
      <c r="E7" s="148">
        <f>E48/1000000</f>
        <v>9.9999999999999995E-7</v>
      </c>
      <c r="F7" s="148">
        <f>F48/1000000</f>
        <v>1.0000000000000001E-7</v>
      </c>
      <c r="G7" s="149">
        <f t="shared" si="0"/>
        <v>5.6154799999999998E-2</v>
      </c>
      <c r="H7" s="131" t="s">
        <v>164</v>
      </c>
      <c r="I7" s="157"/>
      <c r="J7" s="2" t="s">
        <v>124</v>
      </c>
      <c r="K7" s="2">
        <v>22800</v>
      </c>
      <c r="L7" s="2">
        <v>23500</v>
      </c>
      <c r="N7" s="158"/>
      <c r="O7" s="158"/>
    </row>
    <row r="8" spans="1:15" x14ac:dyDescent="0.25">
      <c r="A8" s="129"/>
      <c r="B8" s="130" t="s">
        <v>166</v>
      </c>
      <c r="C8" s="129" t="s">
        <v>167</v>
      </c>
      <c r="D8" s="148">
        <f>D49*$G$49*10^-6</f>
        <v>1.0574699999999999</v>
      </c>
      <c r="E8" s="148">
        <f>E49*$G$49*10^-6</f>
        <v>1.047E-5</v>
      </c>
      <c r="F8" s="148">
        <f>F49*$G$49*10^-6</f>
        <v>1.5705E-5</v>
      </c>
      <c r="G8" s="149">
        <f t="shared" si="0"/>
        <v>1.0624118399999998</v>
      </c>
      <c r="H8" s="131" t="s">
        <v>164</v>
      </c>
      <c r="I8" s="157"/>
      <c r="J8" s="2" t="s">
        <v>125</v>
      </c>
      <c r="K8" s="2">
        <v>17200</v>
      </c>
      <c r="L8" s="2">
        <v>16100</v>
      </c>
      <c r="N8" s="158"/>
      <c r="O8" s="158"/>
    </row>
    <row r="9" spans="1:15" x14ac:dyDescent="0.25">
      <c r="A9" s="129"/>
      <c r="B9" s="130" t="s">
        <v>168</v>
      </c>
      <c r="C9" s="129" t="s">
        <v>169</v>
      </c>
      <c r="D9" s="148">
        <f>D50*$G$50*10^-6</f>
        <v>3.2096984443713024</v>
      </c>
      <c r="E9" s="148">
        <f>E50*$G$50*10^-6</f>
        <v>1.244069164485001E-4</v>
      </c>
      <c r="F9" s="148">
        <f>F50*$G$50*10^-6</f>
        <v>2.4881383289700019E-5</v>
      </c>
      <c r="G9" s="149">
        <f t="shared" si="0"/>
        <v>3.2202232695028452</v>
      </c>
      <c r="H9" s="131" t="s">
        <v>170</v>
      </c>
      <c r="I9" s="157"/>
      <c r="J9" s="127" t="s">
        <v>171</v>
      </c>
      <c r="N9" s="158"/>
      <c r="O9" s="158"/>
    </row>
    <row r="10" spans="1:15" x14ac:dyDescent="0.25">
      <c r="A10" s="129"/>
      <c r="B10" s="130" t="s">
        <v>172</v>
      </c>
      <c r="C10" s="129" t="s">
        <v>169</v>
      </c>
      <c r="D10" s="148">
        <f>D51*$G$51*10^-6</f>
        <v>3.2353401009425418</v>
      </c>
      <c r="E10" s="148">
        <f>E51*$G$51*10^-6</f>
        <v>1.2540077910630005E-4</v>
      </c>
      <c r="F10" s="148">
        <f>F51*$G$51*10^-6</f>
        <v>2.5080155821260009E-5</v>
      </c>
      <c r="G10" s="149">
        <f t="shared" si="0"/>
        <v>3.2459490068549348</v>
      </c>
      <c r="H10" s="131" t="s">
        <v>170</v>
      </c>
      <c r="I10" s="157"/>
      <c r="N10" s="158"/>
      <c r="O10" s="158"/>
    </row>
    <row r="11" spans="1:15" x14ac:dyDescent="0.25">
      <c r="A11" s="129"/>
      <c r="B11" s="130" t="s">
        <v>173</v>
      </c>
      <c r="C11" s="129" t="s">
        <v>169</v>
      </c>
      <c r="D11" s="148">
        <f>D52*$G$52*10^-6</f>
        <v>2.6987220000000001</v>
      </c>
      <c r="E11" s="148">
        <f>E52*$G$52*10^-6</f>
        <v>1.0925999999999999E-4</v>
      </c>
      <c r="F11" s="148">
        <f>F52*$G$52*10^-6</f>
        <v>2.1852E-5</v>
      </c>
      <c r="G11" s="149">
        <f t="shared" si="0"/>
        <v>2.7079653960000001</v>
      </c>
      <c r="H11" s="131" t="s">
        <v>164</v>
      </c>
      <c r="I11" s="157"/>
      <c r="N11" s="158"/>
      <c r="O11" s="158"/>
    </row>
    <row r="12" spans="1:15" x14ac:dyDescent="0.25">
      <c r="A12" s="129"/>
      <c r="B12" s="130" t="s">
        <v>174</v>
      </c>
      <c r="C12" s="129" t="s">
        <v>167</v>
      </c>
      <c r="D12" s="148">
        <f>D53*$G$53*10^-6</f>
        <v>3.0866199999999999</v>
      </c>
      <c r="E12" s="148">
        <f>E53*$G$53*10^-6</f>
        <v>3.1399999999999998E-5</v>
      </c>
      <c r="F12" s="148">
        <f>F53*$G$53*10^-6</f>
        <v>4.7099999999999993E-5</v>
      </c>
      <c r="G12" s="149">
        <f t="shared" si="0"/>
        <v>3.1014407999999998</v>
      </c>
      <c r="H12" s="131" t="s">
        <v>164</v>
      </c>
      <c r="I12" s="157"/>
      <c r="N12" s="158"/>
      <c r="O12" s="158"/>
    </row>
    <row r="13" spans="1:15" x14ac:dyDescent="0.25">
      <c r="A13" s="129"/>
      <c r="B13" s="130" t="s">
        <v>175</v>
      </c>
      <c r="C13" s="129" t="s">
        <v>167</v>
      </c>
      <c r="D13" s="148">
        <f>D54*$G$54*10^-6</f>
        <v>2.534157</v>
      </c>
      <c r="E13" s="148">
        <f>E54*$G$54*10^-6</f>
        <v>2.637E-5</v>
      </c>
      <c r="F13" s="148">
        <f>F54*$G$54*10^-6</f>
        <v>3.9554999999999997E-5</v>
      </c>
      <c r="G13" s="149">
        <f t="shared" si="0"/>
        <v>2.5466036399999998</v>
      </c>
      <c r="H13" s="131" t="s">
        <v>164</v>
      </c>
      <c r="I13" s="157"/>
      <c r="N13" s="158"/>
      <c r="O13" s="158"/>
    </row>
    <row r="14" spans="1:15" x14ac:dyDescent="0.25">
      <c r="A14" s="129"/>
      <c r="B14" s="130" t="s">
        <v>176</v>
      </c>
      <c r="C14" s="129" t="s">
        <v>169</v>
      </c>
      <c r="D14" s="148">
        <f>D55*$G$55*10^-6</f>
        <v>2.4688949999999998</v>
      </c>
      <c r="E14" s="148">
        <f>E55*$G$55*10^-6</f>
        <v>1.0359E-4</v>
      </c>
      <c r="F14" s="148">
        <f>F55*$G$55*10^-6</f>
        <v>2.0718000000000001E-5</v>
      </c>
      <c r="G14" s="149">
        <f t="shared" si="0"/>
        <v>2.4776587139999995</v>
      </c>
      <c r="H14" s="131" t="s">
        <v>164</v>
      </c>
      <c r="I14" s="157"/>
      <c r="N14" s="158"/>
      <c r="O14" s="158"/>
    </row>
    <row r="15" spans="1:15" x14ac:dyDescent="0.25">
      <c r="A15" s="129"/>
      <c r="B15" s="130" t="s">
        <v>177</v>
      </c>
      <c r="C15" s="129" t="s">
        <v>169</v>
      </c>
      <c r="D15" s="148">
        <f>D56*$G$56*10^-6</f>
        <v>1.6797219999999999</v>
      </c>
      <c r="E15" s="148">
        <f>E56*$G$56*10^-6</f>
        <v>2.6619999999999999E-5</v>
      </c>
      <c r="F15" s="148">
        <f>F56*$G$56*10^-6</f>
        <v>2.6620000000000001E-6</v>
      </c>
      <c r="G15" s="149">
        <f t="shared" si="0"/>
        <v>1.6811807759999999</v>
      </c>
      <c r="H15" s="131" t="s">
        <v>164</v>
      </c>
      <c r="I15" s="157"/>
      <c r="N15" s="158"/>
      <c r="O15" s="158"/>
    </row>
    <row r="16" spans="1:15" x14ac:dyDescent="0.25">
      <c r="A16" s="146"/>
      <c r="B16" s="130" t="s">
        <v>177</v>
      </c>
      <c r="C16" s="129" t="s">
        <v>167</v>
      </c>
      <c r="D16" s="148">
        <f>D15/0.54</f>
        <v>3.1105962962962961</v>
      </c>
      <c r="E16" s="148">
        <f>E15/0.54</f>
        <v>4.9296296296296292E-5</v>
      </c>
      <c r="F16" s="148">
        <f>F15/0.54</f>
        <v>4.9296296296296292E-6</v>
      </c>
      <c r="G16" s="149">
        <f t="shared" si="0"/>
        <v>3.1132977333333329</v>
      </c>
      <c r="H16" s="131" t="s">
        <v>178</v>
      </c>
      <c r="I16" s="157"/>
      <c r="N16" s="158"/>
      <c r="O16" s="158"/>
    </row>
    <row r="17" spans="1:15" x14ac:dyDescent="0.25">
      <c r="A17" s="146"/>
      <c r="B17" s="130" t="s">
        <v>179</v>
      </c>
      <c r="C17" s="129" t="s">
        <v>169</v>
      </c>
      <c r="D17" s="148">
        <f>D57*$G$57*10^-6</f>
        <v>2.1815639999999998</v>
      </c>
      <c r="E17" s="148">
        <f>E57*$G$57*10^-6</f>
        <v>9.4439999999999997E-5</v>
      </c>
      <c r="F17" s="148">
        <f>F57*$G$57*10^-6</f>
        <v>1.8887999999999996E-5</v>
      </c>
      <c r="G17" s="149">
        <f t="shared" si="0"/>
        <v>2.1895536239999998</v>
      </c>
      <c r="H17" s="131" t="s">
        <v>164</v>
      </c>
      <c r="I17" s="157"/>
      <c r="N17" s="158"/>
      <c r="O17" s="158"/>
    </row>
    <row r="18" spans="1:15" x14ac:dyDescent="0.25">
      <c r="A18" s="146"/>
      <c r="B18" s="130"/>
      <c r="C18" s="129"/>
      <c r="D18" s="148"/>
      <c r="E18" s="148"/>
      <c r="F18" s="148"/>
      <c r="G18" s="149"/>
      <c r="H18" s="131"/>
      <c r="I18" s="157"/>
      <c r="N18" s="158"/>
      <c r="O18" s="158"/>
    </row>
    <row r="19" spans="1:15" x14ac:dyDescent="0.25">
      <c r="A19" s="146" t="s">
        <v>180</v>
      </c>
      <c r="B19" s="130"/>
      <c r="C19" s="129"/>
      <c r="D19" s="148"/>
      <c r="E19" s="148"/>
      <c r="F19" s="148"/>
      <c r="G19" s="149"/>
      <c r="H19" s="131"/>
      <c r="I19" s="157"/>
      <c r="N19" s="158"/>
      <c r="O19" s="158"/>
    </row>
    <row r="20" spans="1:15" x14ac:dyDescent="0.25">
      <c r="A20" s="146"/>
      <c r="B20" s="130" t="s">
        <v>181</v>
      </c>
      <c r="C20" s="132" t="s">
        <v>169</v>
      </c>
      <c r="D20" s="148">
        <f>D63*$G$63*10^-6</f>
        <v>2.1815639999999998</v>
      </c>
      <c r="E20" s="148">
        <f>E63*$G$63*10^-6</f>
        <v>1.0388399999999999E-3</v>
      </c>
      <c r="F20" s="148">
        <f>F63*$G$63*10^-6</f>
        <v>1.0073600000000001E-4</v>
      </c>
      <c r="G20" s="149">
        <f t="shared" ref="G20:G26" si="1">D20+(E20*$K$5)+(F20*$K$6)</f>
        <v>2.2375543279999999</v>
      </c>
      <c r="H20" s="131" t="s">
        <v>182</v>
      </c>
      <c r="I20" s="157"/>
      <c r="N20" s="158"/>
      <c r="O20" s="158"/>
    </row>
    <row r="21" spans="1:15" x14ac:dyDescent="0.25">
      <c r="A21" s="146"/>
      <c r="B21" s="130" t="s">
        <v>183</v>
      </c>
      <c r="C21" s="132" t="s">
        <v>169</v>
      </c>
      <c r="D21" s="148">
        <f>D64*$G$64*10^-6</f>
        <v>2.1815639999999998</v>
      </c>
      <c r="E21" s="148">
        <f>E64*$G$64*10^-6</f>
        <v>7.8699999999999994E-4</v>
      </c>
      <c r="F21" s="148">
        <f>F64*$G$64*10^-6</f>
        <v>2.5183999999999997E-4</v>
      </c>
      <c r="G21" s="149">
        <f t="shared" si="1"/>
        <v>2.2762873199999998</v>
      </c>
      <c r="H21" s="131" t="s">
        <v>182</v>
      </c>
      <c r="I21" s="157"/>
      <c r="N21" s="158"/>
      <c r="O21" s="158"/>
    </row>
    <row r="22" spans="1:15" x14ac:dyDescent="0.25">
      <c r="A22" s="146"/>
      <c r="B22" s="130" t="s">
        <v>184</v>
      </c>
      <c r="C22" s="132" t="s">
        <v>169</v>
      </c>
      <c r="D22" s="148">
        <f>D65*$G$65*10^-6</f>
        <v>2.1815639999999998</v>
      </c>
      <c r="E22" s="148">
        <f>E65*$G$65*10^-6</f>
        <v>1.1962399999999999E-4</v>
      </c>
      <c r="F22" s="148">
        <f>F65*$G$65*10^-6</f>
        <v>1.7943599999999999E-4</v>
      </c>
      <c r="G22" s="149">
        <f t="shared" si="1"/>
        <v>2.2380265279999998</v>
      </c>
      <c r="H22" s="131" t="s">
        <v>182</v>
      </c>
      <c r="I22" s="157"/>
      <c r="N22" s="158"/>
      <c r="O22" s="158"/>
    </row>
    <row r="23" spans="1:15" x14ac:dyDescent="0.25">
      <c r="A23" s="146"/>
      <c r="B23" s="130" t="s">
        <v>185</v>
      </c>
      <c r="C23" s="132" t="s">
        <v>169</v>
      </c>
      <c r="D23" s="148">
        <f>D66*$G$66*10^-6</f>
        <v>2.6987220000000001</v>
      </c>
      <c r="E23" s="148">
        <f>E66*$G$66*10^-6</f>
        <v>1.4203800000000001E-4</v>
      </c>
      <c r="F23" s="148">
        <f>F66*$G$66*10^-6</f>
        <v>1.4203800000000001E-4</v>
      </c>
      <c r="G23" s="149">
        <f t="shared" si="1"/>
        <v>2.7446002740000002</v>
      </c>
      <c r="H23" s="131" t="s">
        <v>182</v>
      </c>
      <c r="I23" s="157"/>
      <c r="N23" s="158"/>
      <c r="O23" s="158"/>
    </row>
    <row r="24" spans="1:15" x14ac:dyDescent="0.25">
      <c r="A24" s="146"/>
      <c r="B24" s="130" t="s">
        <v>186</v>
      </c>
      <c r="C24" s="132" t="s">
        <v>167</v>
      </c>
      <c r="D24" s="148">
        <f>D67*$G$67*10^-6</f>
        <v>2.1261899999999998</v>
      </c>
      <c r="E24" s="148">
        <f>E67*$G$67*10^-6</f>
        <v>3.4867999999999995E-3</v>
      </c>
      <c r="F24" s="148">
        <f>F67*$G$67*10^-6</f>
        <v>1.1369999999999999E-4</v>
      </c>
      <c r="G24" s="149">
        <f t="shared" si="1"/>
        <v>2.2472425999999999</v>
      </c>
      <c r="H24" s="131" t="s">
        <v>187</v>
      </c>
      <c r="I24" s="157"/>
      <c r="N24" s="158"/>
      <c r="O24" s="158"/>
    </row>
    <row r="25" spans="1:15" x14ac:dyDescent="0.25">
      <c r="A25" s="146"/>
      <c r="B25" s="130" t="s">
        <v>188</v>
      </c>
      <c r="C25" s="132" t="s">
        <v>169</v>
      </c>
      <c r="D25" s="148">
        <f>D68*$G$68*10^-6</f>
        <v>1.6797219999999999</v>
      </c>
      <c r="E25" s="148">
        <f>E68*$G$68*10^-6</f>
        <v>1.65044E-3</v>
      </c>
      <c r="F25" s="148">
        <f>F68*$G$68*10^-6</f>
        <v>5.3240000000000002E-6</v>
      </c>
      <c r="G25" s="149">
        <f t="shared" si="1"/>
        <v>1.7225695519999999</v>
      </c>
      <c r="H25" s="131" t="s">
        <v>182</v>
      </c>
      <c r="I25" s="157"/>
      <c r="N25" s="158"/>
      <c r="O25" s="158"/>
    </row>
    <row r="26" spans="1:15" x14ac:dyDescent="0.25">
      <c r="A26" s="146"/>
      <c r="B26" s="130" t="s">
        <v>188</v>
      </c>
      <c r="C26" s="129" t="s">
        <v>167</v>
      </c>
      <c r="D26" s="148">
        <f>D25/0.54</f>
        <v>3.1105962962962961</v>
      </c>
      <c r="E26" s="148">
        <f>E25/0.54</f>
        <v>3.0563703703703703E-3</v>
      </c>
      <c r="F26" s="148">
        <f>F25/0.54</f>
        <v>9.8592592592592585E-6</v>
      </c>
      <c r="G26" s="149">
        <f t="shared" si="1"/>
        <v>3.1899436148148146</v>
      </c>
      <c r="H26" s="131" t="s">
        <v>189</v>
      </c>
      <c r="I26" s="157"/>
      <c r="N26" s="158"/>
      <c r="O26" s="158"/>
    </row>
    <row r="27" spans="1:15" x14ac:dyDescent="0.25">
      <c r="A27" s="146" t="s">
        <v>190</v>
      </c>
      <c r="B27" s="130"/>
      <c r="C27" s="129"/>
      <c r="D27" s="148"/>
      <c r="E27" s="148"/>
      <c r="F27" s="148"/>
      <c r="G27" s="149"/>
      <c r="H27" s="131"/>
      <c r="I27" s="157"/>
      <c r="N27" s="158"/>
      <c r="O27" s="158"/>
    </row>
    <row r="28" spans="1:15" x14ac:dyDescent="0.25">
      <c r="A28" s="146"/>
      <c r="B28" s="133" t="s">
        <v>191</v>
      </c>
      <c r="C28" s="132"/>
      <c r="D28" s="148"/>
      <c r="E28" s="148"/>
      <c r="F28" s="148"/>
      <c r="G28" s="149"/>
      <c r="H28" s="131"/>
      <c r="I28" s="157"/>
      <c r="N28" s="158"/>
      <c r="O28" s="158"/>
    </row>
    <row r="29" spans="1:15" x14ac:dyDescent="0.25">
      <c r="A29" s="146"/>
      <c r="B29" s="134" t="s">
        <v>192</v>
      </c>
      <c r="C29" s="132" t="s">
        <v>169</v>
      </c>
      <c r="D29" s="148">
        <f>D75*$G$75/(10^6)</f>
        <v>2.6987220000000001</v>
      </c>
      <c r="E29" s="148">
        <f>E75*$G$75/(10^6)</f>
        <v>1.5114300000000004E-4</v>
      </c>
      <c r="F29" s="148">
        <f>F75*$G$75/(10^6)</f>
        <v>1.0416120000000001E-3</v>
      </c>
      <c r="G29" s="149">
        <f>D29+(E29*$K$5)+(F29*$K$6)</f>
        <v>3.0129009510000002</v>
      </c>
      <c r="H29" s="131" t="s">
        <v>193</v>
      </c>
      <c r="I29" s="157"/>
      <c r="N29" s="158"/>
      <c r="O29" s="158"/>
    </row>
    <row r="30" spans="1:15" x14ac:dyDescent="0.25">
      <c r="A30" s="146"/>
      <c r="B30" s="134" t="s">
        <v>194</v>
      </c>
      <c r="C30" s="132" t="s">
        <v>169</v>
      </c>
      <c r="D30" s="148">
        <f>D76*$G$76/(10^6)</f>
        <v>2.6987220000000001</v>
      </c>
      <c r="E30" s="148">
        <f>E76*$G$76/(10^6)</f>
        <v>1.5114300000000004E-4</v>
      </c>
      <c r="F30" s="148">
        <f>F76*$G$76/(10^6)</f>
        <v>1.0416120000000001E-3</v>
      </c>
      <c r="G30" s="149">
        <f>D30+(E30*$K$5)+(F30*$K$6)</f>
        <v>3.0129009510000002</v>
      </c>
      <c r="H30" s="131" t="s">
        <v>193</v>
      </c>
      <c r="I30" s="157"/>
      <c r="N30" s="158"/>
      <c r="O30" s="158"/>
    </row>
    <row r="31" spans="1:15" x14ac:dyDescent="0.25">
      <c r="A31" s="146"/>
      <c r="B31" s="134" t="s">
        <v>195</v>
      </c>
      <c r="C31" s="132" t="s">
        <v>169</v>
      </c>
      <c r="D31" s="148">
        <f>D77*$G$77/(10^6)</f>
        <v>2.6987220000000001</v>
      </c>
      <c r="E31" s="148">
        <f>E77*$G$77/(10^6)</f>
        <v>1.5114300000000004E-4</v>
      </c>
      <c r="F31" s="148">
        <f>F77*$G$77/(10^6)</f>
        <v>1.0416120000000001E-3</v>
      </c>
      <c r="G31" s="149">
        <f>D31+(E31*$K$5)+(F31*$K$6)</f>
        <v>3.0129009510000002</v>
      </c>
      <c r="H31" s="131" t="s">
        <v>193</v>
      </c>
      <c r="I31" s="157"/>
      <c r="N31" s="158"/>
      <c r="O31" s="158"/>
    </row>
    <row r="32" spans="1:15" x14ac:dyDescent="0.25">
      <c r="A32" s="146"/>
      <c r="B32" s="134" t="s">
        <v>196</v>
      </c>
      <c r="C32" s="132" t="s">
        <v>169</v>
      </c>
      <c r="D32" s="148">
        <f>D78*$G$78/(10^6)</f>
        <v>2.6987220000000001</v>
      </c>
      <c r="E32" s="148">
        <f>E78*$G$78/(10^6)</f>
        <v>1.5114300000000004E-4</v>
      </c>
      <c r="F32" s="148">
        <f>F78*$G$78/(10^6)</f>
        <v>1.0416120000000001E-3</v>
      </c>
      <c r="G32" s="149">
        <f>D32+(E32*$K$5)+(F32*$K$6)</f>
        <v>3.0129009510000002</v>
      </c>
      <c r="H32" s="131" t="s">
        <v>193</v>
      </c>
      <c r="I32" s="157"/>
      <c r="N32" s="158"/>
      <c r="O32" s="158"/>
    </row>
    <row r="33" spans="1:15" x14ac:dyDescent="0.25">
      <c r="A33" s="146"/>
      <c r="B33" s="133" t="s">
        <v>197</v>
      </c>
      <c r="C33" s="132"/>
      <c r="D33" s="148"/>
      <c r="E33" s="148"/>
      <c r="F33" s="148"/>
      <c r="G33" s="149"/>
      <c r="H33" s="131"/>
      <c r="I33" s="157"/>
      <c r="N33" s="158"/>
      <c r="O33" s="158"/>
    </row>
    <row r="34" spans="1:15" x14ac:dyDescent="0.25">
      <c r="A34" s="146"/>
      <c r="B34" s="134" t="s">
        <v>192</v>
      </c>
      <c r="C34" s="132" t="s">
        <v>169</v>
      </c>
      <c r="D34" s="148">
        <f>D80*$G$80/(10^6)</f>
        <v>2.1815639999999998</v>
      </c>
      <c r="E34" s="148">
        <f>E80*$G$80/(10^6)</f>
        <v>2.5184000000000001E-3</v>
      </c>
      <c r="F34" s="148">
        <f>F80*$G$80/(10^6)</f>
        <v>6.2960000000000007E-5</v>
      </c>
      <c r="G34" s="149">
        <f>D34+(E34*$K$5)+(F34*$K$6)</f>
        <v>2.2632860799999999</v>
      </c>
      <c r="H34" s="131" t="s">
        <v>193</v>
      </c>
      <c r="I34" s="157"/>
      <c r="N34" s="158"/>
      <c r="O34" s="158"/>
    </row>
    <row r="35" spans="1:15" x14ac:dyDescent="0.25">
      <c r="A35" s="128"/>
      <c r="B35" s="134" t="s">
        <v>194</v>
      </c>
      <c r="C35" s="132" t="s">
        <v>169</v>
      </c>
      <c r="D35" s="148">
        <f>D81*$G$81/(10^6)</f>
        <v>2.1815639999999998</v>
      </c>
      <c r="E35" s="148">
        <f>E81*$G$81/(10^6)</f>
        <v>0</v>
      </c>
      <c r="F35" s="148">
        <f>F81*$G$81/(10^6)</f>
        <v>0</v>
      </c>
      <c r="G35" s="149">
        <f>D35+(E35*$K$5)+(F35*$K$6)</f>
        <v>2.1815639999999998</v>
      </c>
      <c r="H35" s="131" t="s">
        <v>193</v>
      </c>
      <c r="I35" s="157"/>
      <c r="N35" s="158"/>
      <c r="O35" s="158"/>
    </row>
    <row r="36" spans="1:15" x14ac:dyDescent="0.25">
      <c r="A36" s="128"/>
      <c r="B36" s="134" t="s">
        <v>195</v>
      </c>
      <c r="C36" s="132" t="s">
        <v>169</v>
      </c>
      <c r="D36" s="148">
        <f>D82*$G$82/(10^6)</f>
        <v>2.1815639999999998</v>
      </c>
      <c r="E36" s="148">
        <f>E82*$G$82/(10^6)</f>
        <v>1.5740000000000001E-3</v>
      </c>
      <c r="F36" s="148">
        <f>F82*$G$82/(10^6)</f>
        <v>6.2960000000000007E-5</v>
      </c>
      <c r="G36" s="149">
        <f>D36+(E36*$K$5)+(F36*$K$6)</f>
        <v>2.2396760800000002</v>
      </c>
      <c r="H36" s="131" t="s">
        <v>193</v>
      </c>
      <c r="I36" s="157"/>
      <c r="N36" s="158"/>
      <c r="O36" s="158"/>
    </row>
    <row r="37" spans="1:15" x14ac:dyDescent="0.25">
      <c r="A37" s="128"/>
      <c r="B37" s="134" t="s">
        <v>196</v>
      </c>
      <c r="C37" s="132" t="s">
        <v>169</v>
      </c>
      <c r="D37" s="148">
        <f>D83*$G$83/(10^6)</f>
        <v>2.1815639999999998</v>
      </c>
      <c r="E37" s="148">
        <f>E83*$G$83/(10^6)</f>
        <v>3.7775999999999999E-3</v>
      </c>
      <c r="F37" s="148">
        <f>F83*$G$83/(10^6)</f>
        <v>6.2960000000000007E-5</v>
      </c>
      <c r="G37" s="149">
        <f>D37+(E37*$K$5)+(F37*$K$6)</f>
        <v>2.29476608</v>
      </c>
      <c r="H37" s="131" t="s">
        <v>193</v>
      </c>
      <c r="I37" s="157"/>
      <c r="N37" s="158"/>
      <c r="O37" s="158"/>
    </row>
    <row r="38" spans="1:15" x14ac:dyDescent="0.25">
      <c r="A38" s="146"/>
      <c r="B38" s="133" t="s">
        <v>198</v>
      </c>
      <c r="C38" s="132"/>
      <c r="D38" s="148"/>
      <c r="E38" s="148"/>
      <c r="F38" s="148"/>
      <c r="G38" s="149"/>
      <c r="H38" s="131"/>
      <c r="I38" s="157"/>
      <c r="N38" s="158"/>
      <c r="O38" s="158"/>
    </row>
    <row r="39" spans="1:15" x14ac:dyDescent="0.25">
      <c r="A39" s="146"/>
      <c r="B39" s="134" t="s">
        <v>192</v>
      </c>
      <c r="C39" s="132" t="s">
        <v>169</v>
      </c>
      <c r="D39" s="148">
        <f>D85*$G$85/(10^6)</f>
        <v>2.1815639999999998</v>
      </c>
      <c r="E39" s="148">
        <f>E85*$G$85/(10^6)</f>
        <v>4.4072E-3</v>
      </c>
      <c r="F39" s="148">
        <f>F85*$G$85/(10^6)</f>
        <v>1.2592000000000001E-5</v>
      </c>
      <c r="G39" s="149">
        <f>D39+(E39*$K$5)+(F39*$K$6)</f>
        <v>2.2954964160000002</v>
      </c>
      <c r="H39" s="131" t="s">
        <v>193</v>
      </c>
      <c r="I39" s="157"/>
      <c r="N39" s="158"/>
      <c r="O39" s="158"/>
    </row>
    <row r="40" spans="1:15" x14ac:dyDescent="0.25">
      <c r="A40" s="128"/>
      <c r="B40" s="134" t="s">
        <v>194</v>
      </c>
      <c r="C40" s="132" t="s">
        <v>169</v>
      </c>
      <c r="D40" s="148">
        <f>D86*$G$86/(10^6)</f>
        <v>2.1815639999999998</v>
      </c>
      <c r="E40" s="148">
        <f>E86*$G$86/(10^6)</f>
        <v>5.3516000000000006E-3</v>
      </c>
      <c r="F40" s="148">
        <f>F86*$G$86/(10^6)</f>
        <v>1.2592000000000001E-5</v>
      </c>
      <c r="G40" s="149">
        <f>D40+(E40*$K$5)+(F40*$K$6)</f>
        <v>2.3191064159999999</v>
      </c>
      <c r="H40" s="131" t="s">
        <v>193</v>
      </c>
      <c r="I40" s="157"/>
      <c r="N40" s="158"/>
      <c r="O40" s="158"/>
    </row>
    <row r="41" spans="1:15" x14ac:dyDescent="0.25">
      <c r="A41" s="128"/>
      <c r="B41" s="134" t="s">
        <v>195</v>
      </c>
      <c r="C41" s="132" t="s">
        <v>169</v>
      </c>
      <c r="D41" s="148">
        <f>D87*$G$87/(10^6)</f>
        <v>2.1815639999999998</v>
      </c>
      <c r="E41" s="148">
        <f>E87*$G$87/(10^6)</f>
        <v>4.0924000000000004E-3</v>
      </c>
      <c r="F41" s="148">
        <f>F87*$G$87/(10^6)</f>
        <v>1.2592000000000001E-5</v>
      </c>
      <c r="G41" s="149">
        <f>D41+(E41*$K$5)+(F41*$K$6)</f>
        <v>2.2876264160000002</v>
      </c>
      <c r="H41" s="131" t="s">
        <v>193</v>
      </c>
      <c r="I41" s="157"/>
      <c r="N41" s="158"/>
      <c r="O41" s="158"/>
    </row>
    <row r="42" spans="1:15" x14ac:dyDescent="0.25">
      <c r="A42" s="128"/>
      <c r="B42" s="134" t="s">
        <v>196</v>
      </c>
      <c r="C42" s="132" t="s">
        <v>169</v>
      </c>
      <c r="D42" s="148">
        <f>D88*$G$88/(10^6)</f>
        <v>2.1815639999999998</v>
      </c>
      <c r="E42" s="148">
        <f>E88*$G$88/(10^6)</f>
        <v>5.6663999999999994E-3</v>
      </c>
      <c r="F42" s="148">
        <f>F88*$G$88/(10^6)</f>
        <v>1.2592000000000001E-5</v>
      </c>
      <c r="G42" s="149">
        <f>D42+(E42*$K$5)+(F42*$K$6)</f>
        <v>2.3269764159999999</v>
      </c>
      <c r="H42" s="131" t="s">
        <v>193</v>
      </c>
      <c r="I42" s="157"/>
      <c r="N42" s="158"/>
      <c r="O42" s="158"/>
    </row>
    <row r="43" spans="1:15" x14ac:dyDescent="0.25">
      <c r="B43" s="150"/>
      <c r="C43" s="150"/>
      <c r="D43" s="151"/>
      <c r="E43" s="151"/>
      <c r="F43" s="151"/>
      <c r="G43" s="137"/>
    </row>
    <row r="44" spans="1:15" s="136" customFormat="1" x14ac:dyDescent="0.25">
      <c r="A44" s="135" t="s">
        <v>161</v>
      </c>
      <c r="B44" s="152"/>
      <c r="C44" s="152"/>
      <c r="D44" s="153"/>
      <c r="E44" s="154"/>
      <c r="F44" s="153"/>
      <c r="G44" s="155"/>
    </row>
    <row r="45" spans="1:15" x14ac:dyDescent="0.25">
      <c r="D45" s="137"/>
      <c r="E45" s="138" t="s">
        <v>199</v>
      </c>
      <c r="F45" s="138"/>
      <c r="G45" s="138" t="s">
        <v>200</v>
      </c>
    </row>
    <row r="46" spans="1:15" ht="14.25" customHeight="1" x14ac:dyDescent="0.25">
      <c r="B46" s="130"/>
      <c r="C46" s="129"/>
      <c r="D46" s="542" t="s">
        <v>201</v>
      </c>
      <c r="E46" s="542"/>
      <c r="F46" s="542"/>
      <c r="G46" s="139" t="s">
        <v>202</v>
      </c>
    </row>
    <row r="47" spans="1:15" x14ac:dyDescent="0.25">
      <c r="B47" s="130"/>
      <c r="C47" s="129" t="s">
        <v>203</v>
      </c>
      <c r="D47" s="144" t="s">
        <v>111</v>
      </c>
      <c r="E47" s="129" t="s">
        <v>122</v>
      </c>
      <c r="F47" s="129" t="s">
        <v>123</v>
      </c>
      <c r="G47" s="139" t="s">
        <v>204</v>
      </c>
    </row>
    <row r="48" spans="1:15" x14ac:dyDescent="0.25">
      <c r="B48" s="130" t="s">
        <v>162</v>
      </c>
      <c r="C48" s="129" t="s">
        <v>163</v>
      </c>
      <c r="D48" s="129">
        <v>56100</v>
      </c>
      <c r="E48" s="129">
        <v>1</v>
      </c>
      <c r="F48" s="129">
        <v>0.1</v>
      </c>
      <c r="G48" s="132">
        <v>1.02</v>
      </c>
      <c r="H48" s="127" t="s">
        <v>205</v>
      </c>
    </row>
    <row r="49" spans="1:8" x14ac:dyDescent="0.25">
      <c r="B49" s="130" t="s">
        <v>166</v>
      </c>
      <c r="C49" s="129" t="s">
        <v>167</v>
      </c>
      <c r="D49" s="129">
        <v>101000</v>
      </c>
      <c r="E49" s="129">
        <v>1</v>
      </c>
      <c r="F49" s="129">
        <v>1.5</v>
      </c>
      <c r="G49" s="132">
        <v>10.47</v>
      </c>
    </row>
    <row r="50" spans="1:8" x14ac:dyDescent="0.25">
      <c r="B50" s="130" t="s">
        <v>168</v>
      </c>
      <c r="C50" s="129" t="s">
        <v>169</v>
      </c>
      <c r="D50" s="129">
        <v>77400</v>
      </c>
      <c r="E50" s="129">
        <v>3</v>
      </c>
      <c r="F50" s="129">
        <v>0.6</v>
      </c>
      <c r="G50" s="159">
        <v>41.468972149500033</v>
      </c>
      <c r="H50" s="127" t="s">
        <v>206</v>
      </c>
    </row>
    <row r="51" spans="1:8" x14ac:dyDescent="0.25">
      <c r="B51" s="130" t="s">
        <v>172</v>
      </c>
      <c r="C51" s="129" t="s">
        <v>169</v>
      </c>
      <c r="D51" s="129">
        <v>77400</v>
      </c>
      <c r="E51" s="129">
        <v>3</v>
      </c>
      <c r="F51" s="129">
        <v>0.6</v>
      </c>
      <c r="G51" s="159">
        <v>41.800259702100021</v>
      </c>
      <c r="H51" s="127" t="s">
        <v>206</v>
      </c>
    </row>
    <row r="52" spans="1:8" x14ac:dyDescent="0.25">
      <c r="B52" s="130" t="s">
        <v>173</v>
      </c>
      <c r="C52" s="129" t="s">
        <v>169</v>
      </c>
      <c r="D52" s="129">
        <v>74100</v>
      </c>
      <c r="E52" s="129">
        <v>3</v>
      </c>
      <c r="F52" s="129">
        <v>0.6</v>
      </c>
      <c r="G52" s="132">
        <v>36.42</v>
      </c>
    </row>
    <row r="53" spans="1:8" x14ac:dyDescent="0.25">
      <c r="B53" s="130" t="s">
        <v>174</v>
      </c>
      <c r="C53" s="129" t="s">
        <v>167</v>
      </c>
      <c r="D53" s="129">
        <v>98300</v>
      </c>
      <c r="E53" s="129">
        <v>1</v>
      </c>
      <c r="F53" s="129">
        <v>1.5</v>
      </c>
      <c r="G53" s="132">
        <v>31.4</v>
      </c>
    </row>
    <row r="54" spans="1:8" x14ac:dyDescent="0.25">
      <c r="B54" s="130" t="s">
        <v>175</v>
      </c>
      <c r="C54" s="129" t="s">
        <v>167</v>
      </c>
      <c r="D54" s="129">
        <v>96100</v>
      </c>
      <c r="E54" s="129">
        <v>1</v>
      </c>
      <c r="F54" s="129">
        <v>1.5</v>
      </c>
      <c r="G54" s="132">
        <v>26.37</v>
      </c>
    </row>
    <row r="55" spans="1:8" x14ac:dyDescent="0.25">
      <c r="B55" s="130" t="s">
        <v>176</v>
      </c>
      <c r="C55" s="129" t="s">
        <v>169</v>
      </c>
      <c r="D55" s="129">
        <v>71500</v>
      </c>
      <c r="E55" s="129">
        <v>3</v>
      </c>
      <c r="F55" s="129">
        <v>0.6</v>
      </c>
      <c r="G55" s="132">
        <v>34.53</v>
      </c>
    </row>
    <row r="56" spans="1:8" x14ac:dyDescent="0.25">
      <c r="B56" s="130" t="s">
        <v>177</v>
      </c>
      <c r="C56" s="129" t="s">
        <v>169</v>
      </c>
      <c r="D56" s="129">
        <v>63100</v>
      </c>
      <c r="E56" s="129">
        <v>1</v>
      </c>
      <c r="F56" s="129">
        <v>0.1</v>
      </c>
      <c r="G56" s="132">
        <v>26.62</v>
      </c>
    </row>
    <row r="57" spans="1:8" x14ac:dyDescent="0.25">
      <c r="B57" s="130" t="s">
        <v>179</v>
      </c>
      <c r="C57" s="129" t="s">
        <v>169</v>
      </c>
      <c r="D57" s="129">
        <v>69300</v>
      </c>
      <c r="E57" s="129">
        <v>3</v>
      </c>
      <c r="F57" s="129">
        <v>0.6</v>
      </c>
      <c r="G57" s="132">
        <f>G63</f>
        <v>31.48</v>
      </c>
    </row>
    <row r="58" spans="1:8" x14ac:dyDescent="0.25">
      <c r="D58" s="137"/>
      <c r="E58" s="137"/>
      <c r="F58" s="137"/>
      <c r="G58" s="140"/>
    </row>
    <row r="59" spans="1:8" s="136" customFormat="1" x14ac:dyDescent="0.25">
      <c r="A59" s="135" t="s">
        <v>180</v>
      </c>
      <c r="B59" s="152"/>
      <c r="C59" s="152"/>
      <c r="D59" s="153"/>
      <c r="E59" s="154"/>
      <c r="F59" s="153"/>
      <c r="G59" s="155"/>
    </row>
    <row r="60" spans="1:8" x14ac:dyDescent="0.25">
      <c r="D60" s="543" t="s">
        <v>199</v>
      </c>
      <c r="E60" s="543"/>
      <c r="F60" s="543"/>
      <c r="G60" s="138" t="s">
        <v>200</v>
      </c>
    </row>
    <row r="61" spans="1:8" x14ac:dyDescent="0.25">
      <c r="B61" s="130"/>
      <c r="C61" s="128"/>
      <c r="D61" s="544" t="s">
        <v>201</v>
      </c>
      <c r="E61" s="545"/>
      <c r="F61" s="546"/>
      <c r="G61" s="139" t="s">
        <v>202</v>
      </c>
    </row>
    <row r="62" spans="1:8" x14ac:dyDescent="0.25">
      <c r="B62" s="130"/>
      <c r="C62" s="132" t="s">
        <v>203</v>
      </c>
      <c r="D62" s="129" t="s">
        <v>111</v>
      </c>
      <c r="E62" s="144" t="s">
        <v>122</v>
      </c>
      <c r="F62" s="129" t="s">
        <v>123</v>
      </c>
      <c r="G62" s="139" t="s">
        <v>204</v>
      </c>
    </row>
    <row r="63" spans="1:8" x14ac:dyDescent="0.25">
      <c r="B63" s="130" t="s">
        <v>181</v>
      </c>
      <c r="C63" s="132" t="s">
        <v>169</v>
      </c>
      <c r="D63" s="129">
        <v>69300</v>
      </c>
      <c r="E63" s="129">
        <v>33</v>
      </c>
      <c r="F63" s="129">
        <v>3.2</v>
      </c>
      <c r="G63" s="132">
        <v>31.48</v>
      </c>
      <c r="H63" s="127" t="s">
        <v>207</v>
      </c>
    </row>
    <row r="64" spans="1:8" x14ac:dyDescent="0.25">
      <c r="B64" s="130" t="s">
        <v>208</v>
      </c>
      <c r="C64" s="132" t="s">
        <v>169</v>
      </c>
      <c r="D64" s="129">
        <v>69300</v>
      </c>
      <c r="E64" s="129">
        <v>25</v>
      </c>
      <c r="F64" s="129">
        <v>8</v>
      </c>
      <c r="G64" s="132">
        <v>31.48</v>
      </c>
    </row>
    <row r="65" spans="1:8" x14ac:dyDescent="0.25">
      <c r="B65" s="130" t="s">
        <v>184</v>
      </c>
      <c r="C65" s="132" t="s">
        <v>169</v>
      </c>
      <c r="D65" s="129">
        <v>69300</v>
      </c>
      <c r="E65" s="129">
        <v>3.8</v>
      </c>
      <c r="F65" s="129">
        <v>5.7</v>
      </c>
      <c r="G65" s="132">
        <v>31.48</v>
      </c>
    </row>
    <row r="66" spans="1:8" x14ac:dyDescent="0.25">
      <c r="B66" s="130" t="s">
        <v>185</v>
      </c>
      <c r="C66" s="132" t="s">
        <v>169</v>
      </c>
      <c r="D66" s="129">
        <v>74100</v>
      </c>
      <c r="E66" s="129">
        <v>3.9</v>
      </c>
      <c r="F66" s="129">
        <v>3.9</v>
      </c>
      <c r="G66" s="132">
        <f>G52</f>
        <v>36.42</v>
      </c>
    </row>
    <row r="67" spans="1:8" x14ac:dyDescent="0.25">
      <c r="B67" s="130" t="s">
        <v>186</v>
      </c>
      <c r="C67" s="132" t="s">
        <v>167</v>
      </c>
      <c r="D67" s="129">
        <v>56100</v>
      </c>
      <c r="E67" s="129">
        <v>92</v>
      </c>
      <c r="F67" s="129">
        <v>3</v>
      </c>
      <c r="G67" s="132">
        <v>37.9</v>
      </c>
      <c r="H67" s="127" t="s">
        <v>206</v>
      </c>
    </row>
    <row r="68" spans="1:8" x14ac:dyDescent="0.25">
      <c r="B68" s="130" t="s">
        <v>188</v>
      </c>
      <c r="C68" s="132" t="s">
        <v>169</v>
      </c>
      <c r="D68" s="129">
        <v>63100</v>
      </c>
      <c r="E68" s="129">
        <v>62</v>
      </c>
      <c r="F68" s="129">
        <v>0.2</v>
      </c>
      <c r="G68" s="132">
        <f>G56</f>
        <v>26.62</v>
      </c>
    </row>
    <row r="69" spans="1:8" x14ac:dyDescent="0.25">
      <c r="D69" s="137"/>
      <c r="E69" s="137"/>
      <c r="F69" s="137"/>
      <c r="G69" s="137"/>
    </row>
    <row r="70" spans="1:8" s="136" customFormat="1" x14ac:dyDescent="0.25">
      <c r="A70" s="135" t="s">
        <v>209</v>
      </c>
      <c r="B70" s="152"/>
      <c r="C70" s="152"/>
      <c r="D70" s="153"/>
      <c r="E70" s="154"/>
      <c r="F70" s="153"/>
      <c r="G70" s="155"/>
    </row>
    <row r="71" spans="1:8" x14ac:dyDescent="0.25">
      <c r="D71" s="543" t="s">
        <v>199</v>
      </c>
      <c r="E71" s="543"/>
      <c r="F71" s="543"/>
      <c r="G71" s="138" t="s">
        <v>200</v>
      </c>
    </row>
    <row r="72" spans="1:8" x14ac:dyDescent="0.25">
      <c r="B72" s="130"/>
      <c r="C72" s="128"/>
      <c r="D72" s="544" t="s">
        <v>201</v>
      </c>
      <c r="E72" s="545"/>
      <c r="F72" s="546"/>
      <c r="G72" s="139" t="s">
        <v>202</v>
      </c>
    </row>
    <row r="73" spans="1:8" x14ac:dyDescent="0.25">
      <c r="B73" s="130"/>
      <c r="C73" s="132" t="s">
        <v>203</v>
      </c>
      <c r="D73" s="129" t="s">
        <v>111</v>
      </c>
      <c r="E73" s="144" t="s">
        <v>122</v>
      </c>
      <c r="F73" s="129" t="s">
        <v>123</v>
      </c>
      <c r="G73" s="139" t="s">
        <v>204</v>
      </c>
    </row>
    <row r="74" spans="1:8" x14ac:dyDescent="0.25">
      <c r="B74" s="133" t="s">
        <v>191</v>
      </c>
      <c r="C74" s="132"/>
      <c r="D74" s="129"/>
      <c r="E74" s="129"/>
      <c r="F74" s="129"/>
      <c r="G74" s="132"/>
    </row>
    <row r="75" spans="1:8" x14ac:dyDescent="0.25">
      <c r="B75" s="134" t="s">
        <v>192</v>
      </c>
      <c r="C75" s="132" t="s">
        <v>169</v>
      </c>
      <c r="D75" s="129">
        <v>74100</v>
      </c>
      <c r="E75" s="129">
        <v>4.1500000000000004</v>
      </c>
      <c r="F75" s="129">
        <v>28.6</v>
      </c>
      <c r="G75" s="132">
        <v>36.42</v>
      </c>
    </row>
    <row r="76" spans="1:8" x14ac:dyDescent="0.25">
      <c r="B76" s="134" t="s">
        <v>194</v>
      </c>
      <c r="C76" s="132" t="s">
        <v>169</v>
      </c>
      <c r="D76" s="129">
        <v>74100</v>
      </c>
      <c r="E76" s="129">
        <v>4.1500000000000004</v>
      </c>
      <c r="F76" s="129">
        <v>28.6</v>
      </c>
      <c r="G76" s="132">
        <v>36.42</v>
      </c>
    </row>
    <row r="77" spans="1:8" x14ac:dyDescent="0.25">
      <c r="B77" s="134" t="s">
        <v>195</v>
      </c>
      <c r="C77" s="132" t="s">
        <v>169</v>
      </c>
      <c r="D77" s="129">
        <v>74100</v>
      </c>
      <c r="E77" s="129">
        <v>4.1500000000000004</v>
      </c>
      <c r="F77" s="129">
        <v>28.6</v>
      </c>
      <c r="G77" s="132">
        <v>36.42</v>
      </c>
    </row>
    <row r="78" spans="1:8" x14ac:dyDescent="0.25">
      <c r="B78" s="134" t="s">
        <v>196</v>
      </c>
      <c r="C78" s="132" t="s">
        <v>169</v>
      </c>
      <c r="D78" s="129">
        <v>74100</v>
      </c>
      <c r="E78" s="129">
        <v>4.1500000000000004</v>
      </c>
      <c r="F78" s="129">
        <v>28.6</v>
      </c>
      <c r="G78" s="132">
        <v>36.42</v>
      </c>
    </row>
    <row r="79" spans="1:8" x14ac:dyDescent="0.25">
      <c r="B79" s="133" t="s">
        <v>197</v>
      </c>
      <c r="C79" s="132"/>
      <c r="D79" s="129"/>
      <c r="E79" s="129"/>
      <c r="F79" s="129"/>
      <c r="G79" s="132"/>
    </row>
    <row r="80" spans="1:8" x14ac:dyDescent="0.25">
      <c r="B80" s="134" t="s">
        <v>192</v>
      </c>
      <c r="C80" s="132" t="s">
        <v>169</v>
      </c>
      <c r="D80" s="132">
        <v>69300</v>
      </c>
      <c r="E80" s="132">
        <v>80</v>
      </c>
      <c r="F80" s="132">
        <v>2</v>
      </c>
      <c r="G80" s="132">
        <v>31.48</v>
      </c>
    </row>
    <row r="81" spans="2:7" x14ac:dyDescent="0.25">
      <c r="B81" s="134" t="s">
        <v>194</v>
      </c>
      <c r="C81" s="132" t="s">
        <v>169</v>
      </c>
      <c r="D81" s="132">
        <v>69300</v>
      </c>
      <c r="E81" s="132"/>
      <c r="F81" s="132"/>
      <c r="G81" s="132">
        <v>31.48</v>
      </c>
    </row>
    <row r="82" spans="2:7" x14ac:dyDescent="0.25">
      <c r="B82" s="134" t="s">
        <v>195</v>
      </c>
      <c r="C82" s="132" t="s">
        <v>169</v>
      </c>
      <c r="D82" s="132">
        <v>69300</v>
      </c>
      <c r="E82" s="132">
        <v>50</v>
      </c>
      <c r="F82" s="132">
        <v>2</v>
      </c>
      <c r="G82" s="132">
        <v>31.48</v>
      </c>
    </row>
    <row r="83" spans="2:7" x14ac:dyDescent="0.25">
      <c r="B83" s="134" t="s">
        <v>196</v>
      </c>
      <c r="C83" s="132" t="s">
        <v>169</v>
      </c>
      <c r="D83" s="132">
        <v>69300</v>
      </c>
      <c r="E83" s="132">
        <v>120</v>
      </c>
      <c r="F83" s="132">
        <v>2</v>
      </c>
      <c r="G83" s="132">
        <v>31.48</v>
      </c>
    </row>
    <row r="84" spans="2:7" x14ac:dyDescent="0.25">
      <c r="B84" s="133" t="s">
        <v>198</v>
      </c>
      <c r="C84" s="128"/>
      <c r="D84" s="141"/>
      <c r="E84" s="141"/>
      <c r="F84" s="141"/>
      <c r="G84" s="141"/>
    </row>
    <row r="85" spans="2:7" x14ac:dyDescent="0.25">
      <c r="B85" s="134" t="s">
        <v>192</v>
      </c>
      <c r="C85" s="132" t="s">
        <v>169</v>
      </c>
      <c r="D85" s="132">
        <v>69300</v>
      </c>
      <c r="E85" s="132">
        <v>140</v>
      </c>
      <c r="F85" s="132">
        <v>0.4</v>
      </c>
      <c r="G85" s="132">
        <v>31.48</v>
      </c>
    </row>
    <row r="86" spans="2:7" x14ac:dyDescent="0.25">
      <c r="B86" s="134" t="s">
        <v>194</v>
      </c>
      <c r="C86" s="132" t="s">
        <v>169</v>
      </c>
      <c r="D86" s="132">
        <v>69300</v>
      </c>
      <c r="E86" s="132">
        <v>170</v>
      </c>
      <c r="F86" s="132">
        <v>0.4</v>
      </c>
      <c r="G86" s="132">
        <v>31.48</v>
      </c>
    </row>
    <row r="87" spans="2:7" x14ac:dyDescent="0.25">
      <c r="B87" s="134" t="s">
        <v>195</v>
      </c>
      <c r="C87" s="132" t="s">
        <v>169</v>
      </c>
      <c r="D87" s="132">
        <v>69300</v>
      </c>
      <c r="E87" s="132">
        <v>130</v>
      </c>
      <c r="F87" s="132">
        <v>0.4</v>
      </c>
      <c r="G87" s="132">
        <v>31.48</v>
      </c>
    </row>
    <row r="88" spans="2:7" x14ac:dyDescent="0.25">
      <c r="B88" s="134" t="s">
        <v>196</v>
      </c>
      <c r="C88" s="132" t="s">
        <v>169</v>
      </c>
      <c r="D88" s="132">
        <v>69300</v>
      </c>
      <c r="E88" s="132">
        <v>180</v>
      </c>
      <c r="F88" s="132">
        <v>0.4</v>
      </c>
      <c r="G88" s="132">
        <v>31.48</v>
      </c>
    </row>
    <row r="89" spans="2:7" x14ac:dyDescent="0.25">
      <c r="D89" s="137"/>
      <c r="E89" s="137"/>
      <c r="F89" s="137"/>
      <c r="G89" s="137"/>
    </row>
    <row r="90" spans="2:7" x14ac:dyDescent="0.25">
      <c r="D90" s="137"/>
      <c r="E90" s="137"/>
      <c r="F90" s="137"/>
      <c r="G90" s="137"/>
    </row>
    <row r="91" spans="2:7" x14ac:dyDescent="0.25">
      <c r="D91" s="137"/>
      <c r="E91" s="137"/>
      <c r="F91" s="137"/>
      <c r="G91" s="137"/>
    </row>
    <row r="92" spans="2:7" x14ac:dyDescent="0.25">
      <c r="D92" s="137"/>
      <c r="E92" s="137"/>
      <c r="F92" s="137"/>
      <c r="G92" s="137"/>
    </row>
    <row r="93" spans="2:7" x14ac:dyDescent="0.25">
      <c r="D93" s="137"/>
      <c r="E93" s="137"/>
      <c r="F93" s="137"/>
      <c r="G93" s="137"/>
    </row>
    <row r="94" spans="2:7" x14ac:dyDescent="0.25">
      <c r="D94" s="137"/>
      <c r="E94" s="137"/>
      <c r="F94" s="137"/>
      <c r="G94" s="137"/>
    </row>
    <row r="95" spans="2:7" x14ac:dyDescent="0.25">
      <c r="D95" s="137"/>
      <c r="E95" s="137"/>
      <c r="F95" s="137"/>
      <c r="G95" s="137"/>
    </row>
    <row r="96" spans="2:7" x14ac:dyDescent="0.25">
      <c r="D96" s="137"/>
      <c r="E96" s="137"/>
      <c r="F96" s="137"/>
      <c r="G96" s="137"/>
    </row>
    <row r="97" spans="4:7" x14ac:dyDescent="0.25">
      <c r="D97" s="137"/>
      <c r="E97" s="137"/>
      <c r="F97" s="137"/>
      <c r="G97" s="137"/>
    </row>
    <row r="98" spans="4:7" x14ac:dyDescent="0.25">
      <c r="D98" s="137"/>
      <c r="E98" s="137"/>
      <c r="F98" s="137"/>
      <c r="G98" s="137"/>
    </row>
    <row r="99" spans="4:7" x14ac:dyDescent="0.25">
      <c r="D99" s="137"/>
      <c r="E99" s="137"/>
      <c r="F99" s="137"/>
      <c r="G99" s="137"/>
    </row>
    <row r="100" spans="4:7" x14ac:dyDescent="0.25">
      <c r="D100" s="137"/>
      <c r="E100" s="137"/>
      <c r="F100" s="137"/>
      <c r="G100" s="137"/>
    </row>
    <row r="101" spans="4:7" x14ac:dyDescent="0.25">
      <c r="D101" s="137"/>
      <c r="E101" s="137"/>
      <c r="F101" s="137"/>
      <c r="G101" s="137"/>
    </row>
    <row r="102" spans="4:7" x14ac:dyDescent="0.25">
      <c r="D102" s="137"/>
      <c r="E102" s="137"/>
      <c r="F102" s="137"/>
      <c r="G102" s="137"/>
    </row>
    <row r="103" spans="4:7" x14ac:dyDescent="0.25">
      <c r="D103" s="137"/>
      <c r="E103" s="137"/>
      <c r="F103" s="137"/>
      <c r="G103" s="137"/>
    </row>
    <row r="104" spans="4:7" x14ac:dyDescent="0.25">
      <c r="D104" s="137"/>
      <c r="E104" s="137"/>
      <c r="F104" s="137"/>
      <c r="G104" s="137"/>
    </row>
    <row r="105" spans="4:7" x14ac:dyDescent="0.25">
      <c r="D105" s="137"/>
      <c r="E105" s="137"/>
      <c r="F105" s="137"/>
      <c r="G105" s="137"/>
    </row>
    <row r="106" spans="4:7" x14ac:dyDescent="0.25">
      <c r="D106" s="137"/>
      <c r="E106" s="137"/>
      <c r="F106" s="137"/>
      <c r="G106" s="137"/>
    </row>
    <row r="107" spans="4:7" x14ac:dyDescent="0.25">
      <c r="D107" s="137"/>
      <c r="E107" s="137"/>
      <c r="F107" s="137"/>
      <c r="G107" s="137"/>
    </row>
    <row r="108" spans="4:7" x14ac:dyDescent="0.25">
      <c r="D108" s="137"/>
      <c r="E108" s="137"/>
      <c r="F108" s="137"/>
      <c r="G108" s="137"/>
    </row>
    <row r="109" spans="4:7" x14ac:dyDescent="0.25">
      <c r="D109" s="137"/>
      <c r="E109" s="137"/>
      <c r="F109" s="137"/>
      <c r="G109" s="137"/>
    </row>
    <row r="110" spans="4:7" x14ac:dyDescent="0.25">
      <c r="D110" s="137"/>
      <c r="E110" s="137"/>
      <c r="F110" s="137"/>
      <c r="G110" s="137"/>
    </row>
    <row r="111" spans="4:7" x14ac:dyDescent="0.25">
      <c r="D111" s="137"/>
      <c r="E111" s="137"/>
      <c r="F111" s="137"/>
      <c r="G111" s="137"/>
    </row>
    <row r="112" spans="4:7" x14ac:dyDescent="0.25">
      <c r="D112" s="137"/>
      <c r="E112" s="137"/>
      <c r="F112" s="137"/>
      <c r="G112" s="137"/>
    </row>
    <row r="113" spans="4:7" x14ac:dyDescent="0.25">
      <c r="D113" s="137"/>
      <c r="E113" s="137"/>
      <c r="F113" s="137"/>
      <c r="G113" s="137"/>
    </row>
    <row r="114" spans="4:7" x14ac:dyDescent="0.25">
      <c r="D114" s="137"/>
      <c r="E114" s="137"/>
      <c r="F114" s="137"/>
      <c r="G114" s="137"/>
    </row>
    <row r="115" spans="4:7" x14ac:dyDescent="0.25">
      <c r="D115" s="137"/>
      <c r="E115" s="137"/>
      <c r="F115" s="137"/>
      <c r="G115" s="137"/>
    </row>
    <row r="116" spans="4:7" x14ac:dyDescent="0.25">
      <c r="D116" s="137"/>
      <c r="E116" s="137"/>
      <c r="F116" s="137"/>
      <c r="G116" s="137"/>
    </row>
    <row r="117" spans="4:7" x14ac:dyDescent="0.25">
      <c r="D117" s="137"/>
      <c r="E117" s="137"/>
      <c r="F117" s="137"/>
      <c r="G117" s="137"/>
    </row>
    <row r="118" spans="4:7" x14ac:dyDescent="0.25">
      <c r="D118" s="137"/>
      <c r="E118" s="137"/>
      <c r="F118" s="137"/>
      <c r="G118" s="137"/>
    </row>
    <row r="119" spans="4:7" x14ac:dyDescent="0.25">
      <c r="D119" s="137"/>
      <c r="E119" s="137"/>
      <c r="F119" s="137"/>
      <c r="G119" s="137"/>
    </row>
    <row r="120" spans="4:7" x14ac:dyDescent="0.25">
      <c r="D120" s="137"/>
      <c r="E120" s="137"/>
      <c r="F120" s="137"/>
      <c r="G120" s="137"/>
    </row>
    <row r="121" spans="4:7" x14ac:dyDescent="0.25">
      <c r="D121" s="137"/>
      <c r="E121" s="137"/>
      <c r="F121" s="137"/>
      <c r="G121" s="137"/>
    </row>
    <row r="122" spans="4:7" x14ac:dyDescent="0.25">
      <c r="D122" s="137"/>
      <c r="E122" s="137"/>
      <c r="F122" s="137"/>
      <c r="G122" s="137"/>
    </row>
    <row r="123" spans="4:7" x14ac:dyDescent="0.25">
      <c r="D123" s="137"/>
      <c r="E123" s="137"/>
      <c r="F123" s="137"/>
      <c r="G123" s="137"/>
    </row>
    <row r="124" spans="4:7" x14ac:dyDescent="0.25">
      <c r="D124" s="137"/>
      <c r="E124" s="137"/>
      <c r="F124" s="137"/>
      <c r="G124" s="137"/>
    </row>
    <row r="125" spans="4:7" x14ac:dyDescent="0.25">
      <c r="D125" s="137"/>
      <c r="E125" s="137"/>
      <c r="F125" s="137"/>
      <c r="G125" s="137"/>
    </row>
    <row r="126" spans="4:7" x14ac:dyDescent="0.25">
      <c r="D126" s="137"/>
      <c r="E126" s="137"/>
      <c r="F126" s="137"/>
      <c r="G126" s="137"/>
    </row>
    <row r="127" spans="4:7" x14ac:dyDescent="0.25">
      <c r="D127" s="137"/>
      <c r="E127" s="137"/>
      <c r="F127" s="137"/>
      <c r="G127" s="137"/>
    </row>
    <row r="128" spans="4:7" x14ac:dyDescent="0.25">
      <c r="D128" s="137"/>
      <c r="E128" s="137"/>
      <c r="F128" s="137"/>
      <c r="G128" s="137"/>
    </row>
    <row r="129" spans="4:7" x14ac:dyDescent="0.25">
      <c r="D129" s="137"/>
      <c r="E129" s="137"/>
      <c r="F129" s="137"/>
      <c r="G129" s="137"/>
    </row>
    <row r="130" spans="4:7" x14ac:dyDescent="0.25">
      <c r="D130" s="137"/>
      <c r="E130" s="137"/>
      <c r="F130" s="137"/>
      <c r="G130" s="137"/>
    </row>
    <row r="131" spans="4:7" x14ac:dyDescent="0.25">
      <c r="D131" s="137"/>
      <c r="E131" s="137"/>
      <c r="F131" s="137"/>
      <c r="G131" s="137"/>
    </row>
    <row r="132" spans="4:7" x14ac:dyDescent="0.25">
      <c r="D132" s="137"/>
      <c r="E132" s="137"/>
      <c r="F132" s="137"/>
      <c r="G132" s="137"/>
    </row>
    <row r="133" spans="4:7" x14ac:dyDescent="0.25">
      <c r="D133" s="137"/>
      <c r="E133" s="137"/>
      <c r="F133" s="137"/>
      <c r="G133" s="137"/>
    </row>
    <row r="134" spans="4:7" x14ac:dyDescent="0.25">
      <c r="D134" s="137"/>
      <c r="E134" s="137"/>
      <c r="F134" s="137"/>
      <c r="G134" s="137"/>
    </row>
    <row r="135" spans="4:7" x14ac:dyDescent="0.25">
      <c r="D135" s="137"/>
      <c r="E135" s="137"/>
      <c r="F135" s="137"/>
      <c r="G135" s="137"/>
    </row>
    <row r="136" spans="4:7" x14ac:dyDescent="0.25">
      <c r="D136" s="137"/>
      <c r="E136" s="137"/>
      <c r="F136" s="137"/>
      <c r="G136" s="137"/>
    </row>
    <row r="137" spans="4:7" x14ac:dyDescent="0.25">
      <c r="D137" s="137"/>
      <c r="E137" s="137"/>
      <c r="F137" s="137"/>
      <c r="G137" s="137"/>
    </row>
    <row r="138" spans="4:7" x14ac:dyDescent="0.25">
      <c r="D138" s="137"/>
      <c r="E138" s="137"/>
      <c r="F138" s="137"/>
      <c r="G138" s="137"/>
    </row>
    <row r="139" spans="4:7" x14ac:dyDescent="0.25">
      <c r="D139" s="137"/>
      <c r="E139" s="137"/>
      <c r="F139" s="137"/>
      <c r="G139" s="137"/>
    </row>
    <row r="140" spans="4:7" x14ac:dyDescent="0.25">
      <c r="D140" s="137"/>
      <c r="E140" s="137"/>
      <c r="F140" s="137"/>
      <c r="G140" s="137"/>
    </row>
    <row r="141" spans="4:7" x14ac:dyDescent="0.25">
      <c r="D141" s="137"/>
      <c r="E141" s="137"/>
      <c r="F141" s="137"/>
      <c r="G141" s="137"/>
    </row>
    <row r="142" spans="4:7" x14ac:dyDescent="0.25">
      <c r="D142" s="137"/>
      <c r="E142" s="137"/>
      <c r="F142" s="137"/>
      <c r="G142" s="137"/>
    </row>
    <row r="143" spans="4:7" x14ac:dyDescent="0.25">
      <c r="D143" s="137"/>
      <c r="E143" s="137"/>
      <c r="F143" s="137"/>
      <c r="G143" s="137"/>
    </row>
    <row r="144" spans="4:7" x14ac:dyDescent="0.25">
      <c r="D144" s="137"/>
      <c r="E144" s="137"/>
      <c r="F144" s="137"/>
      <c r="G144" s="137"/>
    </row>
    <row r="145" spans="4:7" x14ac:dyDescent="0.25">
      <c r="D145" s="137"/>
      <c r="E145" s="137"/>
      <c r="F145" s="137"/>
      <c r="G145" s="137"/>
    </row>
    <row r="146" spans="4:7" x14ac:dyDescent="0.25">
      <c r="D146" s="137"/>
      <c r="E146" s="137"/>
      <c r="F146" s="137"/>
      <c r="G146" s="137"/>
    </row>
    <row r="147" spans="4:7" x14ac:dyDescent="0.25">
      <c r="D147" s="137"/>
      <c r="E147" s="137"/>
      <c r="F147" s="137"/>
      <c r="G147" s="137"/>
    </row>
    <row r="148" spans="4:7" x14ac:dyDescent="0.25">
      <c r="D148" s="137"/>
      <c r="E148" s="137"/>
      <c r="F148" s="137"/>
      <c r="G148" s="137"/>
    </row>
    <row r="149" spans="4:7" x14ac:dyDescent="0.25">
      <c r="D149" s="137"/>
      <c r="E149" s="137"/>
      <c r="F149" s="137"/>
      <c r="G149" s="137"/>
    </row>
    <row r="150" spans="4:7" x14ac:dyDescent="0.25">
      <c r="D150" s="137"/>
      <c r="E150" s="137"/>
      <c r="F150" s="137"/>
      <c r="G150" s="137"/>
    </row>
    <row r="151" spans="4:7" x14ac:dyDescent="0.25">
      <c r="D151" s="137"/>
      <c r="E151" s="137"/>
      <c r="F151" s="137"/>
      <c r="G151" s="137"/>
    </row>
    <row r="152" spans="4:7" x14ac:dyDescent="0.25">
      <c r="D152" s="137"/>
      <c r="E152" s="137"/>
      <c r="F152" s="137"/>
      <c r="G152" s="137"/>
    </row>
    <row r="153" spans="4:7" x14ac:dyDescent="0.25">
      <c r="D153" s="137"/>
      <c r="E153" s="137"/>
      <c r="F153" s="137"/>
      <c r="G153" s="137"/>
    </row>
    <row r="154" spans="4:7" x14ac:dyDescent="0.25">
      <c r="D154" s="137"/>
      <c r="E154" s="137"/>
      <c r="F154" s="137"/>
      <c r="G154" s="137"/>
    </row>
    <row r="155" spans="4:7" x14ac:dyDescent="0.25">
      <c r="D155" s="137"/>
      <c r="E155" s="137"/>
      <c r="F155" s="137"/>
      <c r="G155" s="137"/>
    </row>
    <row r="156" spans="4:7" x14ac:dyDescent="0.25">
      <c r="D156" s="137"/>
      <c r="E156" s="137"/>
      <c r="F156" s="137"/>
      <c r="G156" s="137"/>
    </row>
    <row r="157" spans="4:7" x14ac:dyDescent="0.25">
      <c r="D157" s="137"/>
      <c r="E157" s="137"/>
      <c r="F157" s="137"/>
      <c r="G157" s="137"/>
    </row>
  </sheetData>
  <sheetProtection sheet="1" objects="1" scenarios="1"/>
  <mergeCells count="11">
    <mergeCell ref="D46:F46"/>
    <mergeCell ref="D60:F60"/>
    <mergeCell ref="D61:F61"/>
    <mergeCell ref="D71:F71"/>
    <mergeCell ref="D72:F72"/>
    <mergeCell ref="J2:L2"/>
    <mergeCell ref="A2:A4"/>
    <mergeCell ref="B2:B4"/>
    <mergeCell ref="C2:C4"/>
    <mergeCell ref="H2:H4"/>
    <mergeCell ref="D2:G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X185"/>
  <sheetViews>
    <sheetView tabSelected="1" topLeftCell="A85" zoomScale="115" zoomScaleNormal="115" workbookViewId="0">
      <selection activeCell="B18" sqref="B18:F22"/>
    </sheetView>
  </sheetViews>
  <sheetFormatPr defaultColWidth="9.09765625" defaultRowHeight="13.8" x14ac:dyDescent="0.25"/>
  <cols>
    <col min="1" max="1" width="6.296875" style="127" customWidth="1"/>
    <col min="2" max="2" width="34.3984375" style="127" customWidth="1"/>
    <col min="3" max="3" width="8" style="127" customWidth="1"/>
    <col min="4" max="7" width="14.296875" style="127" customWidth="1"/>
    <col min="8" max="8" width="14.296875" style="156" customWidth="1"/>
    <col min="9" max="9" width="59.8984375" style="127" customWidth="1"/>
    <col min="10" max="10" width="9.09765625" style="127"/>
    <col min="11" max="11" width="16.296875" style="127" customWidth="1"/>
    <col min="12" max="12" width="13.296875" style="127" customWidth="1"/>
    <col min="13" max="13" width="9.09765625" style="127"/>
    <col min="14" max="14" width="8.8984375" style="127" hidden="1" customWidth="1"/>
    <col min="15" max="16" width="0" style="127" hidden="1" customWidth="1"/>
    <col min="17" max="17" width="9.09765625" style="127"/>
    <col min="18" max="18" width="23.09765625" style="127" customWidth="1"/>
    <col min="19" max="20" width="9.09765625" style="127"/>
    <col min="21" max="21" width="15.09765625" style="127" customWidth="1"/>
    <col min="22" max="22" width="12.296875" style="127" customWidth="1"/>
    <col min="23" max="23" width="15.09765625" style="127" customWidth="1"/>
    <col min="24" max="24" width="9.09765625" style="127"/>
  </cols>
  <sheetData>
    <row r="2" spans="1:12" ht="18" customHeight="1" x14ac:dyDescent="0.35">
      <c r="A2" s="538"/>
      <c r="B2" s="539" t="s">
        <v>148</v>
      </c>
      <c r="C2" s="538" t="s">
        <v>149</v>
      </c>
      <c r="D2" s="540" t="s">
        <v>150</v>
      </c>
      <c r="E2" s="541"/>
      <c r="F2" s="541"/>
      <c r="G2" s="541"/>
      <c r="H2" s="541"/>
      <c r="I2" s="539" t="s">
        <v>151</v>
      </c>
      <c r="K2" s="381" t="s">
        <v>97</v>
      </c>
      <c r="L2" s="382"/>
    </row>
    <row r="3" spans="1:12" ht="15.6" x14ac:dyDescent="0.25">
      <c r="A3" s="538"/>
      <c r="B3" s="539"/>
      <c r="C3" s="538"/>
      <c r="D3" s="145" t="s">
        <v>152</v>
      </c>
      <c r="E3" s="145" t="s">
        <v>210</v>
      </c>
      <c r="F3" s="145" t="s">
        <v>211</v>
      </c>
      <c r="G3" s="145" t="s">
        <v>154</v>
      </c>
      <c r="H3" s="165" t="s">
        <v>155</v>
      </c>
      <c r="I3" s="539"/>
      <c r="K3" s="2" t="s">
        <v>87</v>
      </c>
      <c r="L3" s="126" t="s">
        <v>101</v>
      </c>
    </row>
    <row r="4" spans="1:12" ht="15.6" x14ac:dyDescent="0.25">
      <c r="A4" s="538"/>
      <c r="B4" s="539"/>
      <c r="C4" s="538"/>
      <c r="D4" s="145" t="s">
        <v>157</v>
      </c>
      <c r="E4" s="145" t="s">
        <v>158</v>
      </c>
      <c r="F4" s="145" t="s">
        <v>158</v>
      </c>
      <c r="G4" s="145" t="s">
        <v>159</v>
      </c>
      <c r="H4" s="165" t="s">
        <v>160</v>
      </c>
      <c r="I4" s="539"/>
      <c r="K4" s="2" t="s">
        <v>111</v>
      </c>
      <c r="L4" s="160">
        <v>1</v>
      </c>
    </row>
    <row r="5" spans="1:12" x14ac:dyDescent="0.25">
      <c r="A5" s="146" t="s">
        <v>161</v>
      </c>
      <c r="C5" s="147"/>
      <c r="D5" s="147"/>
      <c r="E5" s="147"/>
      <c r="F5" s="147"/>
      <c r="G5" s="147"/>
      <c r="H5" s="166"/>
      <c r="I5" s="128"/>
      <c r="K5" s="2" t="s">
        <v>115</v>
      </c>
      <c r="L5" s="160">
        <v>30</v>
      </c>
    </row>
    <row r="6" spans="1:12" x14ac:dyDescent="0.25">
      <c r="A6" s="129"/>
      <c r="B6" s="130" t="s">
        <v>162</v>
      </c>
      <c r="C6" s="129" t="s">
        <v>163</v>
      </c>
      <c r="D6" s="148">
        <f>D70*$G$70*10^-6</f>
        <v>5.7221999999999995E-2</v>
      </c>
      <c r="E6" s="148">
        <f>E70*$G$70*10^-6</f>
        <v>1.02E-6</v>
      </c>
      <c r="F6" s="148"/>
      <c r="G6" s="148">
        <f>F70*$G$70*10^-6</f>
        <v>1.02E-7</v>
      </c>
      <c r="H6" s="166">
        <f t="shared" ref="H6:H17" si="0">D6+(E6*$L$5)+(G6*$L$7)</f>
        <v>5.7279629999999991E-2</v>
      </c>
      <c r="I6" s="131" t="s">
        <v>164</v>
      </c>
      <c r="J6" s="156"/>
      <c r="K6" s="2" t="s">
        <v>122</v>
      </c>
      <c r="L6" s="160">
        <v>28</v>
      </c>
    </row>
    <row r="7" spans="1:12" x14ac:dyDescent="0.25">
      <c r="A7" s="129"/>
      <c r="B7" s="130" t="s">
        <v>162</v>
      </c>
      <c r="C7" s="129" t="s">
        <v>165</v>
      </c>
      <c r="D7" s="148">
        <f>D70/1000000</f>
        <v>5.6099999999999997E-2</v>
      </c>
      <c r="E7" s="148">
        <f>E70/1000000</f>
        <v>9.9999999999999995E-7</v>
      </c>
      <c r="F7" s="148"/>
      <c r="G7" s="148">
        <f>F70/1000000</f>
        <v>1.0000000000000001E-7</v>
      </c>
      <c r="H7" s="166">
        <f t="shared" si="0"/>
        <v>5.6156499999999998E-2</v>
      </c>
      <c r="I7" s="131" t="s">
        <v>164</v>
      </c>
      <c r="J7" s="156"/>
      <c r="K7" s="2" t="s">
        <v>123</v>
      </c>
      <c r="L7" s="160">
        <v>265</v>
      </c>
    </row>
    <row r="8" spans="1:12" x14ac:dyDescent="0.25">
      <c r="A8" s="129"/>
      <c r="B8" s="130" t="s">
        <v>166</v>
      </c>
      <c r="C8" s="129" t="s">
        <v>167</v>
      </c>
      <c r="D8" s="148">
        <f>D71*$G$71*10^-6</f>
        <v>1.0574699999999999</v>
      </c>
      <c r="E8" s="148">
        <f>E71*$G$71*10^-6</f>
        <v>1.047E-5</v>
      </c>
      <c r="F8" s="148"/>
      <c r="G8" s="148">
        <f>F71*$G$71*10^-6</f>
        <v>1.5705E-5</v>
      </c>
      <c r="H8" s="166">
        <f t="shared" si="0"/>
        <v>1.0619459249999998</v>
      </c>
      <c r="I8" s="131" t="s">
        <v>164</v>
      </c>
      <c r="J8" s="156"/>
      <c r="K8" s="2" t="s">
        <v>124</v>
      </c>
      <c r="L8" s="160">
        <v>23500</v>
      </c>
    </row>
    <row r="9" spans="1:12" x14ac:dyDescent="0.25">
      <c r="A9" s="129"/>
      <c r="B9" s="130" t="s">
        <v>168</v>
      </c>
      <c r="C9" s="129" t="s">
        <v>169</v>
      </c>
      <c r="D9" s="148">
        <f>D72*$G$72*10^-6</f>
        <v>3.2096984443713024</v>
      </c>
      <c r="E9" s="148">
        <f>E72*$G$72*10^-6</f>
        <v>1.244069164485001E-4</v>
      </c>
      <c r="F9" s="148"/>
      <c r="G9" s="148">
        <f>F72*$G$72*10^-6</f>
        <v>2.4881383289700019E-5</v>
      </c>
      <c r="H9" s="166">
        <f t="shared" si="0"/>
        <v>3.220024218436528</v>
      </c>
      <c r="I9" s="131" t="s">
        <v>170</v>
      </c>
      <c r="J9" s="156"/>
      <c r="K9" s="2" t="s">
        <v>125</v>
      </c>
      <c r="L9" s="160">
        <v>16100</v>
      </c>
    </row>
    <row r="10" spans="1:12" x14ac:dyDescent="0.25">
      <c r="A10" s="129"/>
      <c r="B10" s="130" t="s">
        <v>172</v>
      </c>
      <c r="C10" s="129" t="s">
        <v>169</v>
      </c>
      <c r="D10" s="148">
        <f>D73*$G$73*10^-6</f>
        <v>3.2353401009425418</v>
      </c>
      <c r="E10" s="148">
        <f>E73*$G$73*10^-6</f>
        <v>1.2540077910630005E-4</v>
      </c>
      <c r="F10" s="148"/>
      <c r="G10" s="148">
        <f>F73*$G$73*10^-6</f>
        <v>2.5080155821260009E-5</v>
      </c>
      <c r="H10" s="166">
        <f t="shared" si="0"/>
        <v>3.2457483656083648</v>
      </c>
      <c r="I10" s="131" t="s">
        <v>170</v>
      </c>
      <c r="J10" s="156"/>
      <c r="K10" s="127" t="s">
        <v>171</v>
      </c>
    </row>
    <row r="11" spans="1:12" x14ac:dyDescent="0.25">
      <c r="A11" s="129"/>
      <c r="B11" s="130" t="s">
        <v>173</v>
      </c>
      <c r="C11" s="129" t="s">
        <v>169</v>
      </c>
      <c r="D11" s="148">
        <f>D74*$G$74*10^-6</f>
        <v>2.6987220000000001</v>
      </c>
      <c r="E11" s="148">
        <f>E74*$G$74*10^-6</f>
        <v>1.0925999999999999E-4</v>
      </c>
      <c r="F11" s="148"/>
      <c r="G11" s="148">
        <f>F74*$G$74*10^-6</f>
        <v>2.1852E-5</v>
      </c>
      <c r="H11" s="166">
        <f t="shared" si="0"/>
        <v>2.7077905800000002</v>
      </c>
      <c r="I11" s="131" t="s">
        <v>164</v>
      </c>
      <c r="J11" s="156"/>
    </row>
    <row r="12" spans="1:12" x14ac:dyDescent="0.25">
      <c r="A12" s="129"/>
      <c r="B12" s="130" t="s">
        <v>174</v>
      </c>
      <c r="C12" s="129" t="s">
        <v>167</v>
      </c>
      <c r="D12" s="148">
        <f>D75*$G$75*10^-6</f>
        <v>3.0866199999999999</v>
      </c>
      <c r="E12" s="148">
        <f>E75*$G$75*10^-6</f>
        <v>3.1399999999999998E-5</v>
      </c>
      <c r="F12" s="148"/>
      <c r="G12" s="148">
        <f>F75*$G$75*10^-6</f>
        <v>4.7099999999999993E-5</v>
      </c>
      <c r="H12" s="166">
        <f t="shared" si="0"/>
        <v>3.1000435</v>
      </c>
      <c r="I12" s="131" t="s">
        <v>164</v>
      </c>
      <c r="J12" s="156"/>
    </row>
    <row r="13" spans="1:12" x14ac:dyDescent="0.25">
      <c r="A13" s="129"/>
      <c r="B13" s="130" t="s">
        <v>175</v>
      </c>
      <c r="C13" s="129" t="s">
        <v>167</v>
      </c>
      <c r="D13" s="148">
        <f>D76*$G$76*10^-6</f>
        <v>2.534157</v>
      </c>
      <c r="E13" s="148">
        <f>E76*$G$76*10^-6</f>
        <v>2.637E-5</v>
      </c>
      <c r="F13" s="148"/>
      <c r="G13" s="148">
        <f>F76*$G$76*10^-6</f>
        <v>3.9554999999999997E-5</v>
      </c>
      <c r="H13" s="166">
        <f t="shared" si="0"/>
        <v>2.5454301749999999</v>
      </c>
      <c r="I13" s="131" t="s">
        <v>164</v>
      </c>
      <c r="J13" s="156"/>
    </row>
    <row r="14" spans="1:12" x14ac:dyDescent="0.25">
      <c r="A14" s="129"/>
      <c r="B14" s="130" t="s">
        <v>176</v>
      </c>
      <c r="C14" s="129" t="s">
        <v>169</v>
      </c>
      <c r="D14" s="148">
        <f>D77*$G$77*10^-6</f>
        <v>2.4688949999999998</v>
      </c>
      <c r="E14" s="148">
        <f>E77*$G$77*10^-6</f>
        <v>1.0359E-4</v>
      </c>
      <c r="F14" s="148"/>
      <c r="G14" s="148">
        <f>F77*$G$77*10^-6</f>
        <v>2.0718000000000001E-5</v>
      </c>
      <c r="H14" s="166">
        <f t="shared" si="0"/>
        <v>2.4774929700000001</v>
      </c>
      <c r="I14" s="131" t="s">
        <v>164</v>
      </c>
      <c r="J14" s="156"/>
    </row>
    <row r="15" spans="1:12" x14ac:dyDescent="0.25">
      <c r="A15" s="129"/>
      <c r="B15" s="130" t="s">
        <v>177</v>
      </c>
      <c r="C15" s="129" t="s">
        <v>169</v>
      </c>
      <c r="D15" s="148">
        <f>D78*$G$78*10^-6</f>
        <v>1.6797219999999999</v>
      </c>
      <c r="E15" s="148">
        <f>E78*$G$78*10^-6</f>
        <v>2.6619999999999999E-5</v>
      </c>
      <c r="F15" s="148"/>
      <c r="G15" s="148">
        <f>F78*$G$78*10^-6</f>
        <v>2.6620000000000001E-6</v>
      </c>
      <c r="H15" s="166">
        <f t="shared" si="0"/>
        <v>1.6812260299999999</v>
      </c>
      <c r="I15" s="131" t="s">
        <v>164</v>
      </c>
      <c r="J15" s="156"/>
    </row>
    <row r="16" spans="1:12" x14ac:dyDescent="0.25">
      <c r="A16" s="146"/>
      <c r="B16" s="130" t="s">
        <v>177</v>
      </c>
      <c r="C16" s="129" t="s">
        <v>167</v>
      </c>
      <c r="D16" s="148">
        <f>D15/0.54</f>
        <v>3.1105962962962961</v>
      </c>
      <c r="E16" s="148">
        <f>E15/0.54</f>
        <v>4.9296296296296292E-5</v>
      </c>
      <c r="F16" s="148"/>
      <c r="G16" s="148">
        <f>G15/0.54</f>
        <v>4.9296296296296292E-6</v>
      </c>
      <c r="H16" s="166">
        <f t="shared" si="0"/>
        <v>3.1133815370370366</v>
      </c>
      <c r="I16" s="131" t="s">
        <v>178</v>
      </c>
      <c r="J16" s="156"/>
    </row>
    <row r="17" spans="1:10" x14ac:dyDescent="0.25">
      <c r="A17" s="146"/>
      <c r="B17" s="130" t="s">
        <v>179</v>
      </c>
      <c r="C17" s="129" t="s">
        <v>169</v>
      </c>
      <c r="D17" s="148">
        <f>D79*$G$79*10^-6</f>
        <v>2.1815639999999998</v>
      </c>
      <c r="E17" s="148">
        <f>E79*$G$79*10^-6</f>
        <v>9.4439999999999997E-5</v>
      </c>
      <c r="F17" s="148"/>
      <c r="G17" s="148">
        <f>F79*$G$79*10^-6</f>
        <v>1.8887999999999996E-5</v>
      </c>
      <c r="H17" s="166">
        <f t="shared" si="0"/>
        <v>2.1894025199999998</v>
      </c>
      <c r="I17" s="131" t="s">
        <v>164</v>
      </c>
      <c r="J17" s="156"/>
    </row>
    <row r="18" spans="1:10" x14ac:dyDescent="0.25">
      <c r="A18" s="146"/>
      <c r="B18" s="130" t="s">
        <v>212</v>
      </c>
      <c r="C18" s="129" t="s">
        <v>167</v>
      </c>
      <c r="D18" s="148"/>
      <c r="E18" s="148"/>
      <c r="F18" s="148">
        <f>E80*$G$80*10^-6</f>
        <v>4.7969999999999995E-4</v>
      </c>
      <c r="G18" s="148">
        <f>F80*$G$80*10^-6</f>
        <v>6.3960000000000004E-5</v>
      </c>
      <c r="H18" s="166">
        <f>D18+(F18*$L$6)+(G18*$L$7)</f>
        <v>3.0380999999999998E-2</v>
      </c>
      <c r="I18" s="131" t="s">
        <v>164</v>
      </c>
      <c r="J18" s="156"/>
    </row>
    <row r="19" spans="1:10" x14ac:dyDescent="0.25">
      <c r="A19" s="146"/>
      <c r="B19" s="130" t="s">
        <v>213</v>
      </c>
      <c r="C19" s="129" t="s">
        <v>167</v>
      </c>
      <c r="D19" s="148"/>
      <c r="E19" s="148"/>
      <c r="F19" s="148">
        <f>E82*$G$82*10^-6</f>
        <v>2.2589999999999999E-4</v>
      </c>
      <c r="G19" s="148">
        <f>F82*$G$82*10^-6</f>
        <v>3.012E-5</v>
      </c>
      <c r="H19" s="166">
        <f>D19+(F19*$L$6)+(G19*$L$7)</f>
        <v>1.4307E-2</v>
      </c>
      <c r="I19" s="131" t="s">
        <v>164</v>
      </c>
      <c r="J19" s="156"/>
    </row>
    <row r="20" spans="1:10" x14ac:dyDescent="0.25">
      <c r="A20" s="146"/>
      <c r="B20" s="130" t="s">
        <v>214</v>
      </c>
      <c r="C20" s="129" t="s">
        <v>167</v>
      </c>
      <c r="D20" s="148"/>
      <c r="E20" s="148"/>
      <c r="F20" s="148">
        <f>E83*$G$83*10^-6</f>
        <v>5.5590000000000001E-4</v>
      </c>
      <c r="G20" s="148">
        <f>F83*$G$83*10^-6</f>
        <v>7.4120000000000002E-5</v>
      </c>
      <c r="H20" s="166">
        <f>D20+(F20*$L$6)+(G20*$L$7)</f>
        <v>3.5207000000000002E-2</v>
      </c>
      <c r="I20" s="131" t="s">
        <v>164</v>
      </c>
      <c r="J20" s="156"/>
    </row>
    <row r="21" spans="1:10" x14ac:dyDescent="0.25">
      <c r="A21" s="146"/>
      <c r="B21" s="130" t="s">
        <v>215</v>
      </c>
      <c r="C21" s="129" t="s">
        <v>167</v>
      </c>
      <c r="D21" s="148"/>
      <c r="E21" s="148"/>
      <c r="F21" s="148">
        <f>E84*$G$84*10^-6</f>
        <v>5.0339999999999998E-4</v>
      </c>
      <c r="G21" s="148">
        <f>F84*$G$84*10^-6</f>
        <v>6.7120000000000008E-5</v>
      </c>
      <c r="H21" s="166">
        <f>D21+(F21*$L$6)+(G21*$L$7)</f>
        <v>3.1882000000000001E-2</v>
      </c>
      <c r="I21" s="131" t="s">
        <v>164</v>
      </c>
      <c r="J21" s="156"/>
    </row>
    <row r="22" spans="1:10" x14ac:dyDescent="0.25">
      <c r="A22" s="146"/>
      <c r="B22" s="130" t="s">
        <v>216</v>
      </c>
      <c r="C22" s="129" t="s">
        <v>217</v>
      </c>
      <c r="D22" s="148"/>
      <c r="E22" s="148"/>
      <c r="F22" s="148">
        <f>E85*$G$85*10^-6</f>
        <v>2.0929999999999998E-5</v>
      </c>
      <c r="G22" s="148">
        <f>F85*$G$85*10^-6</f>
        <v>2.0929999999999997E-6</v>
      </c>
      <c r="H22" s="166">
        <f>D22+(F22*$L$6)+(G22*$L$7)</f>
        <v>1.1406849999999998E-3</v>
      </c>
      <c r="I22" s="131" t="s">
        <v>164</v>
      </c>
      <c r="J22" s="156"/>
    </row>
    <row r="23" spans="1:10" x14ac:dyDescent="0.25">
      <c r="A23" s="146"/>
      <c r="B23" s="130" t="s">
        <v>218</v>
      </c>
      <c r="C23" s="129" t="s">
        <v>167</v>
      </c>
      <c r="D23" s="148">
        <f>D80*$G$80*10^-6</f>
        <v>1.79088</v>
      </c>
      <c r="E23" s="148"/>
      <c r="F23" s="148"/>
      <c r="G23" s="148"/>
      <c r="H23" s="166">
        <f>D23+(E23*$L$5)+(G23*$L$7)</f>
        <v>1.79088</v>
      </c>
      <c r="I23" s="131" t="s">
        <v>164</v>
      </c>
      <c r="J23" s="156"/>
    </row>
    <row r="24" spans="1:10" x14ac:dyDescent="0.25">
      <c r="A24" s="146"/>
      <c r="B24" s="130" t="s">
        <v>219</v>
      </c>
      <c r="C24" s="129" t="s">
        <v>167</v>
      </c>
      <c r="D24" s="148">
        <f>D82*$G$82*10^-6</f>
        <v>0.753</v>
      </c>
      <c r="E24" s="148"/>
      <c r="F24" s="148"/>
      <c r="G24" s="148"/>
      <c r="H24" s="166">
        <f>D24+(E24*$L$5)+(G24*$L$7)</f>
        <v>0.753</v>
      </c>
      <c r="I24" s="131" t="s">
        <v>164</v>
      </c>
      <c r="J24" s="156"/>
    </row>
    <row r="25" spans="1:10" x14ac:dyDescent="0.25">
      <c r="A25" s="146"/>
      <c r="B25" s="130" t="s">
        <v>220</v>
      </c>
      <c r="C25" s="129" t="s">
        <v>167</v>
      </c>
      <c r="D25" s="148">
        <f>D83*$G$83*10^-6</f>
        <v>1.853</v>
      </c>
      <c r="E25" s="148"/>
      <c r="F25" s="148"/>
      <c r="G25" s="148"/>
      <c r="H25" s="166">
        <f>D25+(E25*$L$5)+(G25*$L$7)</f>
        <v>1.853</v>
      </c>
      <c r="I25" s="131" t="s">
        <v>164</v>
      </c>
      <c r="J25" s="156"/>
    </row>
    <row r="26" spans="1:10" x14ac:dyDescent="0.25">
      <c r="A26" s="146"/>
      <c r="B26" s="130" t="s">
        <v>221</v>
      </c>
      <c r="C26" s="129" t="s">
        <v>167</v>
      </c>
      <c r="D26" s="148">
        <f>D84*$G$84*10^-6</f>
        <v>1.6779999999999999</v>
      </c>
      <c r="E26" s="148"/>
      <c r="F26" s="148"/>
      <c r="G26" s="148"/>
      <c r="H26" s="166">
        <f>D26+(E26*$L$5)+(G26*$L$7)</f>
        <v>1.6779999999999999</v>
      </c>
      <c r="I26" s="131" t="s">
        <v>164</v>
      </c>
      <c r="J26" s="156"/>
    </row>
    <row r="27" spans="1:10" x14ac:dyDescent="0.25">
      <c r="A27" s="146"/>
      <c r="B27" s="130" t="s">
        <v>222</v>
      </c>
      <c r="C27" s="129" t="s">
        <v>217</v>
      </c>
      <c r="D27" s="148">
        <f>D85*$G$85*10^-6</f>
        <v>1.1427779999999998</v>
      </c>
      <c r="E27" s="148"/>
      <c r="F27" s="148"/>
      <c r="G27" s="148"/>
      <c r="H27" s="166">
        <f>D27+(E27*$L$5)+(G27*$L$7)</f>
        <v>1.1427779999999998</v>
      </c>
      <c r="I27" s="131" t="s">
        <v>164</v>
      </c>
      <c r="J27" s="156"/>
    </row>
    <row r="28" spans="1:10" x14ac:dyDescent="0.25">
      <c r="A28" s="146" t="s">
        <v>180</v>
      </c>
      <c r="B28" s="130"/>
      <c r="C28" s="129"/>
      <c r="D28" s="148"/>
      <c r="E28" s="148"/>
      <c r="F28" s="148"/>
      <c r="G28" s="148"/>
      <c r="H28" s="166"/>
      <c r="I28" s="131"/>
      <c r="J28" s="156"/>
    </row>
    <row r="29" spans="1:10" x14ac:dyDescent="0.25">
      <c r="A29" s="146"/>
      <c r="B29" s="130" t="s">
        <v>181</v>
      </c>
      <c r="C29" s="132" t="s">
        <v>169</v>
      </c>
      <c r="D29" s="148">
        <f>D91*$G$91*10^-6</f>
        <v>2.1815639999999998</v>
      </c>
      <c r="E29" s="148">
        <f>E91*$G$91*10^-6</f>
        <v>1.0388399999999999E-3</v>
      </c>
      <c r="F29" s="148"/>
      <c r="G29" s="148">
        <f>F91*$G$91*10^-6</f>
        <v>1.0073600000000001E-4</v>
      </c>
      <c r="H29" s="166">
        <f t="shared" ref="H29:H35" si="1">D29+(E29*$L$5)+(G29*$L$7)</f>
        <v>2.2394242399999995</v>
      </c>
      <c r="I29" s="131" t="s">
        <v>182</v>
      </c>
      <c r="J29" s="156"/>
    </row>
    <row r="30" spans="1:10" x14ac:dyDescent="0.25">
      <c r="A30" s="146"/>
      <c r="B30" s="130" t="s">
        <v>183</v>
      </c>
      <c r="C30" s="132" t="s">
        <v>169</v>
      </c>
      <c r="D30" s="148">
        <f>D92*$G$92*10^-6</f>
        <v>2.1815639999999998</v>
      </c>
      <c r="E30" s="148">
        <f>E92*$G$92*10^-6</f>
        <v>7.8699999999999994E-4</v>
      </c>
      <c r="F30" s="148"/>
      <c r="G30" s="148">
        <f>F92*$G$92*10^-6</f>
        <v>2.5183999999999997E-4</v>
      </c>
      <c r="H30" s="166">
        <f t="shared" si="1"/>
        <v>2.2719116000000001</v>
      </c>
      <c r="I30" s="131" t="s">
        <v>182</v>
      </c>
      <c r="J30" s="156"/>
    </row>
    <row r="31" spans="1:10" x14ac:dyDescent="0.25">
      <c r="A31" s="146"/>
      <c r="B31" s="130" t="s">
        <v>184</v>
      </c>
      <c r="C31" s="132" t="s">
        <v>169</v>
      </c>
      <c r="D31" s="148">
        <f>D93*$G$93*10^-6</f>
        <v>2.1815639999999998</v>
      </c>
      <c r="E31" s="148">
        <f>E93*$G$93*10^-6</f>
        <v>1.1962399999999999E-4</v>
      </c>
      <c r="F31" s="148"/>
      <c r="G31" s="148">
        <f>F93*$G$93*10^-6</f>
        <v>1.7943599999999999E-4</v>
      </c>
      <c r="H31" s="166">
        <f t="shared" si="1"/>
        <v>2.2327032600000001</v>
      </c>
      <c r="I31" s="131" t="s">
        <v>182</v>
      </c>
      <c r="J31" s="156"/>
    </row>
    <row r="32" spans="1:10" x14ac:dyDescent="0.25">
      <c r="A32" s="146"/>
      <c r="B32" s="130" t="s">
        <v>185</v>
      </c>
      <c r="C32" s="132" t="s">
        <v>169</v>
      </c>
      <c r="D32" s="148">
        <f>D94*$G$94*10^-6</f>
        <v>2.6987220000000001</v>
      </c>
      <c r="E32" s="148">
        <f>E94*$G$94*10^-6</f>
        <v>1.4203800000000001E-4</v>
      </c>
      <c r="F32" s="148"/>
      <c r="G32" s="148">
        <f>F94*$G$94*10^-6</f>
        <v>1.4203800000000001E-4</v>
      </c>
      <c r="H32" s="166">
        <f t="shared" si="1"/>
        <v>2.7406232100000003</v>
      </c>
      <c r="I32" s="131" t="s">
        <v>182</v>
      </c>
      <c r="J32" s="156"/>
    </row>
    <row r="33" spans="1:10" x14ac:dyDescent="0.25">
      <c r="A33" s="146"/>
      <c r="B33" s="130" t="s">
        <v>186</v>
      </c>
      <c r="C33" s="132" t="s">
        <v>167</v>
      </c>
      <c r="D33" s="148">
        <f>D95*$G$95*10^-6</f>
        <v>2.1261899999999998</v>
      </c>
      <c r="E33" s="148">
        <f>E95*$G$95*10^-6</f>
        <v>3.4867999999999995E-3</v>
      </c>
      <c r="F33" s="148"/>
      <c r="G33" s="148">
        <f>F95*$G$95*10^-6</f>
        <v>1.1369999999999999E-4</v>
      </c>
      <c r="H33" s="166">
        <f t="shared" si="1"/>
        <v>2.2609244999999998</v>
      </c>
      <c r="I33" s="131" t="s">
        <v>187</v>
      </c>
      <c r="J33" s="156"/>
    </row>
    <row r="34" spans="1:10" x14ac:dyDescent="0.25">
      <c r="A34" s="146"/>
      <c r="B34" s="130" t="s">
        <v>188</v>
      </c>
      <c r="C34" s="132" t="s">
        <v>169</v>
      </c>
      <c r="D34" s="148">
        <f>D96*$G$96*10^-6</f>
        <v>1.6797219999999999</v>
      </c>
      <c r="E34" s="148">
        <f>E96*$G$96*10^-6</f>
        <v>1.65044E-3</v>
      </c>
      <c r="F34" s="148"/>
      <c r="G34" s="148">
        <f>F96*$G$96*10^-6</f>
        <v>5.3240000000000002E-6</v>
      </c>
      <c r="H34" s="166">
        <f t="shared" si="1"/>
        <v>1.73064606</v>
      </c>
      <c r="I34" s="131" t="s">
        <v>182</v>
      </c>
      <c r="J34" s="156"/>
    </row>
    <row r="35" spans="1:10" x14ac:dyDescent="0.25">
      <c r="A35" s="146"/>
      <c r="B35" s="130" t="s">
        <v>188</v>
      </c>
      <c r="C35" s="129" t="s">
        <v>167</v>
      </c>
      <c r="D35" s="148">
        <f>D34/0.54</f>
        <v>3.1105962962962961</v>
      </c>
      <c r="E35" s="148">
        <f>E34/0.54</f>
        <v>3.0563703703703703E-3</v>
      </c>
      <c r="F35" s="148"/>
      <c r="G35" s="148">
        <f>G34/0.54</f>
        <v>9.8592592592592585E-6</v>
      </c>
      <c r="H35" s="166">
        <f t="shared" si="1"/>
        <v>3.2049001111111108</v>
      </c>
      <c r="I35" s="131" t="s">
        <v>189</v>
      </c>
      <c r="J35" s="156"/>
    </row>
    <row r="36" spans="1:10" x14ac:dyDescent="0.25">
      <c r="A36" s="146" t="s">
        <v>190</v>
      </c>
      <c r="B36" s="130"/>
      <c r="C36" s="129"/>
      <c r="D36" s="148"/>
      <c r="E36" s="148"/>
      <c r="F36" s="148"/>
      <c r="G36" s="148"/>
      <c r="H36" s="166"/>
      <c r="I36" s="131"/>
      <c r="J36" s="156"/>
    </row>
    <row r="37" spans="1:10" x14ac:dyDescent="0.25">
      <c r="A37" s="146"/>
      <c r="B37" s="133" t="s">
        <v>191</v>
      </c>
      <c r="C37" s="132"/>
      <c r="D37" s="148"/>
      <c r="E37" s="148"/>
      <c r="F37" s="148"/>
      <c r="G37" s="148"/>
      <c r="H37" s="166"/>
      <c r="I37" s="131"/>
      <c r="J37" s="156"/>
    </row>
    <row r="38" spans="1:10" x14ac:dyDescent="0.25">
      <c r="A38" s="146"/>
      <c r="B38" s="134" t="s">
        <v>192</v>
      </c>
      <c r="C38" s="132" t="s">
        <v>169</v>
      </c>
      <c r="D38" s="148">
        <f>D103*$G$103/(10^6)</f>
        <v>2.6987220000000001</v>
      </c>
      <c r="E38" s="148">
        <f>E103*$G$103/(10^6)</f>
        <v>1.5114300000000004E-4</v>
      </c>
      <c r="F38" s="148"/>
      <c r="G38" s="148">
        <f>F103*$G$103/(10^6)</f>
        <v>1.0416120000000001E-3</v>
      </c>
      <c r="H38" s="166">
        <f>D38+(E38*$L$5)+(G38*$L$7)</f>
        <v>2.9792834700000004</v>
      </c>
      <c r="I38" s="131" t="s">
        <v>193</v>
      </c>
      <c r="J38" s="156"/>
    </row>
    <row r="39" spans="1:10" x14ac:dyDescent="0.25">
      <c r="A39" s="146"/>
      <c r="B39" s="134" t="s">
        <v>194</v>
      </c>
      <c r="C39" s="132" t="s">
        <v>169</v>
      </c>
      <c r="D39" s="148">
        <f>D104*$G$104/(10^6)</f>
        <v>2.6987220000000001</v>
      </c>
      <c r="E39" s="148">
        <f>E104*$G$104/(10^6)</f>
        <v>1.5114300000000004E-4</v>
      </c>
      <c r="F39" s="148"/>
      <c r="G39" s="148">
        <f>F104*$G$104/(10^6)</f>
        <v>1.0416120000000001E-3</v>
      </c>
      <c r="H39" s="166">
        <f>D39+(E39*$L$5)+(G39*$L$7)</f>
        <v>2.9792834700000004</v>
      </c>
      <c r="I39" s="131" t="s">
        <v>193</v>
      </c>
      <c r="J39" s="156"/>
    </row>
    <row r="40" spans="1:10" x14ac:dyDescent="0.25">
      <c r="A40" s="146"/>
      <c r="B40" s="134" t="s">
        <v>195</v>
      </c>
      <c r="C40" s="132" t="s">
        <v>169</v>
      </c>
      <c r="D40" s="148">
        <f>D105*$G$105/(10^6)</f>
        <v>2.6987220000000001</v>
      </c>
      <c r="E40" s="148">
        <f>E105*$G$105/(10^6)</f>
        <v>1.5114300000000004E-4</v>
      </c>
      <c r="F40" s="148"/>
      <c r="G40" s="148">
        <f>F105*$G$105/(10^6)</f>
        <v>1.0416120000000001E-3</v>
      </c>
      <c r="H40" s="166">
        <f>D40+(E40*$L$5)+(G40*$L$7)</f>
        <v>2.9792834700000004</v>
      </c>
      <c r="I40" s="131" t="s">
        <v>193</v>
      </c>
      <c r="J40" s="156"/>
    </row>
    <row r="41" spans="1:10" x14ac:dyDescent="0.25">
      <c r="A41" s="146"/>
      <c r="B41" s="134" t="s">
        <v>196</v>
      </c>
      <c r="C41" s="132" t="s">
        <v>169</v>
      </c>
      <c r="D41" s="148">
        <f>D106*$G$106/(10^6)</f>
        <v>2.6987220000000001</v>
      </c>
      <c r="E41" s="148">
        <f>E106*$G$106/(10^6)</f>
        <v>1.5114300000000004E-4</v>
      </c>
      <c r="F41" s="148"/>
      <c r="G41" s="148">
        <f>F106*$G$106/(10^6)</f>
        <v>1.0416120000000001E-3</v>
      </c>
      <c r="H41" s="166">
        <f>D41+(E41*$L$5)+(G41*$L$7)</f>
        <v>2.9792834700000004</v>
      </c>
      <c r="I41" s="131" t="s">
        <v>193</v>
      </c>
      <c r="J41" s="156"/>
    </row>
    <row r="42" spans="1:10" x14ac:dyDescent="0.25">
      <c r="A42" s="146"/>
      <c r="B42" s="133" t="s">
        <v>197</v>
      </c>
      <c r="C42" s="132"/>
      <c r="D42" s="148"/>
      <c r="E42" s="148"/>
      <c r="F42" s="148"/>
      <c r="G42" s="148"/>
      <c r="H42" s="166"/>
      <c r="I42" s="131"/>
      <c r="J42" s="156"/>
    </row>
    <row r="43" spans="1:10" x14ac:dyDescent="0.25">
      <c r="A43" s="146"/>
      <c r="B43" s="134" t="s">
        <v>192</v>
      </c>
      <c r="C43" s="132" t="s">
        <v>169</v>
      </c>
      <c r="D43" s="148">
        <f>D108*$G$108/(10^6)</f>
        <v>2.1815639999999998</v>
      </c>
      <c r="E43" s="148">
        <f>E108*$G$108/(10^6)</f>
        <v>2.5184000000000001E-3</v>
      </c>
      <c r="F43" s="148"/>
      <c r="G43" s="148">
        <f>F108*$G$108/(10^6)</f>
        <v>6.2960000000000007E-5</v>
      </c>
      <c r="H43" s="166">
        <f>D43+(E43*$L$5)+(G43*$L$7)</f>
        <v>2.2738003999999998</v>
      </c>
      <c r="I43" s="131" t="s">
        <v>193</v>
      </c>
      <c r="J43" s="156"/>
    </row>
    <row r="44" spans="1:10" x14ac:dyDescent="0.25">
      <c r="A44" s="128"/>
      <c r="B44" s="134" t="s">
        <v>194</v>
      </c>
      <c r="C44" s="132" t="s">
        <v>169</v>
      </c>
      <c r="D44" s="148">
        <f>D109*$G$109/(10^6)</f>
        <v>2.1815639999999998</v>
      </c>
      <c r="E44" s="148">
        <f>E109*$G$109/(10^6)</f>
        <v>0</v>
      </c>
      <c r="F44" s="148"/>
      <c r="G44" s="148">
        <f>F109*$G$109/(10^6)</f>
        <v>0</v>
      </c>
      <c r="H44" s="166">
        <f>D44+(E44*$L$5)+(G44*$L$7)</f>
        <v>2.1815639999999998</v>
      </c>
      <c r="I44" s="131" t="s">
        <v>193</v>
      </c>
      <c r="J44" s="156"/>
    </row>
    <row r="45" spans="1:10" x14ac:dyDescent="0.25">
      <c r="A45" s="128"/>
      <c r="B45" s="134" t="s">
        <v>195</v>
      </c>
      <c r="C45" s="132" t="s">
        <v>169</v>
      </c>
      <c r="D45" s="148">
        <f>D110*$G$110/(10^6)</f>
        <v>2.1815639999999998</v>
      </c>
      <c r="E45" s="148">
        <f>E110*$G$110/(10^6)</f>
        <v>1.5740000000000001E-3</v>
      </c>
      <c r="F45" s="148"/>
      <c r="G45" s="148">
        <f>F110*$G$110/(10^6)</f>
        <v>6.2960000000000007E-5</v>
      </c>
      <c r="H45" s="166">
        <f>D45+(E45*$L$5)+(G45*$L$7)</f>
        <v>2.2454683999999996</v>
      </c>
      <c r="I45" s="131" t="s">
        <v>193</v>
      </c>
      <c r="J45" s="156"/>
    </row>
    <row r="46" spans="1:10" x14ac:dyDescent="0.25">
      <c r="A46" s="128"/>
      <c r="B46" s="134" t="s">
        <v>196</v>
      </c>
      <c r="C46" s="132" t="s">
        <v>169</v>
      </c>
      <c r="D46" s="148">
        <f>D111*$G$111/(10^6)</f>
        <v>2.1815639999999998</v>
      </c>
      <c r="E46" s="148">
        <f>E111*$G$111/(10^6)</f>
        <v>3.7775999999999999E-3</v>
      </c>
      <c r="F46" s="148"/>
      <c r="G46" s="148">
        <f>F111*$G$111/(10^6)</f>
        <v>6.2960000000000007E-5</v>
      </c>
      <c r="H46" s="166">
        <f>D46+(E46*$L$5)+(G46*$L$7)</f>
        <v>2.3115763999999999</v>
      </c>
      <c r="I46" s="131" t="s">
        <v>193</v>
      </c>
      <c r="J46" s="156"/>
    </row>
    <row r="47" spans="1:10" x14ac:dyDescent="0.25">
      <c r="A47" s="146"/>
      <c r="B47" s="133" t="s">
        <v>198</v>
      </c>
      <c r="C47" s="132"/>
      <c r="D47" s="148"/>
      <c r="E47" s="148"/>
      <c r="F47" s="148"/>
      <c r="G47" s="148"/>
      <c r="H47" s="166"/>
      <c r="I47" s="131"/>
      <c r="J47" s="156"/>
    </row>
    <row r="48" spans="1:10" x14ac:dyDescent="0.25">
      <c r="A48" s="146"/>
      <c r="B48" s="134" t="s">
        <v>192</v>
      </c>
      <c r="C48" s="132" t="s">
        <v>169</v>
      </c>
      <c r="D48" s="148">
        <f>D113*$G$113/(10^6)</f>
        <v>2.1815639999999998</v>
      </c>
      <c r="E48" s="148">
        <f>E113*$G$113/(10^6)</f>
        <v>4.4072E-3</v>
      </c>
      <c r="F48" s="148"/>
      <c r="G48" s="148">
        <f>F113*$G$113/(10^6)</f>
        <v>1.2592000000000001E-5</v>
      </c>
      <c r="H48" s="166">
        <f>D48+(E48*$L$5)+(G48*$L$7)</f>
        <v>2.3171168799999999</v>
      </c>
      <c r="I48" s="131" t="s">
        <v>193</v>
      </c>
      <c r="J48" s="156"/>
    </row>
    <row r="49" spans="1:11" x14ac:dyDescent="0.25">
      <c r="A49" s="128"/>
      <c r="B49" s="134" t="s">
        <v>194</v>
      </c>
      <c r="C49" s="132" t="s">
        <v>169</v>
      </c>
      <c r="D49" s="148">
        <f>D114*$G$114/(10^6)</f>
        <v>2.1815639999999998</v>
      </c>
      <c r="E49" s="148">
        <f>E114*$G$114/(10^6)</f>
        <v>5.3516000000000006E-3</v>
      </c>
      <c r="F49" s="148"/>
      <c r="G49" s="148">
        <f>F114*$G$114/(10^6)</f>
        <v>1.2592000000000001E-5</v>
      </c>
      <c r="H49" s="166">
        <f>D49+(E49*$L$5)+(G49*$L$7)</f>
        <v>2.3454488799999997</v>
      </c>
      <c r="I49" s="131" t="s">
        <v>193</v>
      </c>
      <c r="J49" s="156"/>
    </row>
    <row r="50" spans="1:11" x14ac:dyDescent="0.25">
      <c r="A50" s="128"/>
      <c r="B50" s="134" t="s">
        <v>195</v>
      </c>
      <c r="C50" s="132" t="s">
        <v>169</v>
      </c>
      <c r="D50" s="148">
        <f>D115*$G$115/(10^6)</f>
        <v>2.1815639999999998</v>
      </c>
      <c r="E50" s="148">
        <f>E115*$G$115/(10^6)</f>
        <v>4.0924000000000004E-3</v>
      </c>
      <c r="F50" s="148"/>
      <c r="G50" s="148">
        <f>F115*$G$115/(10^6)</f>
        <v>1.2592000000000001E-5</v>
      </c>
      <c r="H50" s="166">
        <f>D50+(E50*$L$5)+(G50*$L$7)</f>
        <v>2.3076728799999997</v>
      </c>
      <c r="I50" s="131" t="s">
        <v>193</v>
      </c>
      <c r="J50" s="156"/>
    </row>
    <row r="51" spans="1:11" x14ac:dyDescent="0.25">
      <c r="A51" s="128"/>
      <c r="B51" s="134" t="s">
        <v>196</v>
      </c>
      <c r="C51" s="132" t="s">
        <v>169</v>
      </c>
      <c r="D51" s="148">
        <f>D116*$G$116/(10^6)</f>
        <v>2.1815639999999998</v>
      </c>
      <c r="E51" s="148">
        <f>E116*$G$116/(10^6)</f>
        <v>5.6663999999999994E-3</v>
      </c>
      <c r="F51" s="148"/>
      <c r="G51" s="148">
        <f>F116*$G$116/(10^6)</f>
        <v>1.2592000000000001E-5</v>
      </c>
      <c r="H51" s="166">
        <f>D51+(E51*$L$5)+(G51*$L$7)</f>
        <v>2.35489288</v>
      </c>
      <c r="I51" s="131" t="s">
        <v>193</v>
      </c>
      <c r="J51" s="156"/>
    </row>
    <row r="52" spans="1:11" x14ac:dyDescent="0.25">
      <c r="A52" s="146" t="s">
        <v>223</v>
      </c>
      <c r="B52" s="134"/>
      <c r="C52" s="132"/>
      <c r="D52" s="148"/>
      <c r="E52" s="148"/>
      <c r="F52" s="148"/>
      <c r="G52" s="148"/>
      <c r="H52" s="166"/>
      <c r="I52" s="131"/>
      <c r="J52" s="156"/>
    </row>
    <row r="53" spans="1:11" ht="45" customHeight="1" x14ac:dyDescent="0.25">
      <c r="A53" s="163"/>
      <c r="B53" s="164" t="s">
        <v>224</v>
      </c>
      <c r="C53" s="131" t="s">
        <v>225</v>
      </c>
      <c r="D53" s="148" t="s">
        <v>226</v>
      </c>
      <c r="E53" s="148" t="s">
        <v>226</v>
      </c>
      <c r="F53" s="148" t="s">
        <v>226</v>
      </c>
      <c r="G53" s="148" t="s">
        <v>226</v>
      </c>
      <c r="H53" s="166">
        <v>0.49990000000000001</v>
      </c>
      <c r="I53" s="162" t="s">
        <v>227</v>
      </c>
      <c r="J53" s="156"/>
      <c r="K53" s="156"/>
    </row>
    <row r="54" spans="1:11" x14ac:dyDescent="0.25">
      <c r="A54" s="172" t="s">
        <v>228</v>
      </c>
      <c r="B54" s="164"/>
      <c r="C54" s="131"/>
      <c r="D54" s="148"/>
      <c r="E54" s="148"/>
      <c r="F54" s="148"/>
      <c r="G54" s="148"/>
      <c r="H54" s="166"/>
      <c r="I54" s="162"/>
      <c r="J54" s="156"/>
    </row>
    <row r="55" spans="1:11" x14ac:dyDescent="0.25">
      <c r="A55" s="172"/>
      <c r="B55" s="164" t="s">
        <v>229</v>
      </c>
      <c r="C55" s="131" t="s">
        <v>167</v>
      </c>
      <c r="D55" s="148" t="s">
        <v>226</v>
      </c>
      <c r="E55" s="148" t="s">
        <v>226</v>
      </c>
      <c r="F55" s="148" t="s">
        <v>226</v>
      </c>
      <c r="G55" s="148" t="s">
        <v>226</v>
      </c>
      <c r="H55" s="166">
        <v>1760</v>
      </c>
      <c r="I55" s="162" t="s">
        <v>230</v>
      </c>
      <c r="J55" s="156"/>
    </row>
    <row r="56" spans="1:11" x14ac:dyDescent="0.25">
      <c r="A56" s="163"/>
      <c r="B56" s="164" t="s">
        <v>231</v>
      </c>
      <c r="C56" s="131" t="s">
        <v>167</v>
      </c>
      <c r="D56" s="148" t="s">
        <v>226</v>
      </c>
      <c r="E56" s="148" t="s">
        <v>226</v>
      </c>
      <c r="F56" s="148" t="s">
        <v>226</v>
      </c>
      <c r="G56" s="148" t="s">
        <v>226</v>
      </c>
      <c r="H56" s="166">
        <v>677</v>
      </c>
      <c r="I56" s="162" t="s">
        <v>230</v>
      </c>
      <c r="J56" s="156"/>
    </row>
    <row r="57" spans="1:11" x14ac:dyDescent="0.25">
      <c r="A57" s="163"/>
      <c r="B57" s="164" t="s">
        <v>232</v>
      </c>
      <c r="C57" s="131" t="s">
        <v>167</v>
      </c>
      <c r="D57" s="148" t="s">
        <v>226</v>
      </c>
      <c r="E57" s="148" t="s">
        <v>226</v>
      </c>
      <c r="F57" s="148" t="s">
        <v>226</v>
      </c>
      <c r="G57" s="148" t="s">
        <v>226</v>
      </c>
      <c r="H57" s="166">
        <v>3170</v>
      </c>
      <c r="I57" s="162" t="s">
        <v>230</v>
      </c>
      <c r="J57" s="156"/>
    </row>
    <row r="58" spans="1:11" x14ac:dyDescent="0.25">
      <c r="A58" s="163"/>
      <c r="B58" s="164" t="s">
        <v>233</v>
      </c>
      <c r="C58" s="131" t="s">
        <v>167</v>
      </c>
      <c r="D58" s="148" t="s">
        <v>226</v>
      </c>
      <c r="E58" s="148" t="s">
        <v>226</v>
      </c>
      <c r="F58" s="148" t="s">
        <v>226</v>
      </c>
      <c r="G58" s="148" t="s">
        <v>226</v>
      </c>
      <c r="H58" s="166">
        <v>1120</v>
      </c>
      <c r="I58" s="162" t="s">
        <v>230</v>
      </c>
      <c r="J58" s="156"/>
    </row>
    <row r="59" spans="1:11" x14ac:dyDescent="0.25">
      <c r="A59" s="163"/>
      <c r="B59" s="164" t="s">
        <v>234</v>
      </c>
      <c r="C59" s="131" t="s">
        <v>167</v>
      </c>
      <c r="D59" s="148" t="s">
        <v>226</v>
      </c>
      <c r="E59" s="148" t="s">
        <v>226</v>
      </c>
      <c r="F59" s="148" t="s">
        <v>226</v>
      </c>
      <c r="G59" s="148" t="s">
        <v>226</v>
      </c>
      <c r="H59" s="166">
        <v>1300</v>
      </c>
      <c r="I59" s="162" t="s">
        <v>230</v>
      </c>
      <c r="J59" s="156"/>
    </row>
    <row r="60" spans="1:11" x14ac:dyDescent="0.25">
      <c r="A60" s="163"/>
      <c r="B60" s="164" t="s">
        <v>235</v>
      </c>
      <c r="C60" s="131" t="s">
        <v>167</v>
      </c>
      <c r="D60" s="148" t="s">
        <v>226</v>
      </c>
      <c r="E60" s="148" t="s">
        <v>226</v>
      </c>
      <c r="F60" s="148" t="s">
        <v>226</v>
      </c>
      <c r="G60" s="148" t="s">
        <v>226</v>
      </c>
      <c r="H60" s="166">
        <v>328</v>
      </c>
      <c r="I60" s="162" t="s">
        <v>230</v>
      </c>
      <c r="J60" s="156"/>
    </row>
    <row r="61" spans="1:11" x14ac:dyDescent="0.25">
      <c r="A61" s="163"/>
      <c r="B61" s="164" t="s">
        <v>236</v>
      </c>
      <c r="C61" s="131" t="s">
        <v>167</v>
      </c>
      <c r="D61" s="148" t="s">
        <v>226</v>
      </c>
      <c r="E61" s="148" t="s">
        <v>226</v>
      </c>
      <c r="F61" s="148" t="s">
        <v>226</v>
      </c>
      <c r="G61" s="148" t="s">
        <v>226</v>
      </c>
      <c r="H61" s="166">
        <v>4800</v>
      </c>
      <c r="I61" s="162" t="s">
        <v>230</v>
      </c>
      <c r="J61" s="156"/>
    </row>
    <row r="62" spans="1:11" x14ac:dyDescent="0.25">
      <c r="A62" s="189"/>
      <c r="B62" s="190"/>
      <c r="C62" s="191"/>
      <c r="D62" s="192"/>
      <c r="E62" s="192"/>
      <c r="F62" s="192"/>
      <c r="G62" s="192"/>
      <c r="H62" s="167"/>
      <c r="I62" s="193"/>
      <c r="J62" s="156"/>
    </row>
    <row r="63" spans="1:11" x14ac:dyDescent="0.25">
      <c r="A63" s="127" t="s">
        <v>237</v>
      </c>
      <c r="B63" s="194"/>
      <c r="C63" s="140"/>
      <c r="D63" s="192"/>
      <c r="E63" s="195" t="s">
        <v>238</v>
      </c>
      <c r="F63" s="195"/>
      <c r="G63" s="192"/>
      <c r="H63" s="167"/>
      <c r="I63" s="191"/>
      <c r="J63" s="156"/>
    </row>
    <row r="64" spans="1:11" x14ac:dyDescent="0.25">
      <c r="B64" s="194"/>
      <c r="C64" s="140"/>
      <c r="D64" s="192"/>
      <c r="E64" s="192"/>
      <c r="F64" s="192"/>
      <c r="G64" s="192"/>
      <c r="H64" s="167"/>
      <c r="I64" s="191"/>
      <c r="J64" s="156"/>
    </row>
    <row r="65" spans="1:12" x14ac:dyDescent="0.25">
      <c r="B65" s="150"/>
      <c r="C65" s="150"/>
      <c r="D65" s="151"/>
      <c r="E65" s="151"/>
      <c r="F65" s="151"/>
      <c r="G65" s="151"/>
    </row>
    <row r="66" spans="1:12" s="136" customFormat="1" x14ac:dyDescent="0.25">
      <c r="A66" s="135" t="s">
        <v>161</v>
      </c>
      <c r="B66" s="152"/>
      <c r="C66" s="152"/>
      <c r="D66" s="153"/>
      <c r="E66" s="154"/>
      <c r="F66" s="154"/>
      <c r="G66" s="153"/>
      <c r="H66" s="168"/>
    </row>
    <row r="67" spans="1:12" x14ac:dyDescent="0.25">
      <c r="D67" s="137"/>
      <c r="E67" s="138" t="s">
        <v>199</v>
      </c>
      <c r="F67" s="138"/>
      <c r="G67" s="169" t="s">
        <v>200</v>
      </c>
      <c r="H67" s="127"/>
    </row>
    <row r="68" spans="1:12" ht="14.25" customHeight="1" x14ac:dyDescent="0.25">
      <c r="B68" s="130"/>
      <c r="C68" s="129"/>
      <c r="D68" s="547" t="s">
        <v>201</v>
      </c>
      <c r="E68" s="548"/>
      <c r="F68" s="549"/>
      <c r="G68" s="170" t="s">
        <v>202</v>
      </c>
      <c r="H68" s="127"/>
    </row>
    <row r="69" spans="1:12" x14ac:dyDescent="0.25">
      <c r="B69" s="130"/>
      <c r="C69" s="129" t="s">
        <v>203</v>
      </c>
      <c r="D69" s="144" t="s">
        <v>111</v>
      </c>
      <c r="E69" s="129" t="s">
        <v>122</v>
      </c>
      <c r="F69" s="129" t="s">
        <v>123</v>
      </c>
      <c r="G69" s="170" t="s">
        <v>204</v>
      </c>
      <c r="H69" s="127"/>
    </row>
    <row r="70" spans="1:12" x14ac:dyDescent="0.25">
      <c r="B70" s="130" t="s">
        <v>162</v>
      </c>
      <c r="C70" s="129" t="s">
        <v>163</v>
      </c>
      <c r="D70" s="196">
        <v>56100</v>
      </c>
      <c r="E70" s="196">
        <v>1</v>
      </c>
      <c r="F70" s="196">
        <v>0.1</v>
      </c>
      <c r="G70" s="170">
        <v>1.02</v>
      </c>
      <c r="H70" s="127" t="s">
        <v>205</v>
      </c>
    </row>
    <row r="71" spans="1:12" x14ac:dyDescent="0.25">
      <c r="B71" s="130" t="s">
        <v>166</v>
      </c>
      <c r="C71" s="129" t="s">
        <v>167</v>
      </c>
      <c r="D71" s="196">
        <v>101000</v>
      </c>
      <c r="E71" s="196">
        <v>1</v>
      </c>
      <c r="F71" s="196">
        <v>1.5</v>
      </c>
      <c r="G71" s="170">
        <v>10.47</v>
      </c>
      <c r="H71" s="127"/>
    </row>
    <row r="72" spans="1:12" x14ac:dyDescent="0.25">
      <c r="B72" s="130" t="s">
        <v>239</v>
      </c>
      <c r="C72" s="129" t="s">
        <v>169</v>
      </c>
      <c r="D72" s="196">
        <v>77400</v>
      </c>
      <c r="E72" s="196">
        <v>3</v>
      </c>
      <c r="F72" s="196">
        <v>0.6</v>
      </c>
      <c r="G72" s="170">
        <v>41.468972149500033</v>
      </c>
      <c r="H72" s="127" t="s">
        <v>206</v>
      </c>
      <c r="K72" s="140"/>
      <c r="L72" s="157"/>
    </row>
    <row r="73" spans="1:12" x14ac:dyDescent="0.25">
      <c r="B73" s="130" t="s">
        <v>240</v>
      </c>
      <c r="C73" s="129" t="s">
        <v>169</v>
      </c>
      <c r="D73" s="196">
        <v>77400</v>
      </c>
      <c r="E73" s="196">
        <v>3</v>
      </c>
      <c r="F73" s="196">
        <v>0.6</v>
      </c>
      <c r="G73" s="170">
        <v>41.800259702100021</v>
      </c>
      <c r="H73" s="127" t="s">
        <v>206</v>
      </c>
      <c r="K73" s="140"/>
      <c r="L73" s="157"/>
    </row>
    <row r="74" spans="1:12" x14ac:dyDescent="0.25">
      <c r="B74" s="130" t="s">
        <v>173</v>
      </c>
      <c r="C74" s="129" t="s">
        <v>169</v>
      </c>
      <c r="D74" s="196">
        <v>74100</v>
      </c>
      <c r="E74" s="196">
        <v>3</v>
      </c>
      <c r="F74" s="196">
        <v>0.6</v>
      </c>
      <c r="G74" s="170">
        <v>36.42</v>
      </c>
      <c r="H74" s="127"/>
    </row>
    <row r="75" spans="1:12" x14ac:dyDescent="0.25">
      <c r="B75" s="130" t="s">
        <v>174</v>
      </c>
      <c r="C75" s="129" t="s">
        <v>167</v>
      </c>
      <c r="D75" s="196">
        <v>98300</v>
      </c>
      <c r="E75" s="196">
        <v>1</v>
      </c>
      <c r="F75" s="196">
        <v>1.5</v>
      </c>
      <c r="G75" s="170">
        <v>31.4</v>
      </c>
      <c r="H75" s="127"/>
    </row>
    <row r="76" spans="1:12" x14ac:dyDescent="0.25">
      <c r="B76" s="197" t="s">
        <v>175</v>
      </c>
      <c r="C76" s="196" t="s">
        <v>167</v>
      </c>
      <c r="D76" s="196">
        <v>96100</v>
      </c>
      <c r="E76" s="196">
        <v>1</v>
      </c>
      <c r="F76" s="196">
        <v>1.5</v>
      </c>
      <c r="G76" s="170">
        <v>26.37</v>
      </c>
      <c r="H76" s="127"/>
    </row>
    <row r="77" spans="1:12" x14ac:dyDescent="0.25">
      <c r="B77" s="130" t="s">
        <v>176</v>
      </c>
      <c r="C77" s="129" t="s">
        <v>169</v>
      </c>
      <c r="D77" s="196">
        <v>71500</v>
      </c>
      <c r="E77" s="196">
        <v>3</v>
      </c>
      <c r="F77" s="196">
        <v>0.6</v>
      </c>
      <c r="G77" s="170">
        <v>34.53</v>
      </c>
      <c r="H77" s="127"/>
    </row>
    <row r="78" spans="1:12" x14ac:dyDescent="0.25">
      <c r="B78" s="130" t="s">
        <v>177</v>
      </c>
      <c r="C78" s="129" t="s">
        <v>169</v>
      </c>
      <c r="D78" s="196">
        <v>63100</v>
      </c>
      <c r="E78" s="196">
        <v>1</v>
      </c>
      <c r="F78" s="196">
        <v>0.1</v>
      </c>
      <c r="G78" s="170">
        <v>26.62</v>
      </c>
      <c r="H78" s="127"/>
    </row>
    <row r="79" spans="1:12" x14ac:dyDescent="0.25">
      <c r="B79" s="130" t="s">
        <v>179</v>
      </c>
      <c r="C79" s="129" t="s">
        <v>169</v>
      </c>
      <c r="D79" s="196">
        <v>69300</v>
      </c>
      <c r="E79" s="196">
        <v>3</v>
      </c>
      <c r="F79" s="196">
        <v>0.6</v>
      </c>
      <c r="G79" s="170">
        <f>G91</f>
        <v>31.48</v>
      </c>
      <c r="H79" s="127"/>
    </row>
    <row r="80" spans="1:12" x14ac:dyDescent="0.25">
      <c r="B80" s="130" t="s">
        <v>241</v>
      </c>
      <c r="C80" s="129" t="s">
        <v>167</v>
      </c>
      <c r="D80" s="196">
        <v>112000</v>
      </c>
      <c r="E80" s="196">
        <v>30</v>
      </c>
      <c r="F80" s="196">
        <v>4</v>
      </c>
      <c r="G80" s="170">
        <v>15.99</v>
      </c>
      <c r="H80" s="127"/>
    </row>
    <row r="81" spans="1:8" x14ac:dyDescent="0.25">
      <c r="B81" s="130" t="s">
        <v>242</v>
      </c>
      <c r="C81" s="129"/>
      <c r="D81" s="196"/>
      <c r="E81" s="196"/>
      <c r="F81" s="196"/>
      <c r="G81" s="170"/>
      <c r="H81" s="127"/>
    </row>
    <row r="82" spans="1:8" x14ac:dyDescent="0.25">
      <c r="B82" s="130" t="s">
        <v>213</v>
      </c>
      <c r="C82" s="129" t="s">
        <v>167</v>
      </c>
      <c r="D82" s="196">
        <v>100000</v>
      </c>
      <c r="E82" s="196">
        <v>30</v>
      </c>
      <c r="F82" s="196">
        <v>4</v>
      </c>
      <c r="G82" s="170">
        <v>7.53</v>
      </c>
      <c r="H82" s="127"/>
    </row>
    <row r="83" spans="1:8" x14ac:dyDescent="0.25">
      <c r="B83" s="130" t="s">
        <v>214</v>
      </c>
      <c r="C83" s="129" t="s">
        <v>167</v>
      </c>
      <c r="D83" s="196">
        <v>100000</v>
      </c>
      <c r="E83" s="196">
        <v>30</v>
      </c>
      <c r="F83" s="196">
        <v>4</v>
      </c>
      <c r="G83" s="170">
        <v>18.53</v>
      </c>
      <c r="H83" s="127"/>
    </row>
    <row r="84" spans="1:8" x14ac:dyDescent="0.25">
      <c r="B84" s="130" t="s">
        <v>215</v>
      </c>
      <c r="C84" s="129" t="s">
        <v>167</v>
      </c>
      <c r="D84" s="196">
        <v>100000</v>
      </c>
      <c r="E84" s="196">
        <v>30</v>
      </c>
      <c r="F84" s="196">
        <v>4</v>
      </c>
      <c r="G84" s="170">
        <v>16.78</v>
      </c>
      <c r="H84" s="127"/>
    </row>
    <row r="85" spans="1:8" ht="17.25" customHeight="1" x14ac:dyDescent="0.25">
      <c r="B85" s="130" t="s">
        <v>216</v>
      </c>
      <c r="C85" s="129" t="s">
        <v>243</v>
      </c>
      <c r="D85" s="196">
        <v>54600</v>
      </c>
      <c r="E85" s="196">
        <v>1</v>
      </c>
      <c r="F85" s="196">
        <v>0.1</v>
      </c>
      <c r="G85" s="170">
        <v>20.93</v>
      </c>
      <c r="H85" s="127"/>
    </row>
    <row r="86" spans="1:8" x14ac:dyDescent="0.25">
      <c r="D86" s="137"/>
      <c r="E86" s="137"/>
      <c r="F86" s="137"/>
      <c r="G86" s="169"/>
      <c r="H86" s="127"/>
    </row>
    <row r="87" spans="1:8" s="136" customFormat="1" x14ac:dyDescent="0.25">
      <c r="A87" s="135" t="s">
        <v>180</v>
      </c>
      <c r="B87" s="152"/>
      <c r="C87" s="152"/>
      <c r="D87" s="153"/>
      <c r="E87" s="154"/>
      <c r="F87" s="153"/>
      <c r="G87" s="168"/>
    </row>
    <row r="88" spans="1:8" x14ac:dyDescent="0.25">
      <c r="D88" s="543" t="s">
        <v>199</v>
      </c>
      <c r="E88" s="543"/>
      <c r="F88" s="543"/>
      <c r="G88" s="169" t="s">
        <v>200</v>
      </c>
      <c r="H88" s="127"/>
    </row>
    <row r="89" spans="1:8" x14ac:dyDescent="0.25">
      <c r="B89" s="130"/>
      <c r="C89" s="128"/>
      <c r="D89" s="547" t="s">
        <v>201</v>
      </c>
      <c r="E89" s="548"/>
      <c r="F89" s="549"/>
      <c r="G89" s="170" t="s">
        <v>202</v>
      </c>
      <c r="H89" s="127"/>
    </row>
    <row r="90" spans="1:8" x14ac:dyDescent="0.25">
      <c r="B90" s="130"/>
      <c r="C90" s="132" t="s">
        <v>203</v>
      </c>
      <c r="D90" s="129" t="s">
        <v>111</v>
      </c>
      <c r="E90" s="144" t="s">
        <v>122</v>
      </c>
      <c r="F90" s="129" t="s">
        <v>123</v>
      </c>
      <c r="G90" s="170" t="s">
        <v>204</v>
      </c>
      <c r="H90" s="127"/>
    </row>
    <row r="91" spans="1:8" x14ac:dyDescent="0.25">
      <c r="B91" s="130" t="s">
        <v>181</v>
      </c>
      <c r="C91" s="132" t="s">
        <v>169</v>
      </c>
      <c r="D91" s="129">
        <v>69300</v>
      </c>
      <c r="E91" s="129">
        <v>33</v>
      </c>
      <c r="F91" s="129">
        <v>3.2</v>
      </c>
      <c r="G91" s="170">
        <v>31.48</v>
      </c>
      <c r="H91" s="127" t="s">
        <v>207</v>
      </c>
    </row>
    <row r="92" spans="1:8" x14ac:dyDescent="0.25">
      <c r="B92" s="130" t="s">
        <v>208</v>
      </c>
      <c r="C92" s="132" t="s">
        <v>169</v>
      </c>
      <c r="D92" s="129">
        <v>69300</v>
      </c>
      <c r="E92" s="129">
        <v>25</v>
      </c>
      <c r="F92" s="129">
        <v>8</v>
      </c>
      <c r="G92" s="170">
        <v>31.48</v>
      </c>
      <c r="H92" s="127"/>
    </row>
    <row r="93" spans="1:8" x14ac:dyDescent="0.25">
      <c r="B93" s="130" t="s">
        <v>184</v>
      </c>
      <c r="C93" s="132" t="s">
        <v>169</v>
      </c>
      <c r="D93" s="129">
        <v>69300</v>
      </c>
      <c r="E93" s="129">
        <v>3.8</v>
      </c>
      <c r="F93" s="129">
        <v>5.7</v>
      </c>
      <c r="G93" s="170">
        <v>31.48</v>
      </c>
      <c r="H93" s="127"/>
    </row>
    <row r="94" spans="1:8" x14ac:dyDescent="0.25">
      <c r="B94" s="130" t="s">
        <v>185</v>
      </c>
      <c r="C94" s="132" t="s">
        <v>169</v>
      </c>
      <c r="D94" s="129">
        <v>74100</v>
      </c>
      <c r="E94" s="129">
        <v>3.9</v>
      </c>
      <c r="F94" s="129">
        <v>3.9</v>
      </c>
      <c r="G94" s="170">
        <f>G74</f>
        <v>36.42</v>
      </c>
      <c r="H94" s="127"/>
    </row>
    <row r="95" spans="1:8" x14ac:dyDescent="0.25">
      <c r="B95" s="130" t="s">
        <v>186</v>
      </c>
      <c r="C95" s="132" t="s">
        <v>167</v>
      </c>
      <c r="D95" s="129">
        <v>56100</v>
      </c>
      <c r="E95" s="129">
        <v>92</v>
      </c>
      <c r="F95" s="129">
        <v>3</v>
      </c>
      <c r="G95" s="170">
        <v>37.9</v>
      </c>
      <c r="H95" s="127" t="s">
        <v>206</v>
      </c>
    </row>
    <row r="96" spans="1:8" x14ac:dyDescent="0.25">
      <c r="B96" s="130" t="s">
        <v>188</v>
      </c>
      <c r="C96" s="132" t="s">
        <v>169</v>
      </c>
      <c r="D96" s="129">
        <v>63100</v>
      </c>
      <c r="E96" s="129">
        <v>62</v>
      </c>
      <c r="F96" s="129">
        <v>0.2</v>
      </c>
      <c r="G96" s="170">
        <f>G78</f>
        <v>26.62</v>
      </c>
      <c r="H96" s="127"/>
    </row>
    <row r="97" spans="1:8" x14ac:dyDescent="0.25">
      <c r="D97" s="137"/>
      <c r="E97" s="137"/>
      <c r="F97" s="137"/>
      <c r="G97" s="156"/>
      <c r="H97" s="127"/>
    </row>
    <row r="98" spans="1:8" s="136" customFormat="1" x14ac:dyDescent="0.25">
      <c r="A98" s="135" t="s">
        <v>209</v>
      </c>
      <c r="B98" s="152"/>
      <c r="C98" s="152"/>
      <c r="D98" s="153"/>
      <c r="E98" s="154"/>
      <c r="F98" s="153"/>
      <c r="G98" s="168"/>
    </row>
    <row r="99" spans="1:8" x14ac:dyDescent="0.25">
      <c r="D99" s="543" t="s">
        <v>199</v>
      </c>
      <c r="E99" s="543"/>
      <c r="F99" s="543"/>
      <c r="G99" s="169" t="s">
        <v>200</v>
      </c>
      <c r="H99" s="127"/>
    </row>
    <row r="100" spans="1:8" x14ac:dyDescent="0.25">
      <c r="B100" s="130"/>
      <c r="C100" s="128"/>
      <c r="D100" s="547" t="s">
        <v>201</v>
      </c>
      <c r="E100" s="548"/>
      <c r="F100" s="549"/>
      <c r="G100" s="170" t="s">
        <v>202</v>
      </c>
      <c r="H100" s="127"/>
    </row>
    <row r="101" spans="1:8" x14ac:dyDescent="0.25">
      <c r="B101" s="130"/>
      <c r="C101" s="132" t="s">
        <v>203</v>
      </c>
      <c r="D101" s="129" t="s">
        <v>111</v>
      </c>
      <c r="E101" s="144" t="s">
        <v>122</v>
      </c>
      <c r="F101" s="129" t="s">
        <v>123</v>
      </c>
      <c r="G101" s="170" t="s">
        <v>204</v>
      </c>
      <c r="H101" s="127"/>
    </row>
    <row r="102" spans="1:8" x14ac:dyDescent="0.25">
      <c r="B102" s="133" t="s">
        <v>191</v>
      </c>
      <c r="C102" s="132"/>
      <c r="D102" s="129"/>
      <c r="E102" s="129"/>
      <c r="F102" s="129"/>
      <c r="G102" s="170"/>
      <c r="H102" s="127"/>
    </row>
    <row r="103" spans="1:8" x14ac:dyDescent="0.25">
      <c r="B103" s="134" t="s">
        <v>192</v>
      </c>
      <c r="C103" s="132" t="s">
        <v>169</v>
      </c>
      <c r="D103" s="129">
        <v>74100</v>
      </c>
      <c r="E103" s="129">
        <v>4.1500000000000004</v>
      </c>
      <c r="F103" s="129">
        <v>28.6</v>
      </c>
      <c r="G103" s="170">
        <v>36.42</v>
      </c>
      <c r="H103" s="127"/>
    </row>
    <row r="104" spans="1:8" x14ac:dyDescent="0.25">
      <c r="B104" s="134" t="s">
        <v>194</v>
      </c>
      <c r="C104" s="132" t="s">
        <v>169</v>
      </c>
      <c r="D104" s="129">
        <v>74100</v>
      </c>
      <c r="E104" s="129">
        <v>4.1500000000000004</v>
      </c>
      <c r="F104" s="129">
        <v>28.6</v>
      </c>
      <c r="G104" s="170">
        <v>36.42</v>
      </c>
      <c r="H104" s="127"/>
    </row>
    <row r="105" spans="1:8" x14ac:dyDescent="0.25">
      <c r="B105" s="134" t="s">
        <v>195</v>
      </c>
      <c r="C105" s="132" t="s">
        <v>169</v>
      </c>
      <c r="D105" s="129">
        <v>74100</v>
      </c>
      <c r="E105" s="129">
        <v>4.1500000000000004</v>
      </c>
      <c r="F105" s="129">
        <v>28.6</v>
      </c>
      <c r="G105" s="170">
        <v>36.42</v>
      </c>
      <c r="H105" s="127"/>
    </row>
    <row r="106" spans="1:8" x14ac:dyDescent="0.25">
      <c r="B106" s="134" t="s">
        <v>196</v>
      </c>
      <c r="C106" s="132" t="s">
        <v>169</v>
      </c>
      <c r="D106" s="129">
        <v>74100</v>
      </c>
      <c r="E106" s="129">
        <v>4.1500000000000004</v>
      </c>
      <c r="F106" s="129">
        <v>28.6</v>
      </c>
      <c r="G106" s="170">
        <v>36.42</v>
      </c>
      <c r="H106" s="127"/>
    </row>
    <row r="107" spans="1:8" x14ac:dyDescent="0.25">
      <c r="B107" s="133" t="s">
        <v>197</v>
      </c>
      <c r="C107" s="132"/>
      <c r="D107" s="129"/>
      <c r="E107" s="129"/>
      <c r="F107" s="129"/>
      <c r="G107" s="170"/>
      <c r="H107" s="127"/>
    </row>
    <row r="108" spans="1:8" x14ac:dyDescent="0.25">
      <c r="B108" s="134" t="s">
        <v>192</v>
      </c>
      <c r="C108" s="132" t="s">
        <v>169</v>
      </c>
      <c r="D108" s="132">
        <v>69300</v>
      </c>
      <c r="E108" s="132">
        <v>80</v>
      </c>
      <c r="F108" s="132">
        <v>2</v>
      </c>
      <c r="G108" s="170">
        <v>31.48</v>
      </c>
      <c r="H108" s="127"/>
    </row>
    <row r="109" spans="1:8" x14ac:dyDescent="0.25">
      <c r="B109" s="134" t="s">
        <v>194</v>
      </c>
      <c r="C109" s="132" t="s">
        <v>169</v>
      </c>
      <c r="D109" s="132">
        <v>69300</v>
      </c>
      <c r="E109" s="132"/>
      <c r="F109" s="132"/>
      <c r="G109" s="170">
        <v>31.48</v>
      </c>
      <c r="H109" s="127"/>
    </row>
    <row r="110" spans="1:8" x14ac:dyDescent="0.25">
      <c r="B110" s="134" t="s">
        <v>195</v>
      </c>
      <c r="C110" s="132" t="s">
        <v>169</v>
      </c>
      <c r="D110" s="132">
        <v>69300</v>
      </c>
      <c r="E110" s="132">
        <v>50</v>
      </c>
      <c r="F110" s="132">
        <v>2</v>
      </c>
      <c r="G110" s="170">
        <v>31.48</v>
      </c>
      <c r="H110" s="127"/>
    </row>
    <row r="111" spans="1:8" x14ac:dyDescent="0.25">
      <c r="B111" s="134" t="s">
        <v>196</v>
      </c>
      <c r="C111" s="132" t="s">
        <v>169</v>
      </c>
      <c r="D111" s="132">
        <v>69300</v>
      </c>
      <c r="E111" s="132">
        <v>120</v>
      </c>
      <c r="F111" s="132">
        <v>2</v>
      </c>
      <c r="G111" s="170">
        <v>31.48</v>
      </c>
      <c r="H111" s="127"/>
    </row>
    <row r="112" spans="1:8" x14ac:dyDescent="0.25">
      <c r="B112" s="133" t="s">
        <v>198</v>
      </c>
      <c r="C112" s="128"/>
      <c r="D112" s="141"/>
      <c r="E112" s="141"/>
      <c r="F112" s="141"/>
      <c r="G112" s="171"/>
      <c r="H112" s="127"/>
    </row>
    <row r="113" spans="2:8" x14ac:dyDescent="0.25">
      <c r="B113" s="134" t="s">
        <v>192</v>
      </c>
      <c r="C113" s="132" t="s">
        <v>169</v>
      </c>
      <c r="D113" s="132">
        <v>69300</v>
      </c>
      <c r="E113" s="132">
        <v>140</v>
      </c>
      <c r="F113" s="132">
        <v>0.4</v>
      </c>
      <c r="G113" s="170">
        <v>31.48</v>
      </c>
      <c r="H113" s="127"/>
    </row>
    <row r="114" spans="2:8" x14ac:dyDescent="0.25">
      <c r="B114" s="134" t="s">
        <v>194</v>
      </c>
      <c r="C114" s="132" t="s">
        <v>169</v>
      </c>
      <c r="D114" s="132">
        <v>69300</v>
      </c>
      <c r="E114" s="132">
        <v>170</v>
      </c>
      <c r="F114" s="132">
        <v>0.4</v>
      </c>
      <c r="G114" s="170">
        <v>31.48</v>
      </c>
      <c r="H114" s="127"/>
    </row>
    <row r="115" spans="2:8" x14ac:dyDescent="0.25">
      <c r="B115" s="134" t="s">
        <v>195</v>
      </c>
      <c r="C115" s="132" t="s">
        <v>169</v>
      </c>
      <c r="D115" s="132">
        <v>69300</v>
      </c>
      <c r="E115" s="132">
        <v>130</v>
      </c>
      <c r="F115" s="132">
        <v>0.4</v>
      </c>
      <c r="G115" s="170">
        <v>31.48</v>
      </c>
      <c r="H115" s="127"/>
    </row>
    <row r="116" spans="2:8" x14ac:dyDescent="0.25">
      <c r="B116" s="134" t="s">
        <v>196</v>
      </c>
      <c r="C116" s="132" t="s">
        <v>169</v>
      </c>
      <c r="D116" s="132">
        <v>69300</v>
      </c>
      <c r="E116" s="132">
        <v>180</v>
      </c>
      <c r="F116" s="132">
        <v>0.4</v>
      </c>
      <c r="G116" s="170">
        <v>31.48</v>
      </c>
      <c r="H116" s="127"/>
    </row>
    <row r="117" spans="2:8" x14ac:dyDescent="0.25">
      <c r="D117" s="137"/>
      <c r="E117" s="137"/>
      <c r="F117" s="137"/>
      <c r="G117" s="156"/>
      <c r="H117" s="127"/>
    </row>
    <row r="118" spans="2:8" x14ac:dyDescent="0.25">
      <c r="D118" s="137"/>
      <c r="E118" s="137"/>
      <c r="F118" s="137"/>
      <c r="G118" s="156"/>
      <c r="H118" s="127"/>
    </row>
    <row r="119" spans="2:8" x14ac:dyDescent="0.25">
      <c r="D119" s="137"/>
      <c r="E119" s="137"/>
      <c r="F119" s="137"/>
      <c r="G119" s="156"/>
      <c r="H119" s="127"/>
    </row>
    <row r="120" spans="2:8" x14ac:dyDescent="0.25">
      <c r="D120" s="137"/>
      <c r="E120" s="137"/>
      <c r="F120" s="137"/>
      <c r="G120" s="156"/>
      <c r="H120" s="127"/>
    </row>
    <row r="121" spans="2:8" x14ac:dyDescent="0.25">
      <c r="D121" s="137"/>
      <c r="E121" s="137"/>
      <c r="F121" s="137"/>
      <c r="G121" s="156"/>
      <c r="H121" s="127"/>
    </row>
    <row r="122" spans="2:8" x14ac:dyDescent="0.25">
      <c r="D122" s="137"/>
      <c r="E122" s="137"/>
      <c r="F122" s="137"/>
      <c r="G122" s="156"/>
      <c r="H122" s="127"/>
    </row>
    <row r="123" spans="2:8" x14ac:dyDescent="0.25">
      <c r="D123" s="137"/>
      <c r="E123" s="137"/>
      <c r="F123" s="137"/>
      <c r="G123" s="156"/>
      <c r="H123" s="127"/>
    </row>
    <row r="124" spans="2:8" x14ac:dyDescent="0.25">
      <c r="D124" s="137"/>
      <c r="E124" s="137"/>
      <c r="F124" s="137"/>
      <c r="G124" s="137"/>
    </row>
    <row r="125" spans="2:8" x14ac:dyDescent="0.25">
      <c r="D125" s="137"/>
      <c r="E125" s="137"/>
      <c r="F125" s="137"/>
      <c r="G125" s="137"/>
    </row>
    <row r="126" spans="2:8" x14ac:dyDescent="0.25">
      <c r="D126" s="137"/>
      <c r="E126" s="137"/>
      <c r="F126" s="137"/>
      <c r="G126" s="137"/>
    </row>
    <row r="127" spans="2:8" x14ac:dyDescent="0.25">
      <c r="D127" s="137"/>
      <c r="E127" s="137"/>
      <c r="F127" s="137"/>
      <c r="G127" s="137"/>
    </row>
    <row r="128" spans="2:8" x14ac:dyDescent="0.25">
      <c r="D128" s="137"/>
      <c r="E128" s="137"/>
      <c r="F128" s="137"/>
      <c r="G128" s="137"/>
    </row>
    <row r="129" spans="4:7" x14ac:dyDescent="0.25">
      <c r="D129" s="137"/>
      <c r="E129" s="137"/>
      <c r="F129" s="137"/>
      <c r="G129" s="137"/>
    </row>
    <row r="130" spans="4:7" x14ac:dyDescent="0.25">
      <c r="D130" s="137"/>
      <c r="E130" s="137"/>
      <c r="F130" s="137"/>
      <c r="G130" s="137"/>
    </row>
    <row r="131" spans="4:7" x14ac:dyDescent="0.25">
      <c r="D131" s="137"/>
      <c r="E131" s="137"/>
      <c r="F131" s="137"/>
      <c r="G131" s="137"/>
    </row>
    <row r="132" spans="4:7" x14ac:dyDescent="0.25">
      <c r="D132" s="137"/>
      <c r="E132" s="137"/>
      <c r="F132" s="137"/>
      <c r="G132" s="137"/>
    </row>
    <row r="133" spans="4:7" x14ac:dyDescent="0.25">
      <c r="D133" s="137"/>
      <c r="E133" s="137"/>
      <c r="F133" s="137"/>
      <c r="G133" s="137"/>
    </row>
    <row r="134" spans="4:7" x14ac:dyDescent="0.25">
      <c r="D134" s="137"/>
      <c r="E134" s="137"/>
      <c r="F134" s="137"/>
      <c r="G134" s="137"/>
    </row>
    <row r="135" spans="4:7" x14ac:dyDescent="0.25">
      <c r="D135" s="137"/>
      <c r="E135" s="137"/>
      <c r="F135" s="137"/>
      <c r="G135" s="137"/>
    </row>
    <row r="136" spans="4:7" x14ac:dyDescent="0.25">
      <c r="D136" s="137"/>
      <c r="E136" s="137"/>
      <c r="F136" s="137"/>
      <c r="G136" s="137"/>
    </row>
    <row r="137" spans="4:7" x14ac:dyDescent="0.25">
      <c r="D137" s="137"/>
      <c r="E137" s="137"/>
      <c r="F137" s="137"/>
      <c r="G137" s="137"/>
    </row>
    <row r="138" spans="4:7" x14ac:dyDescent="0.25">
      <c r="D138" s="137"/>
      <c r="E138" s="137"/>
      <c r="F138" s="137"/>
      <c r="G138" s="137"/>
    </row>
    <row r="139" spans="4:7" x14ac:dyDescent="0.25">
      <c r="D139" s="137"/>
      <c r="E139" s="137"/>
      <c r="F139" s="137"/>
      <c r="G139" s="137"/>
    </row>
    <row r="140" spans="4:7" x14ac:dyDescent="0.25">
      <c r="D140" s="137"/>
      <c r="E140" s="137"/>
      <c r="F140" s="137"/>
      <c r="G140" s="137"/>
    </row>
    <row r="141" spans="4:7" x14ac:dyDescent="0.25">
      <c r="D141" s="137"/>
      <c r="E141" s="137"/>
      <c r="F141" s="137"/>
      <c r="G141" s="137"/>
    </row>
    <row r="142" spans="4:7" x14ac:dyDescent="0.25">
      <c r="D142" s="137"/>
      <c r="E142" s="137"/>
      <c r="F142" s="137"/>
      <c r="G142" s="137"/>
    </row>
    <row r="143" spans="4:7" x14ac:dyDescent="0.25">
      <c r="D143" s="137"/>
      <c r="E143" s="137"/>
      <c r="F143" s="137"/>
      <c r="G143" s="137"/>
    </row>
    <row r="144" spans="4:7" x14ac:dyDescent="0.25">
      <c r="D144" s="137"/>
      <c r="E144" s="137"/>
      <c r="F144" s="137"/>
      <c r="G144" s="137"/>
    </row>
    <row r="145" spans="4:7" x14ac:dyDescent="0.25">
      <c r="D145" s="137"/>
      <c r="E145" s="137"/>
      <c r="F145" s="137"/>
      <c r="G145" s="137"/>
    </row>
    <row r="146" spans="4:7" x14ac:dyDescent="0.25">
      <c r="D146" s="137"/>
      <c r="E146" s="137"/>
      <c r="F146" s="137"/>
      <c r="G146" s="137"/>
    </row>
    <row r="147" spans="4:7" x14ac:dyDescent="0.25">
      <c r="D147" s="137"/>
      <c r="E147" s="137"/>
      <c r="F147" s="137"/>
      <c r="G147" s="137"/>
    </row>
    <row r="148" spans="4:7" x14ac:dyDescent="0.25">
      <c r="D148" s="137"/>
      <c r="E148" s="137"/>
      <c r="F148" s="137"/>
      <c r="G148" s="137"/>
    </row>
    <row r="149" spans="4:7" x14ac:dyDescent="0.25">
      <c r="D149" s="137"/>
      <c r="E149" s="137"/>
      <c r="F149" s="137"/>
      <c r="G149" s="137"/>
    </row>
    <row r="150" spans="4:7" x14ac:dyDescent="0.25">
      <c r="D150" s="137"/>
      <c r="E150" s="137"/>
      <c r="F150" s="137"/>
      <c r="G150" s="137"/>
    </row>
    <row r="151" spans="4:7" x14ac:dyDescent="0.25">
      <c r="D151" s="137"/>
      <c r="E151" s="137"/>
      <c r="F151" s="137"/>
      <c r="G151" s="137"/>
    </row>
    <row r="152" spans="4:7" x14ac:dyDescent="0.25">
      <c r="D152" s="137"/>
      <c r="E152" s="137"/>
      <c r="F152" s="137"/>
      <c r="G152" s="137"/>
    </row>
    <row r="153" spans="4:7" x14ac:dyDescent="0.25">
      <c r="D153" s="137"/>
      <c r="E153" s="137"/>
      <c r="F153" s="137"/>
      <c r="G153" s="137"/>
    </row>
    <row r="154" spans="4:7" x14ac:dyDescent="0.25">
      <c r="D154" s="137"/>
      <c r="E154" s="137"/>
      <c r="F154" s="137"/>
      <c r="G154" s="137"/>
    </row>
    <row r="155" spans="4:7" x14ac:dyDescent="0.25">
      <c r="D155" s="137"/>
      <c r="E155" s="137"/>
      <c r="F155" s="137"/>
      <c r="G155" s="137"/>
    </row>
    <row r="156" spans="4:7" x14ac:dyDescent="0.25">
      <c r="D156" s="137"/>
      <c r="E156" s="137"/>
      <c r="F156" s="137"/>
      <c r="G156" s="137"/>
    </row>
    <row r="157" spans="4:7" x14ac:dyDescent="0.25">
      <c r="D157" s="137"/>
      <c r="E157" s="137"/>
      <c r="F157" s="137"/>
      <c r="G157" s="137"/>
    </row>
    <row r="158" spans="4:7" x14ac:dyDescent="0.25">
      <c r="D158" s="137"/>
      <c r="E158" s="137"/>
      <c r="F158" s="137"/>
      <c r="G158" s="137"/>
    </row>
    <row r="159" spans="4:7" x14ac:dyDescent="0.25">
      <c r="D159" s="137"/>
      <c r="E159" s="137"/>
      <c r="F159" s="137"/>
      <c r="G159" s="137"/>
    </row>
    <row r="160" spans="4:7" x14ac:dyDescent="0.25">
      <c r="D160" s="137"/>
      <c r="E160" s="137"/>
      <c r="F160" s="137"/>
      <c r="G160" s="137"/>
    </row>
    <row r="161" spans="4:7" x14ac:dyDescent="0.25">
      <c r="D161" s="137"/>
      <c r="E161" s="137"/>
      <c r="F161" s="137"/>
      <c r="G161" s="137"/>
    </row>
    <row r="162" spans="4:7" x14ac:dyDescent="0.25">
      <c r="D162" s="137"/>
      <c r="E162" s="137"/>
      <c r="F162" s="137"/>
      <c r="G162" s="137"/>
    </row>
    <row r="163" spans="4:7" x14ac:dyDescent="0.25">
      <c r="D163" s="137"/>
      <c r="E163" s="137"/>
      <c r="F163" s="137"/>
      <c r="G163" s="137"/>
    </row>
    <row r="164" spans="4:7" x14ac:dyDescent="0.25">
      <c r="D164" s="137"/>
      <c r="E164" s="137"/>
      <c r="F164" s="137"/>
      <c r="G164" s="137"/>
    </row>
    <row r="165" spans="4:7" x14ac:dyDescent="0.25">
      <c r="D165" s="137"/>
      <c r="E165" s="137"/>
      <c r="F165" s="137"/>
      <c r="G165" s="137"/>
    </row>
    <row r="166" spans="4:7" x14ac:dyDescent="0.25">
      <c r="D166" s="137"/>
      <c r="E166" s="137"/>
      <c r="F166" s="137"/>
      <c r="G166" s="137"/>
    </row>
    <row r="167" spans="4:7" x14ac:dyDescent="0.25">
      <c r="D167" s="137"/>
      <c r="E167" s="137"/>
      <c r="F167" s="137"/>
      <c r="G167" s="137"/>
    </row>
    <row r="168" spans="4:7" x14ac:dyDescent="0.25">
      <c r="D168" s="137"/>
      <c r="E168" s="137"/>
      <c r="F168" s="137"/>
      <c r="G168" s="137"/>
    </row>
    <row r="169" spans="4:7" x14ac:dyDescent="0.25">
      <c r="D169" s="137"/>
      <c r="E169" s="137"/>
      <c r="F169" s="137"/>
      <c r="G169" s="137"/>
    </row>
    <row r="170" spans="4:7" x14ac:dyDescent="0.25">
      <c r="D170" s="137"/>
      <c r="E170" s="137"/>
      <c r="F170" s="137"/>
      <c r="G170" s="137"/>
    </row>
    <row r="171" spans="4:7" x14ac:dyDescent="0.25">
      <c r="D171" s="137"/>
      <c r="E171" s="137"/>
      <c r="F171" s="137"/>
      <c r="G171" s="137"/>
    </row>
    <row r="172" spans="4:7" x14ac:dyDescent="0.25">
      <c r="D172" s="137"/>
      <c r="E172" s="137"/>
      <c r="F172" s="137"/>
      <c r="G172" s="137"/>
    </row>
    <row r="173" spans="4:7" x14ac:dyDescent="0.25">
      <c r="D173" s="137"/>
      <c r="E173" s="137"/>
      <c r="F173" s="137"/>
      <c r="G173" s="137"/>
    </row>
    <row r="174" spans="4:7" x14ac:dyDescent="0.25">
      <c r="D174" s="137"/>
      <c r="E174" s="137"/>
      <c r="F174" s="137"/>
      <c r="G174" s="137"/>
    </row>
    <row r="175" spans="4:7" x14ac:dyDescent="0.25">
      <c r="D175" s="137"/>
      <c r="E175" s="137"/>
      <c r="F175" s="137"/>
      <c r="G175" s="137"/>
    </row>
    <row r="176" spans="4:7" x14ac:dyDescent="0.25">
      <c r="D176" s="137"/>
      <c r="E176" s="137"/>
      <c r="F176" s="137"/>
      <c r="G176" s="137"/>
    </row>
    <row r="177" spans="4:7" x14ac:dyDescent="0.25">
      <c r="D177" s="137"/>
      <c r="E177" s="137"/>
      <c r="F177" s="137"/>
      <c r="G177" s="137"/>
    </row>
    <row r="178" spans="4:7" x14ac:dyDescent="0.25">
      <c r="D178" s="137"/>
      <c r="E178" s="137"/>
      <c r="F178" s="137"/>
      <c r="G178" s="137"/>
    </row>
    <row r="179" spans="4:7" x14ac:dyDescent="0.25">
      <c r="D179" s="137"/>
      <c r="E179" s="137"/>
      <c r="F179" s="137"/>
      <c r="G179" s="137"/>
    </row>
    <row r="180" spans="4:7" x14ac:dyDescent="0.25">
      <c r="D180" s="137"/>
      <c r="E180" s="137"/>
      <c r="F180" s="137"/>
      <c r="G180" s="137"/>
    </row>
    <row r="181" spans="4:7" x14ac:dyDescent="0.25">
      <c r="D181" s="137"/>
      <c r="E181" s="137"/>
      <c r="F181" s="137"/>
      <c r="G181" s="137"/>
    </row>
    <row r="182" spans="4:7" x14ac:dyDescent="0.25">
      <c r="D182" s="137"/>
      <c r="E182" s="137"/>
      <c r="F182" s="137"/>
      <c r="G182" s="137"/>
    </row>
    <row r="183" spans="4:7" x14ac:dyDescent="0.25">
      <c r="D183" s="137"/>
      <c r="E183" s="137"/>
      <c r="F183" s="137"/>
      <c r="G183" s="137"/>
    </row>
    <row r="184" spans="4:7" x14ac:dyDescent="0.25">
      <c r="D184" s="137"/>
      <c r="E184" s="137"/>
      <c r="F184" s="137"/>
      <c r="G184" s="137"/>
    </row>
    <row r="185" spans="4:7" x14ac:dyDescent="0.25">
      <c r="D185" s="137"/>
      <c r="E185" s="137"/>
      <c r="F185" s="137"/>
      <c r="G185" s="137"/>
    </row>
  </sheetData>
  <sheetProtection sheet="1" objects="1" scenarios="1"/>
  <mergeCells count="11">
    <mergeCell ref="D68:F68"/>
    <mergeCell ref="D89:F89"/>
    <mergeCell ref="D100:F100"/>
    <mergeCell ref="D99:F99"/>
    <mergeCell ref="D88:F88"/>
    <mergeCell ref="I2:I4"/>
    <mergeCell ref="K2:L2"/>
    <mergeCell ref="A2:A4"/>
    <mergeCell ref="B2:B4"/>
    <mergeCell ref="C2:C4"/>
    <mergeCell ref="D2:H2"/>
  </mergeCells>
  <hyperlinks>
    <hyperlink ref="E63" r:id="rId1" xr:uid="{00000000-0004-0000-0800-000000000000}"/>
  </hyperlinks>
  <pageMargins left="0.7" right="0.7" top="0.75" bottom="0.75" header="0.3" footer="0.3"/>
  <pageSetup orientation="portrait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20"/>
  <sheetViews>
    <sheetView workbookViewId="0">
      <selection activeCell="E18" sqref="E18"/>
    </sheetView>
  </sheetViews>
  <sheetFormatPr defaultRowHeight="13.8" x14ac:dyDescent="0.25"/>
  <cols>
    <col min="1" max="1" width="13.8984375" customWidth="1"/>
    <col min="2" max="2" width="5.8984375" customWidth="1"/>
    <col min="3" max="3" width="18.09765625" customWidth="1"/>
    <col min="4" max="4" width="12.3984375" customWidth="1"/>
    <col min="5" max="5" width="74.09765625" customWidth="1"/>
    <col min="6" max="6" width="20.296875" hidden="1" customWidth="1"/>
  </cols>
  <sheetData>
    <row r="1" spans="1:6" x14ac:dyDescent="0.25">
      <c r="A1" s="550" t="s">
        <v>244</v>
      </c>
      <c r="B1" s="550"/>
      <c r="C1" s="550"/>
      <c r="D1" s="550"/>
      <c r="E1" s="550"/>
      <c r="F1" s="550"/>
    </row>
    <row r="2" spans="1:6" x14ac:dyDescent="0.25">
      <c r="A2" s="198" t="s">
        <v>30</v>
      </c>
      <c r="B2" s="198" t="s">
        <v>245</v>
      </c>
      <c r="C2" s="198" t="s">
        <v>246</v>
      </c>
      <c r="D2" s="198" t="s">
        <v>247</v>
      </c>
      <c r="E2" s="198" t="s">
        <v>248</v>
      </c>
      <c r="F2" s="198" t="s">
        <v>249</v>
      </c>
    </row>
    <row r="3" spans="1:6" x14ac:dyDescent="0.25">
      <c r="A3" s="198"/>
      <c r="B3" s="198"/>
      <c r="C3" s="198"/>
      <c r="D3" s="198"/>
      <c r="E3" s="198"/>
      <c r="F3" s="198"/>
    </row>
    <row r="4" spans="1:6" x14ac:dyDescent="0.25">
      <c r="A4" s="122">
        <v>241864</v>
      </c>
      <c r="B4" s="198">
        <v>1</v>
      </c>
      <c r="C4" s="198" t="s">
        <v>250</v>
      </c>
      <c r="D4" s="198" t="s">
        <v>251</v>
      </c>
      <c r="E4" s="123" t="s">
        <v>252</v>
      </c>
      <c r="F4" s="198" t="s">
        <v>253</v>
      </c>
    </row>
    <row r="5" spans="1:6" x14ac:dyDescent="0.25">
      <c r="A5" s="122">
        <v>241864</v>
      </c>
      <c r="B5" s="198">
        <v>2</v>
      </c>
      <c r="C5" s="198" t="s">
        <v>135</v>
      </c>
      <c r="D5" s="198" t="s">
        <v>254</v>
      </c>
      <c r="E5" s="123" t="s">
        <v>255</v>
      </c>
      <c r="F5" s="198" t="s">
        <v>253</v>
      </c>
    </row>
    <row r="6" spans="1:6" x14ac:dyDescent="0.25">
      <c r="A6" s="122">
        <v>241864</v>
      </c>
      <c r="B6" s="198">
        <v>3</v>
      </c>
      <c r="C6" s="198" t="s">
        <v>135</v>
      </c>
      <c r="D6" s="198" t="s">
        <v>256</v>
      </c>
      <c r="E6" s="123" t="s">
        <v>257</v>
      </c>
      <c r="F6" s="198" t="s">
        <v>253</v>
      </c>
    </row>
    <row r="7" spans="1:6" x14ac:dyDescent="0.25">
      <c r="A7" s="122">
        <v>241864</v>
      </c>
      <c r="B7" s="126">
        <v>4</v>
      </c>
      <c r="C7" s="198" t="s">
        <v>258</v>
      </c>
      <c r="D7" s="2"/>
      <c r="E7" s="2" t="s">
        <v>259</v>
      </c>
      <c r="F7" s="198" t="s">
        <v>253</v>
      </c>
    </row>
    <row r="8" spans="1:6" x14ac:dyDescent="0.25">
      <c r="A8" s="122">
        <v>242229</v>
      </c>
      <c r="B8" s="126">
        <v>5</v>
      </c>
      <c r="C8" s="198" t="s">
        <v>258</v>
      </c>
      <c r="D8" s="2"/>
      <c r="E8" s="123" t="s">
        <v>260</v>
      </c>
      <c r="F8" s="198" t="s">
        <v>253</v>
      </c>
    </row>
    <row r="9" spans="1:6" x14ac:dyDescent="0.25">
      <c r="A9" s="122">
        <v>242229</v>
      </c>
      <c r="B9" s="126">
        <v>6</v>
      </c>
      <c r="C9" s="198" t="s">
        <v>250</v>
      </c>
      <c r="D9" s="2"/>
      <c r="E9" s="123" t="s">
        <v>261</v>
      </c>
      <c r="F9" s="198" t="s">
        <v>253</v>
      </c>
    </row>
    <row r="10" spans="1:6" x14ac:dyDescent="0.25">
      <c r="A10" s="122">
        <v>242355</v>
      </c>
      <c r="B10" s="126">
        <v>7</v>
      </c>
      <c r="C10" s="198" t="s">
        <v>135</v>
      </c>
      <c r="D10" s="2"/>
      <c r="E10" s="123" t="s">
        <v>262</v>
      </c>
      <c r="F10" s="198" t="s">
        <v>253</v>
      </c>
    </row>
    <row r="11" spans="1:6" x14ac:dyDescent="0.25">
      <c r="A11" s="122">
        <v>242433</v>
      </c>
      <c r="B11" s="126">
        <v>8</v>
      </c>
      <c r="C11" s="198" t="s">
        <v>258</v>
      </c>
      <c r="D11" s="2"/>
      <c r="E11" s="123" t="s">
        <v>263</v>
      </c>
      <c r="F11" s="198" t="s">
        <v>253</v>
      </c>
    </row>
    <row r="12" spans="1:6" x14ac:dyDescent="0.25">
      <c r="A12" s="122">
        <v>242433</v>
      </c>
      <c r="B12" s="126">
        <v>9</v>
      </c>
      <c r="C12" s="198" t="s">
        <v>264</v>
      </c>
      <c r="D12" s="2"/>
      <c r="E12" s="123" t="s">
        <v>265</v>
      </c>
      <c r="F12" s="198" t="s">
        <v>253</v>
      </c>
    </row>
    <row r="13" spans="1:6" x14ac:dyDescent="0.25">
      <c r="A13" s="122">
        <v>242783</v>
      </c>
      <c r="B13" s="126">
        <v>10</v>
      </c>
      <c r="C13" s="198" t="s">
        <v>266</v>
      </c>
      <c r="D13" s="2"/>
      <c r="E13" s="123" t="s">
        <v>267</v>
      </c>
      <c r="F13" s="198" t="s">
        <v>253</v>
      </c>
    </row>
    <row r="14" spans="1:6" x14ac:dyDescent="0.25">
      <c r="A14" s="122">
        <v>242783</v>
      </c>
      <c r="B14" s="126">
        <v>11</v>
      </c>
      <c r="C14" s="198" t="s">
        <v>268</v>
      </c>
      <c r="D14" s="2"/>
      <c r="E14" s="123" t="s">
        <v>269</v>
      </c>
      <c r="F14" s="198" t="s">
        <v>253</v>
      </c>
    </row>
    <row r="15" spans="1:6" x14ac:dyDescent="0.25">
      <c r="A15" s="122">
        <v>242783</v>
      </c>
      <c r="B15" s="126">
        <v>12</v>
      </c>
      <c r="C15" s="198" t="s">
        <v>270</v>
      </c>
      <c r="D15" s="2"/>
      <c r="E15" s="123" t="s">
        <v>271</v>
      </c>
      <c r="F15" s="198" t="s">
        <v>253</v>
      </c>
    </row>
    <row r="16" spans="1:6" x14ac:dyDescent="0.25">
      <c r="A16" s="122">
        <v>242879</v>
      </c>
      <c r="B16" s="126">
        <v>13</v>
      </c>
      <c r="C16" s="198" t="s">
        <v>268</v>
      </c>
      <c r="D16" s="2"/>
      <c r="E16" s="123" t="s">
        <v>272</v>
      </c>
      <c r="F16" s="198" t="s">
        <v>253</v>
      </c>
    </row>
    <row r="17" spans="1:6" x14ac:dyDescent="0.25">
      <c r="A17" s="122">
        <v>242879</v>
      </c>
      <c r="B17" s="126">
        <v>14</v>
      </c>
      <c r="C17" s="198" t="s">
        <v>80</v>
      </c>
      <c r="D17" s="2"/>
      <c r="E17" s="123" t="s">
        <v>273</v>
      </c>
      <c r="F17" s="198" t="s">
        <v>253</v>
      </c>
    </row>
    <row r="18" spans="1:6" x14ac:dyDescent="0.25">
      <c r="A18" s="122">
        <v>243016</v>
      </c>
      <c r="B18" s="126">
        <v>15</v>
      </c>
      <c r="C18" s="198" t="s">
        <v>80</v>
      </c>
      <c r="D18" s="2"/>
      <c r="E18" s="123" t="s">
        <v>274</v>
      </c>
      <c r="F18" s="198" t="s">
        <v>253</v>
      </c>
    </row>
    <row r="19" spans="1:6" x14ac:dyDescent="0.25">
      <c r="A19" s="122">
        <v>243016</v>
      </c>
      <c r="B19" s="126">
        <v>16</v>
      </c>
      <c r="C19" s="198" t="s">
        <v>80</v>
      </c>
      <c r="D19" s="2"/>
      <c r="E19" s="123" t="s">
        <v>274</v>
      </c>
      <c r="F19" s="198" t="s">
        <v>253</v>
      </c>
    </row>
    <row r="20" spans="1:6" x14ac:dyDescent="0.25">
      <c r="A20" s="122">
        <v>243016</v>
      </c>
      <c r="B20" s="126">
        <v>17</v>
      </c>
      <c r="C20" s="198" t="s">
        <v>268</v>
      </c>
      <c r="D20" s="2"/>
      <c r="E20" s="123" t="s">
        <v>274</v>
      </c>
      <c r="F20" s="198" t="s">
        <v>253</v>
      </c>
    </row>
  </sheetData>
  <sheetProtection sheet="1" objects="1" scenarios="1"/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X1"/>
  <sheetViews>
    <sheetView workbookViewId="0"/>
  </sheetViews>
  <sheetFormatPr defaultRowHeight="13.8" x14ac:dyDescent="0.25"/>
  <sheetData>
    <row r="1" spans="1:24" x14ac:dyDescent="0.25">
      <c r="A1" t="s">
        <v>275</v>
      </c>
      <c r="B1" t="s">
        <v>276</v>
      </c>
      <c r="C1" t="s">
        <v>277</v>
      </c>
      <c r="D1" t="s">
        <v>278</v>
      </c>
      <c r="E1" t="s">
        <v>279</v>
      </c>
      <c r="F1" t="s">
        <v>280</v>
      </c>
      <c r="G1" t="s">
        <v>281</v>
      </c>
      <c r="H1" t="s">
        <v>282</v>
      </c>
      <c r="I1" t="s">
        <v>283</v>
      </c>
      <c r="J1" t="s">
        <v>284</v>
      </c>
      <c r="K1" t="s">
        <v>285</v>
      </c>
      <c r="L1" t="s">
        <v>286</v>
      </c>
      <c r="M1" t="s">
        <v>287</v>
      </c>
      <c r="N1" t="s">
        <v>288</v>
      </c>
      <c r="O1" t="s">
        <v>289</v>
      </c>
      <c r="P1" t="s">
        <v>290</v>
      </c>
      <c r="Q1" t="s">
        <v>291</v>
      </c>
      <c r="R1" t="s">
        <v>292</v>
      </c>
      <c r="S1" t="s">
        <v>293</v>
      </c>
      <c r="T1" t="s">
        <v>294</v>
      </c>
      <c r="U1" t="s">
        <v>295</v>
      </c>
      <c r="V1" t="s">
        <v>296</v>
      </c>
      <c r="W1" t="s">
        <v>297</v>
      </c>
      <c r="X1" t="s">
        <v>298</v>
      </c>
    </row>
  </sheetData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B1"/>
  <sheetViews>
    <sheetView workbookViewId="0"/>
  </sheetViews>
  <sheetFormatPr defaultRowHeight="13.8" x14ac:dyDescent="0.25"/>
  <sheetData>
    <row r="1" spans="1:2" x14ac:dyDescent="0.25">
      <c r="A1" t="s">
        <v>275</v>
      </c>
      <c r="B1" t="s">
        <v>299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Fr-01</vt:lpstr>
      <vt:lpstr>Fr-02</vt:lpstr>
      <vt:lpstr>Fr-03.1</vt:lpstr>
      <vt:lpstr>Fr-03.2</vt:lpstr>
      <vt:lpstr>Fr-04.1</vt:lpstr>
      <vt:lpstr>Fr-04.2</vt:lpstr>
      <vt:lpstr>Fr-05</vt:lpstr>
      <vt:lpstr>EF TGO AR4</vt:lpstr>
      <vt:lpstr>EF TGO AR5</vt:lpstr>
      <vt:lpstr>บันทึกการปรับปรุง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Natanee Vorayos</dc:creator>
  <cp:keywords/>
  <dc:description/>
  <cp:lastModifiedBy>Toranong Kiriwong</cp:lastModifiedBy>
  <dcterms:created xsi:type="dcterms:W3CDTF">2016-07-25T18:04:14Z</dcterms:created>
  <dcterms:modified xsi:type="dcterms:W3CDTF">2026-01-19T03:52:46Z</dcterms:modified>
  <cp:category/>
</cp:coreProperties>
</file>