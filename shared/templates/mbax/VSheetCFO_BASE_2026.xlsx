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thada\Downloads\"/>
    </mc:Choice>
  </mc:AlternateContent>
  <xr:revisionPtr revIDLastSave="0" documentId="13_ncr:1_{624306E8-2C05-45BA-9BBB-4E7D726496B6}" xr6:coauthVersionLast="36" xr6:coauthVersionMax="47" xr10:uidLastSave="{00000000-0000-0000-0000-000000000000}"/>
  <bookViews>
    <workbookView xWindow="19200" yWindow="855" windowWidth="19200" windowHeight="22305" xr2:uid="{73E56980-47DE-F042-A5A5-C77068151804}"/>
  </bookViews>
  <sheets>
    <sheet name="Fr-01" sheetId="10" r:id="rId1"/>
    <sheet name="Fr-02" sheetId="9" r:id="rId2"/>
    <sheet name="Fr-03.1" sheetId="3" r:id="rId3"/>
    <sheet name="Fr-03.2" sheetId="16" r:id="rId4"/>
    <sheet name="Fr-04.1" sheetId="1" r:id="rId5"/>
    <sheet name="Fr-04.2" sheetId="15" r:id="rId6"/>
    <sheet name="Fr-05" sheetId="6" r:id="rId7"/>
    <sheet name="EF TGO AR4" sheetId="13" state="hidden" r:id="rId8"/>
    <sheet name="EF TGO AR5 V2" sheetId="18" r:id="rId9"/>
    <sheet name="EF TGO AR5" sheetId="14" state="hidden" r:id="rId10"/>
    <sheet name="บันทึกการปรับปรุง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0" localSheetId="8">#REF!</definedName>
    <definedName name="\0">#REF!</definedName>
    <definedName name="\a" localSheetId="8">#REF!</definedName>
    <definedName name="\a">#REF!</definedName>
    <definedName name="\b" localSheetId="8">#REF!</definedName>
    <definedName name="\b">#REF!</definedName>
    <definedName name="\c" localSheetId="8">#REF!</definedName>
    <definedName name="\c">#REF!</definedName>
    <definedName name="\d" localSheetId="8">#REF!</definedName>
    <definedName name="\d">#REF!</definedName>
    <definedName name="\e" localSheetId="8">#REF!</definedName>
    <definedName name="\e">#REF!</definedName>
    <definedName name="\f" localSheetId="8">#REF!</definedName>
    <definedName name="\f">#REF!</definedName>
    <definedName name="\g" localSheetId="8">#REF!</definedName>
    <definedName name="\g">#REF!</definedName>
    <definedName name="\h" localSheetId="8">#REF!</definedName>
    <definedName name="\h">#REF!</definedName>
    <definedName name="\i" localSheetId="8">#REF!</definedName>
    <definedName name="\i">#REF!</definedName>
    <definedName name="\j" localSheetId="8">#REF!</definedName>
    <definedName name="\j">#REF!</definedName>
    <definedName name="\k">#REF!</definedName>
    <definedName name="\l">#REF!</definedName>
    <definedName name="\n">#REF!</definedName>
    <definedName name="\p" localSheetId="8">#REF!</definedName>
    <definedName name="\p">#REF!</definedName>
    <definedName name="\s" localSheetId="8">#REF!</definedName>
    <definedName name="\s">#REF!</definedName>
    <definedName name="\t">#REF!</definedName>
    <definedName name="\v">#REF!</definedName>
    <definedName name="\w">#REF!</definedName>
    <definedName name="\x" localSheetId="8">#REF!</definedName>
    <definedName name="\x">#REF!</definedName>
    <definedName name="\z" localSheetId="8">#REF!</definedName>
    <definedName name="\z">#REF!</definedName>
    <definedName name="____________D65590">'[1]YieldFISH 2 10-16.10.53'!#REF!</definedName>
    <definedName name="___________D65590">'[2]YieldFISH 2 10-16.10.53'!#REF!</definedName>
    <definedName name="__________D65590">'[1]YieldFISH 2 10-16.10.53'!#REF!</definedName>
    <definedName name="_________C65550">#REF!</definedName>
    <definedName name="_________C65590">#REF!</definedName>
    <definedName name="_________C65690">#REF!</definedName>
    <definedName name="_________C68800">#REF!</definedName>
    <definedName name="_________C69000">#REF!</definedName>
    <definedName name="_________C75500">#REF!</definedName>
    <definedName name="_________C80500">#REF!</definedName>
    <definedName name="_________D65590">'[2]YieldFISH 2 10-16.10.53'!#REF!</definedName>
    <definedName name="_________lt04" hidden="1">#REF!</definedName>
    <definedName name="________C65550">#REF!</definedName>
    <definedName name="________C65590">#REF!</definedName>
    <definedName name="________C65690">#REF!</definedName>
    <definedName name="________C68800">#REF!</definedName>
    <definedName name="________C69000">#REF!</definedName>
    <definedName name="________C75500">#REF!</definedName>
    <definedName name="________C80500">#REF!</definedName>
    <definedName name="________D65590">'[1]YieldFISH 2 10-16.10.53'!#REF!</definedName>
    <definedName name="________l1" localSheetId="8" hidden="1">{#N/A,#N/A,FALSE,"Eff-SSC2"}</definedName>
    <definedName name="________l1" hidden="1">{#N/A,#N/A,FALSE,"Eff-SSC2"}</definedName>
    <definedName name="________nes254" localSheetId="8" hidden="1">{#N/A,#N/A,FALSE,"Eff-SSC2"}</definedName>
    <definedName name="________nes254" hidden="1">{#N/A,#N/A,FALSE,"Eff-SSC2"}</definedName>
    <definedName name="________NHR1">#REF!</definedName>
    <definedName name="________obj05">#REF!</definedName>
    <definedName name="________pp2" localSheetId="8" hidden="1">{#N/A,#N/A,FALSE,"Eff-SSC2"}</definedName>
    <definedName name="________pp2" hidden="1">{#N/A,#N/A,FALSE,"Eff-SSC2"}</definedName>
    <definedName name="________rm1">#REF!</definedName>
    <definedName name="________W37" localSheetId="8" hidden="1">{#N/A,#N/A,FALSE,"Eff-SSC2"}</definedName>
    <definedName name="________W37" hidden="1">{#N/A,#N/A,FALSE,"Eff-SSC2"}</definedName>
    <definedName name="________w39" localSheetId="8" hidden="1">{#N/A,#N/A,FALSE,"Eff-SSC2"}</definedName>
    <definedName name="________w39" hidden="1">{#N/A,#N/A,FALSE,"Eff-SSC2"}</definedName>
    <definedName name="_______C65550">#REF!</definedName>
    <definedName name="_______C65590">#REF!</definedName>
    <definedName name="_______C65690">#REF!</definedName>
    <definedName name="_______C68800">#REF!</definedName>
    <definedName name="_______C69000">#REF!</definedName>
    <definedName name="_______C75500">#REF!</definedName>
    <definedName name="_______C80500">#REF!</definedName>
    <definedName name="_______D65590">'[2]YieldFISH 2 10-16.10.53'!#REF!</definedName>
    <definedName name="_______l1" localSheetId="8" hidden="1">{#N/A,#N/A,FALSE,"Eff-SSC2"}</definedName>
    <definedName name="_______l1" hidden="1">{#N/A,#N/A,FALSE,"Eff-SSC2"}</definedName>
    <definedName name="_______lt04" hidden="1">#REF!</definedName>
    <definedName name="_______nes254" localSheetId="8" hidden="1">{#N/A,#N/A,FALSE,"Eff-SSC2"}</definedName>
    <definedName name="_______nes254" hidden="1">{#N/A,#N/A,FALSE,"Eff-SSC2"}</definedName>
    <definedName name="_______NHR1">#REF!</definedName>
    <definedName name="_______obj05">#REF!</definedName>
    <definedName name="_______OBJ2005">#REF!</definedName>
    <definedName name="_______pp2" localSheetId="8" hidden="1">{#N/A,#N/A,FALSE,"Eff-SSC2"}</definedName>
    <definedName name="_______pp2" hidden="1">{#N/A,#N/A,FALSE,"Eff-SSC2"}</definedName>
    <definedName name="_______rm1">#REF!</definedName>
    <definedName name="_______W37" localSheetId="8" hidden="1">{#N/A,#N/A,FALSE,"Eff-SSC2"}</definedName>
    <definedName name="_______W37" hidden="1">{#N/A,#N/A,FALSE,"Eff-SSC2"}</definedName>
    <definedName name="_______W38" localSheetId="8" hidden="1">{#N/A,#N/A,FALSE,"Eff-SSC2"}</definedName>
    <definedName name="_______W38" hidden="1">{#N/A,#N/A,FALSE,"Eff-SSC2"}</definedName>
    <definedName name="_______w39" localSheetId="8" hidden="1">{#N/A,#N/A,FALSE,"Eff-SSC2"}</definedName>
    <definedName name="_______w39" hidden="1">{#N/A,#N/A,FALSE,"Eff-SSC2"}</definedName>
    <definedName name="______C65550">#REF!</definedName>
    <definedName name="______C65590">#REF!</definedName>
    <definedName name="______C65690">#REF!</definedName>
    <definedName name="______C68800">#REF!</definedName>
    <definedName name="______C69000">#REF!</definedName>
    <definedName name="______C75500">#REF!</definedName>
    <definedName name="______C80500">#REF!</definedName>
    <definedName name="______D65590">'[3]YieldFISH 2 10-16.10.53'!#REF!</definedName>
    <definedName name="______l1" localSheetId="8" hidden="1">{#N/A,#N/A,FALSE,"Eff-SSC2"}</definedName>
    <definedName name="______l1" hidden="1">{#N/A,#N/A,FALSE,"Eff-SSC2"}</definedName>
    <definedName name="______lt04" hidden="1">#REF!</definedName>
    <definedName name="______nes123" localSheetId="8" hidden="1">{#N/A,#N/A,FALSE,"Eff-SSC2"}</definedName>
    <definedName name="______nes123" hidden="1">{#N/A,#N/A,FALSE,"Eff-SSC2"}</definedName>
    <definedName name="______nes254" localSheetId="8" hidden="1">{#N/A,#N/A,FALSE,"Eff-SSC2"}</definedName>
    <definedName name="______nes254" hidden="1">{#N/A,#N/A,FALSE,"Eff-SSC2"}</definedName>
    <definedName name="______NHR1">#REF!</definedName>
    <definedName name="______obj05">#REF!</definedName>
    <definedName name="______OBJ2005">#REF!</definedName>
    <definedName name="______pp2" localSheetId="8" hidden="1">{#N/A,#N/A,FALSE,"Eff-SSC2"}</definedName>
    <definedName name="______pp2" hidden="1">{#N/A,#N/A,FALSE,"Eff-SSC2"}</definedName>
    <definedName name="______rm1">#REF!</definedName>
    <definedName name="______W37" localSheetId="8" hidden="1">{#N/A,#N/A,FALSE,"Eff-SSC2"}</definedName>
    <definedName name="______W37" hidden="1">{#N/A,#N/A,FALSE,"Eff-SSC2"}</definedName>
    <definedName name="______W38" localSheetId="8" hidden="1">{#N/A,#N/A,FALSE,"Eff-SSC2"}</definedName>
    <definedName name="______W38" hidden="1">{#N/A,#N/A,FALSE,"Eff-SSC2"}</definedName>
    <definedName name="______w39" localSheetId="8" hidden="1">{#N/A,#N/A,FALSE,"Eff-SSC2"}</definedName>
    <definedName name="______w39" hidden="1">{#N/A,#N/A,FALSE,"Eff-SSC2"}</definedName>
    <definedName name="______w40" localSheetId="8" hidden="1">{#N/A,#N/A,FALSE,"Eff-SSC2"}</definedName>
    <definedName name="______w40" hidden="1">{#N/A,#N/A,FALSE,"Eff-SSC2"}</definedName>
    <definedName name="______w6" localSheetId="8" hidden="1">{#N/A,#N/A,FALSE,"Eff-SSC2"}</definedName>
    <definedName name="______w6" hidden="1">{#N/A,#N/A,FALSE,"Eff-SSC2"}</definedName>
    <definedName name="______wee2" localSheetId="8" hidden="1">{#N/A,#N/A,FALSE,"Eff-SSC2"}</definedName>
    <definedName name="______wee2" hidden="1">{#N/A,#N/A,FALSE,"Eff-SSC2"}</definedName>
    <definedName name="_____C65550">#REF!</definedName>
    <definedName name="_____C65590">#REF!</definedName>
    <definedName name="_____C65690">#REF!</definedName>
    <definedName name="_____C68800">#REF!</definedName>
    <definedName name="_____C69000">#REF!</definedName>
    <definedName name="_____C75500">#REF!</definedName>
    <definedName name="_____C80500">#REF!</definedName>
    <definedName name="_____D65590">'[3]YieldFISH 2 10-16.10.53'!#REF!</definedName>
    <definedName name="_____l1" localSheetId="8" hidden="1">{#N/A,#N/A,FALSE,"Eff-SSC2"}</definedName>
    <definedName name="_____l1" hidden="1">{#N/A,#N/A,FALSE,"Eff-SSC2"}</definedName>
    <definedName name="_____lt04" hidden="1">#REF!</definedName>
    <definedName name="_____nes254" localSheetId="8" hidden="1">{#N/A,#N/A,FALSE,"Eff-SSC2"}</definedName>
    <definedName name="_____nes254" hidden="1">{#N/A,#N/A,FALSE,"Eff-SSC2"}</definedName>
    <definedName name="_____NHR1">#REF!</definedName>
    <definedName name="_____obj05">#REF!</definedName>
    <definedName name="_____OBJ2005">#REF!</definedName>
    <definedName name="_____Pcs05">#N/A</definedName>
    <definedName name="_____Pcs06">#N/A</definedName>
    <definedName name="_____Pcs07">#N/A</definedName>
    <definedName name="_____Pcs08">#N/A</definedName>
    <definedName name="_____pp2" localSheetId="8" hidden="1">{#N/A,#N/A,FALSE,"Eff-SSC2"}</definedName>
    <definedName name="_____pp2" hidden="1">{#N/A,#N/A,FALSE,"Eff-SSC2"}</definedName>
    <definedName name="_____rm1">#REF!</definedName>
    <definedName name="_____SSC2">#N/A</definedName>
    <definedName name="_____W37" localSheetId="8" hidden="1">{#N/A,#N/A,FALSE,"Eff-SSC2"}</definedName>
    <definedName name="_____W37" hidden="1">{#N/A,#N/A,FALSE,"Eff-SSC2"}</definedName>
    <definedName name="_____W38" localSheetId="8" hidden="1">{#N/A,#N/A,FALSE,"Eff-SSC2"}</definedName>
    <definedName name="_____W38" hidden="1">{#N/A,#N/A,FALSE,"Eff-SSC2"}</definedName>
    <definedName name="_____w39" localSheetId="8" hidden="1">{#N/A,#N/A,FALSE,"Eff-SSC2"}</definedName>
    <definedName name="_____w39" hidden="1">{#N/A,#N/A,FALSE,"Eff-SSC2"}</definedName>
    <definedName name="____C65550">#REF!</definedName>
    <definedName name="____C65590">#REF!</definedName>
    <definedName name="____C65690">#REF!</definedName>
    <definedName name="____C68800">#REF!</definedName>
    <definedName name="____C69000">#REF!</definedName>
    <definedName name="____C75500">#REF!</definedName>
    <definedName name="____C80500">#REF!</definedName>
    <definedName name="____D65590">'[3]YieldFISH 2 10-16.10.53'!#REF!</definedName>
    <definedName name="____nes123" localSheetId="8" hidden="1">{#N/A,#N/A,FALSE,"Eff-SSC2"}</definedName>
    <definedName name="____nes123" hidden="1">{#N/A,#N/A,FALSE,"Eff-SSC2"}</definedName>
    <definedName name="____OBJ2005">#REF!</definedName>
    <definedName name="____Pcs05">#N/A</definedName>
    <definedName name="____Pcs06">#N/A</definedName>
    <definedName name="____Pcs07">#N/A</definedName>
    <definedName name="____Pcs08">#N/A</definedName>
    <definedName name="____SSC2">#N/A</definedName>
    <definedName name="____W38" localSheetId="8" hidden="1">{#N/A,#N/A,FALSE,"Eff-SSC2"}</definedName>
    <definedName name="____W38" hidden="1">{#N/A,#N/A,FALSE,"Eff-SSC2"}</definedName>
    <definedName name="____w40" localSheetId="8" hidden="1">{#N/A,#N/A,FALSE,"Eff-SSC2"}</definedName>
    <definedName name="____w40" hidden="1">{#N/A,#N/A,FALSE,"Eff-SSC2"}</definedName>
    <definedName name="____w6" localSheetId="8" hidden="1">{#N/A,#N/A,FALSE,"Eff-SSC2"}</definedName>
    <definedName name="____w6" hidden="1">{#N/A,#N/A,FALSE,"Eff-SSC2"}</definedName>
    <definedName name="____wee2" localSheetId="8" hidden="1">{#N/A,#N/A,FALSE,"Eff-SSC2"}</definedName>
    <definedName name="____wee2" hidden="1">{#N/A,#N/A,FALSE,"Eff-SSC2"}</definedName>
    <definedName name="___C65550">#REF!</definedName>
    <definedName name="___C65590">#REF!</definedName>
    <definedName name="___C65690">#REF!</definedName>
    <definedName name="___C68800">#REF!</definedName>
    <definedName name="___C69000">#REF!</definedName>
    <definedName name="___C75500">#REF!</definedName>
    <definedName name="___C80500">#REF!</definedName>
    <definedName name="___D65590">'[3]YieldFISH 2 10-16.10.53'!#REF!</definedName>
    <definedName name="___l1" localSheetId="8" hidden="1">{#N/A,#N/A,FALSE,"Eff-SSC2"}</definedName>
    <definedName name="___l1" hidden="1">{#N/A,#N/A,FALSE,"Eff-SSC2"}</definedName>
    <definedName name="___lt04" hidden="1">#REF!</definedName>
    <definedName name="___nes123" localSheetId="8" hidden="1">{#N/A,#N/A,FALSE,"Eff-SSC2"}</definedName>
    <definedName name="___nes123" hidden="1">{#N/A,#N/A,FALSE,"Eff-SSC2"}</definedName>
    <definedName name="___nes254" localSheetId="8" hidden="1">{#N/A,#N/A,FALSE,"Eff-SSC2"}</definedName>
    <definedName name="___nes254" hidden="1">{#N/A,#N/A,FALSE,"Eff-SSC2"}</definedName>
    <definedName name="___NHR1">#REF!</definedName>
    <definedName name="___obj05">#REF!</definedName>
    <definedName name="___OBJ2005">#REF!</definedName>
    <definedName name="___Pcs05">#N/A</definedName>
    <definedName name="___Pcs06">#N/A</definedName>
    <definedName name="___Pcs07">#N/A</definedName>
    <definedName name="___Pcs08">#N/A</definedName>
    <definedName name="___pp2" localSheetId="8" hidden="1">{#N/A,#N/A,FALSE,"Eff-SSC2"}</definedName>
    <definedName name="___pp2" hidden="1">{#N/A,#N/A,FALSE,"Eff-SSC2"}</definedName>
    <definedName name="___rm1">#REF!</definedName>
    <definedName name="___SSC2">#N/A</definedName>
    <definedName name="___W37" localSheetId="8" hidden="1">{#N/A,#N/A,FALSE,"Eff-SSC2"}</definedName>
    <definedName name="___W37" hidden="1">{#N/A,#N/A,FALSE,"Eff-SSC2"}</definedName>
    <definedName name="___w39" localSheetId="8" hidden="1">{#N/A,#N/A,FALSE,"Eff-SSC2"}</definedName>
    <definedName name="___w39" hidden="1">{#N/A,#N/A,FALSE,"Eff-SSC2"}</definedName>
    <definedName name="___w40" localSheetId="8" hidden="1">{#N/A,#N/A,FALSE,"Eff-SSC2"}</definedName>
    <definedName name="___w40" hidden="1">{#N/A,#N/A,FALSE,"Eff-SSC2"}</definedName>
    <definedName name="___w6" localSheetId="8" hidden="1">{#N/A,#N/A,FALSE,"Eff-SSC2"}</definedName>
    <definedName name="___w6" hidden="1">{#N/A,#N/A,FALSE,"Eff-SSC2"}</definedName>
    <definedName name="___wee2" localSheetId="8" hidden="1">{#N/A,#N/A,FALSE,"Eff-SSC2"}</definedName>
    <definedName name="___wee2" hidden="1">{#N/A,#N/A,FALSE,"Eff-SSC2"}</definedName>
    <definedName name="__C65550">#REF!</definedName>
    <definedName name="__C65590">#REF!</definedName>
    <definedName name="__C65690">#REF!</definedName>
    <definedName name="__C68800">#REF!</definedName>
    <definedName name="__C69000">#REF!</definedName>
    <definedName name="__C75500">#REF!</definedName>
    <definedName name="__C80500">#REF!</definedName>
    <definedName name="__D65590">'[3]YieldFISH 2 10-16.10.53'!#REF!</definedName>
    <definedName name="__l1" localSheetId="8" hidden="1">{#N/A,#N/A,FALSE,"Eff-SSC2"}</definedName>
    <definedName name="__l1" hidden="1">{#N/A,#N/A,FALSE,"Eff-SSC2"}</definedName>
    <definedName name="__lt04" hidden="1">#REF!</definedName>
    <definedName name="__nes123" localSheetId="8" hidden="1">{#N/A,#N/A,FALSE,"Eff-SSC2"}</definedName>
    <definedName name="__nes123" hidden="1">{#N/A,#N/A,FALSE,"Eff-SSC2"}</definedName>
    <definedName name="__nes254" localSheetId="8" hidden="1">{#N/A,#N/A,FALSE,"Eff-SSC2"}</definedName>
    <definedName name="__nes254" hidden="1">{#N/A,#N/A,FALSE,"Eff-SSC2"}</definedName>
    <definedName name="__NHR1">#REF!</definedName>
    <definedName name="__obj05">#REF!</definedName>
    <definedName name="__OBJ2005">#REF!</definedName>
    <definedName name="__Pcs05">#N/A</definedName>
    <definedName name="__Pcs06">#N/A</definedName>
    <definedName name="__Pcs07">#N/A</definedName>
    <definedName name="__Pcs08">#N/A</definedName>
    <definedName name="__pp2" localSheetId="8" hidden="1">{#N/A,#N/A,FALSE,"Eff-SSC2"}</definedName>
    <definedName name="__pp2" hidden="1">{#N/A,#N/A,FALSE,"Eff-SSC2"}</definedName>
    <definedName name="__rm1">#REF!</definedName>
    <definedName name="__SSC2">#N/A</definedName>
    <definedName name="__W37" localSheetId="8" hidden="1">{#N/A,#N/A,FALSE,"Eff-SSC2"}</definedName>
    <definedName name="__W37" hidden="1">{#N/A,#N/A,FALSE,"Eff-SSC2"}</definedName>
    <definedName name="__W38" localSheetId="8" hidden="1">{#N/A,#N/A,FALSE,"Eff-SSC2"}</definedName>
    <definedName name="__W38" hidden="1">{#N/A,#N/A,FALSE,"Eff-SSC2"}</definedName>
    <definedName name="__w39" localSheetId="8" hidden="1">{#N/A,#N/A,FALSE,"Eff-SSC2"}</definedName>
    <definedName name="__w39" hidden="1">{#N/A,#N/A,FALSE,"Eff-SSC2"}</definedName>
    <definedName name="__w40" localSheetId="8" hidden="1">{#N/A,#N/A,FALSE,"Eff-SSC2"}</definedName>
    <definedName name="__w40" hidden="1">{#N/A,#N/A,FALSE,"Eff-SSC2"}</definedName>
    <definedName name="__w6" localSheetId="8" hidden="1">{#N/A,#N/A,FALSE,"Eff-SSC2"}</definedName>
    <definedName name="__w6" hidden="1">{#N/A,#N/A,FALSE,"Eff-SSC2"}</definedName>
    <definedName name="__wee2" localSheetId="8" hidden="1">{#N/A,#N/A,FALSE,"Eff-SSC2"}</definedName>
    <definedName name="__wee2" hidden="1">{#N/A,#N/A,FALSE,"Eff-SSC2"}</definedName>
    <definedName name="_1">#REF!</definedName>
    <definedName name="_2">#REF!</definedName>
    <definedName name="_C65550">#REF!</definedName>
    <definedName name="_C65590">#REF!</definedName>
    <definedName name="_C65690">#REF!</definedName>
    <definedName name="_C68800">#REF!</definedName>
    <definedName name="_C69000">#REF!</definedName>
    <definedName name="_C75500">#REF!</definedName>
    <definedName name="_C80500">#REF!</definedName>
    <definedName name="_D65590">'[3]YieldFISH 2 10-16.10.53'!#REF!</definedName>
    <definedName name="_Fill" hidden="1">#REF!</definedName>
    <definedName name="_xlnm._FilterDatabase" localSheetId="8" hidden="1">'EF TGO AR5 V2'!$F$13:$J$165</definedName>
    <definedName name="_xlnm._FilterDatabase">#REF!</definedName>
    <definedName name="_l1" localSheetId="8" hidden="1">{#N/A,#N/A,FALSE,"Eff-SSC2"}</definedName>
    <definedName name="_l1" hidden="1">{#N/A,#N/A,FALSE,"Eff-SSC2"}</definedName>
    <definedName name="_lt04" hidden="1">#REF!</definedName>
    <definedName name="_nes123" localSheetId="8" hidden="1">{#N/A,#N/A,FALSE,"Eff-SSC2"}</definedName>
    <definedName name="_nes123" hidden="1">{#N/A,#N/A,FALSE,"Eff-SSC2"}</definedName>
    <definedName name="_nes254" localSheetId="8" hidden="1">{#N/A,#N/A,FALSE,"Eff-SSC2"}</definedName>
    <definedName name="_nes254" hidden="1">{#N/A,#N/A,FALSE,"Eff-SSC2"}</definedName>
    <definedName name="_NHR1">#REF!</definedName>
    <definedName name="_obj05">#REF!</definedName>
    <definedName name="_OBJ2005">#REF!</definedName>
    <definedName name="_Order1" hidden="1">255</definedName>
    <definedName name="_Pcs05">#N/A</definedName>
    <definedName name="_Pcs06">#N/A</definedName>
    <definedName name="_Pcs07">#N/A</definedName>
    <definedName name="_Pcs08">#N/A</definedName>
    <definedName name="_pp2" localSheetId="8" hidden="1">{#N/A,#N/A,FALSE,"Eff-SSC2"}</definedName>
    <definedName name="_pp2" hidden="1">{#N/A,#N/A,FALSE,"Eff-SSC2"}</definedName>
    <definedName name="_rm1">#REF!</definedName>
    <definedName name="_SSC2">#N/A</definedName>
    <definedName name="_Table1_Out" hidden="1">#REF!</definedName>
    <definedName name="_W37" localSheetId="8" hidden="1">{#N/A,#N/A,FALSE,"Eff-SSC2"}</definedName>
    <definedName name="_W37" hidden="1">{#N/A,#N/A,FALSE,"Eff-SSC2"}</definedName>
    <definedName name="_W38" localSheetId="8" hidden="1">{#N/A,#N/A,FALSE,"Eff-SSC2"}</definedName>
    <definedName name="_W38" hidden="1">{#N/A,#N/A,FALSE,"Eff-SSC2"}</definedName>
    <definedName name="_w39" localSheetId="8" hidden="1">{#N/A,#N/A,FALSE,"Eff-SSC2"}</definedName>
    <definedName name="_w39" hidden="1">{#N/A,#N/A,FALSE,"Eff-SSC2"}</definedName>
    <definedName name="_w40" localSheetId="8" hidden="1">{#N/A,#N/A,FALSE,"Eff-SSC2"}</definedName>
    <definedName name="_w40" hidden="1">{#N/A,#N/A,FALSE,"Eff-SSC2"}</definedName>
    <definedName name="_w6" localSheetId="8" hidden="1">{#N/A,#N/A,FALSE,"Eff-SSC2"}</definedName>
    <definedName name="_w6" hidden="1">{#N/A,#N/A,FALSE,"Eff-SSC2"}</definedName>
    <definedName name="_wee2" localSheetId="8" hidden="1">{#N/A,#N/A,FALSE,"Eff-SSC2"}</definedName>
    <definedName name="_wee2" hidden="1">{#N/A,#N/A,FALSE,"Eff-SSC2"}</definedName>
    <definedName name="A" localSheetId="8">#REF!</definedName>
    <definedName name="A">#REF!</definedName>
    <definedName name="AA" localSheetId="8" hidden="1">1/EUReXToLUF</definedName>
    <definedName name="AA" hidden="1">1/EUReXToLUF</definedName>
    <definedName name="aaa" localSheetId="8">#REF!</definedName>
    <definedName name="aaa">#REF!</definedName>
    <definedName name="aaaa" localSheetId="8" hidden="1">{#N/A,#N/A,FALSE,"Eff-SSC2"}</definedName>
    <definedName name="aaaa" hidden="1">{#N/A,#N/A,FALSE,"Eff-SSC2"}</definedName>
    <definedName name="aaaaa" localSheetId="8" hidden="1">{#N/A,#N/A,FALSE,"Eff-SSC2"}</definedName>
    <definedName name="aaaaa" hidden="1">{#N/A,#N/A,FALSE,"Eff-SSC2"}</definedName>
    <definedName name="aaaaaa" localSheetId="8" hidden="1">{#N/A,#N/A,FALSE,"Eff-SSC2"}</definedName>
    <definedName name="aaaaaa" hidden="1">{#N/A,#N/A,FALSE,"Eff-SSC2"}</definedName>
    <definedName name="aaaaaaaaa" localSheetId="8" hidden="1">{#N/A,#N/A,FALSE,"Eff-SSC2"}</definedName>
    <definedName name="aaaaaaaaa" hidden="1">{#N/A,#N/A,FALSE,"Eff-SSC2"}</definedName>
    <definedName name="AAASHJS" localSheetId="8" hidden="1">{#N/A,#N/A,FALSE,"Eff-SSC2"}</definedName>
    <definedName name="AAASHJS" hidden="1">{#N/A,#N/A,FALSE,"Eff-SSC2"}</definedName>
    <definedName name="ac_line1.0_" localSheetId="8" hidden="1">{#N/A,#N/A,FALSE,"Eff-SSC2"}</definedName>
    <definedName name="ac_line1.0_" hidden="1">{#N/A,#N/A,FALSE,"Eff-SSC2"}</definedName>
    <definedName name="AC_LINE1.1_" localSheetId="8" hidden="1">{#N/A,#N/A,FALSE,"Eff-SSC2"}</definedName>
    <definedName name="AC_LINE1.1_" hidden="1">{#N/A,#N/A,FALSE,"Eff-SSC2"}</definedName>
    <definedName name="acc" localSheetId="8" hidden="1">{#N/A,#N/A,FALSE,"Eff-SSC2"}</definedName>
    <definedName name="acc" hidden="1">{#N/A,#N/A,FALSE,"Eff-SSC2"}</definedName>
    <definedName name="Access_Button" hidden="1">"recSPC1_Sheet9_List"</definedName>
    <definedName name="AccessDatabase" hidden="1">"\\Suchart\suchart\ATHAPORN\recSPC1.mdb"</definedName>
    <definedName name="Action">#REF!</definedName>
    <definedName name="ADM">#REF!</definedName>
    <definedName name="ADS">#REF!</definedName>
    <definedName name="afsdfads" localSheetId="8" hidden="1">{#N/A,#N/A,FALSE,"Eff-SSC2"}</definedName>
    <definedName name="afsdfads" hidden="1">{#N/A,#N/A,FALSE,"Eff-SSC2"}</definedName>
    <definedName name="ag">[4]Parameter!$D$12</definedName>
    <definedName name="age" localSheetId="8" hidden="1">{#N/A,#N/A,FALSE,"Eff-SSC2"}</definedName>
    <definedName name="age" hidden="1">{#N/A,#N/A,FALSE,"Eff-SSC2"}</definedName>
    <definedName name="AirTest_NBR" localSheetId="8" hidden="1">{#N/A,#N/A,FALSE,"Eff-SSC2"}</definedName>
    <definedName name="AirTest_NBR" hidden="1">{#N/A,#N/A,FALSE,"Eff-SSC2"}</definedName>
    <definedName name="AllCountries">'[5]02_CompanyList'!$L$11:$L$26</definedName>
    <definedName name="AllISO">'[5]02_CompanyList'!$L$11:$M$26</definedName>
    <definedName name="Alloy">'[6]Dropdown List'!$G$2:$G$26</definedName>
    <definedName name="ARE_1">'[5]02_CompanyList'!$C$10</definedName>
    <definedName name="ARE_2">'[5]02_CompanyList'!$C$10:$C$54</definedName>
    <definedName name="as">#REF!</definedName>
    <definedName name="as_line1.0" localSheetId="8" hidden="1">{#N/A,#N/A,FALSE,"Eff-SSC2"}</definedName>
    <definedName name="as_line1.0" hidden="1">{#N/A,#N/A,FALSE,"Eff-SSC2"}</definedName>
    <definedName name="asd" localSheetId="8" hidden="1">{#N/A,#N/A,FALSE,"Eff-SSC2"}</definedName>
    <definedName name="asd" hidden="1">{#N/A,#N/A,FALSE,"Eff-SSC2"}</definedName>
    <definedName name="Assama" localSheetId="8" hidden="1">{#N/A,#N/A,FALSE,"Eff-SSC2"}</definedName>
    <definedName name="Assama" hidden="1">{#N/A,#N/A,FALSE,"Eff-SSC2"}</definedName>
    <definedName name="ast">#REF!</definedName>
    <definedName name="ATSeXToEUR" localSheetId="8" hidden="1">1/EUReXToATS</definedName>
    <definedName name="ATSeXToEUR" hidden="1">1/EUReXToATS</definedName>
    <definedName name="B" localSheetId="8">#REF!</definedName>
    <definedName name="B">#REF!</definedName>
    <definedName name="Back">#REF!</definedName>
    <definedName name="BALANCESHEET">#REF!</definedName>
    <definedName name="BANK">#REF!</definedName>
    <definedName name="base">#REF!</definedName>
    <definedName name="BB" localSheetId="8" hidden="1">1/EUReXToATS</definedName>
    <definedName name="BB" hidden="1">1/EUReXToATS</definedName>
    <definedName name="BBCALCU" localSheetId="8">#REF!</definedName>
    <definedName name="BBCALCU">#REF!</definedName>
    <definedName name="bbd" localSheetId="8" hidden="1">{#N/A,#N/A,FALSE,"Eff-SSC2"}</definedName>
    <definedName name="bbd" hidden="1">{#N/A,#N/A,FALSE,"Eff-SSC2"}</definedName>
    <definedName name="BC00Balance">#REF!</definedName>
    <definedName name="BC04Invent">#REF!</definedName>
    <definedName name="BC14PPE">#REF!</definedName>
    <definedName name="BEFeXToEUR" localSheetId="8" hidden="1">1/EUReXToBEF</definedName>
    <definedName name="BEFeXToEUR" hidden="1">1/EUReXToBEF</definedName>
    <definedName name="Benchmarkcomparison06_07" localSheetId="8" hidden="1">{#N/A,#N/A,FALSE,"Eff-SSC2"}</definedName>
    <definedName name="Benchmarkcomparison06_07" hidden="1">{#N/A,#N/A,FALSE,"Eff-SSC2"}</definedName>
    <definedName name="bersaff" localSheetId="8" hidden="1">{#N/A,#N/A,FALSE,"Eff-SSC2"}</definedName>
    <definedName name="bersaff" hidden="1">{#N/A,#N/A,FALSE,"Eff-SSC2"}</definedName>
    <definedName name="BONUS1">#REF!</definedName>
    <definedName name="BORROWINGBASE">#REF!</definedName>
    <definedName name="BS">#REF!</definedName>
    <definedName name="BTU" localSheetId="8">[7]ม.ค.!$C$2</definedName>
    <definedName name="BTU">[7]ม.ค.!$C$2</definedName>
    <definedName name="BTU_16" localSheetId="8">#REF!</definedName>
    <definedName name="BTU_16">#REF!</definedName>
    <definedName name="BTU_17" localSheetId="8">#REF!</definedName>
    <definedName name="BTU_17">#REF!</definedName>
    <definedName name="BTU_18" localSheetId="8">#REF!</definedName>
    <definedName name="BTU_18">#REF!</definedName>
    <definedName name="BTU_19" localSheetId="8">#REF!</definedName>
    <definedName name="BTU_19">#REF!</definedName>
    <definedName name="BTU_20" localSheetId="8">#REF!</definedName>
    <definedName name="BTU_20">#REF!</definedName>
    <definedName name="BTU_21" localSheetId="8">#REF!</definedName>
    <definedName name="BTU_21">#REF!</definedName>
    <definedName name="BTU_22" localSheetId="8">#REF!</definedName>
    <definedName name="BTU_22">#REF!</definedName>
    <definedName name="BTU_23" localSheetId="8">#REF!</definedName>
    <definedName name="BTU_23">#REF!</definedName>
    <definedName name="BTU_24" localSheetId="8">#REF!</definedName>
    <definedName name="BTU_24">#REF!</definedName>
    <definedName name="BTU_25" localSheetId="8">#REF!</definedName>
    <definedName name="BTU_25">#REF!</definedName>
    <definedName name="BTU_26" localSheetId="8">#REF!</definedName>
    <definedName name="BTU_26">#REF!</definedName>
    <definedName name="budget" localSheetId="8" hidden="1">{#N/A,#N/A,FALSE,"Eff-SSC2"}</definedName>
    <definedName name="budget" hidden="1">{#N/A,#N/A,FALSE,"Eff-SSC2"}</definedName>
    <definedName name="bvr" localSheetId="8" hidden="1">{#N/A,#N/A,FALSE,"Eff-SSC2"}</definedName>
    <definedName name="bvr" hidden="1">{#N/A,#N/A,FALSE,"Eff-SSC2"}</definedName>
    <definedName name="C_" localSheetId="8">#REF!</definedName>
    <definedName name="C_">#REF!</definedName>
    <definedName name="ca" localSheetId="8" hidden="1">{#N/A,#N/A,FALSE,"Eff-SSC2"}</definedName>
    <definedName name="ca" hidden="1">{#N/A,#N/A,FALSE,"Eff-SSC2"}</definedName>
    <definedName name="Cal_16" localSheetId="8">#REF!</definedName>
    <definedName name="Cal_16">#REF!</definedName>
    <definedName name="Cal_17" localSheetId="8">#REF!</definedName>
    <definedName name="Cal_17">#REF!</definedName>
    <definedName name="Cal_18" localSheetId="8">#REF!</definedName>
    <definedName name="Cal_18">#REF!</definedName>
    <definedName name="Cal_19" localSheetId="8">#REF!</definedName>
    <definedName name="Cal_19">#REF!</definedName>
    <definedName name="Cal_20" localSheetId="8">#REF!</definedName>
    <definedName name="Cal_20">#REF!</definedName>
    <definedName name="Cal_21" localSheetId="8">#REF!</definedName>
    <definedName name="Cal_21">#REF!</definedName>
    <definedName name="Cal_22" localSheetId="8">#REF!</definedName>
    <definedName name="Cal_22">#REF!</definedName>
    <definedName name="Cal_23" localSheetId="8">#REF!</definedName>
    <definedName name="Cal_23">#REF!</definedName>
    <definedName name="Cal_24" localSheetId="8">#REF!</definedName>
    <definedName name="Cal_24">#REF!</definedName>
    <definedName name="Cal_25" localSheetId="8">#REF!</definedName>
    <definedName name="Cal_25">#REF!</definedName>
    <definedName name="Cal_26" localSheetId="8">#REF!</definedName>
    <definedName name="Cal_26">#REF!</definedName>
    <definedName name="cap">#REF!</definedName>
    <definedName name="CASHFLOW">[8]cashflow!#REF!</definedName>
    <definedName name="CAT" localSheetId="8">#REF!</definedName>
    <definedName name="CAT">#REF!</definedName>
    <definedName name="CC" localSheetId="8" hidden="1">1/EUReXToBEF</definedName>
    <definedName name="CC" hidden="1">1/EUReXToBEF</definedName>
    <definedName name="cell_Import">[5]Parameter!$I$5</definedName>
    <definedName name="cell_Lang">[5]Parameter!$D$12</definedName>
    <definedName name="CHA" localSheetId="8">#REF!</definedName>
    <definedName name="CHA">#REF!</definedName>
    <definedName name="CHAB" localSheetId="8">#REF!</definedName>
    <definedName name="CHAB">#REF!</definedName>
    <definedName name="chalerm" localSheetId="8">#REF!</definedName>
    <definedName name="chalerm">#REF!</definedName>
    <definedName name="Chemist" localSheetId="8" hidden="1">{#N/A,#N/A,FALSE,"Eff-SSC2"}</definedName>
    <definedName name="Chemist" hidden="1">{#N/A,#N/A,FALSE,"Eff-SSC2"}</definedName>
    <definedName name="chhch" localSheetId="8" hidden="1">{#N/A,#N/A,FALSE,"Eff-SSC2"}</definedName>
    <definedName name="chhch" hidden="1">{#N/A,#N/A,FALSE,"Eff-SSC2"}</definedName>
    <definedName name="chutikarn" localSheetId="8" hidden="1">{#N/A,#N/A,FALSE,"Eff-SSC2"}</definedName>
    <definedName name="chutikarn" hidden="1">{#N/A,#N/A,FALSE,"Eff-SSC2"}</definedName>
    <definedName name="CM1_SSC1_M01" localSheetId="8" hidden="1">{#N/A,#N/A,FALSE,"Eff-SSC2"}</definedName>
    <definedName name="CM1_SSC1_M01" hidden="1">{#N/A,#N/A,FALSE,"Eff-SSC2"}</definedName>
    <definedName name="CODE_A_R">#REF!</definedName>
    <definedName name="commm">#REF!</definedName>
    <definedName name="compare">#REF!</definedName>
    <definedName name="Complainant">#REF!</definedName>
    <definedName name="Complete">#REF!</definedName>
    <definedName name="COST">#REF!</definedName>
    <definedName name="COVENENTS">#REF!</definedName>
    <definedName name="D" localSheetId="8">#REF!</definedName>
    <definedName name="D">#REF!</definedName>
    <definedName name="daiti" localSheetId="8" hidden="1">{#N/A,#N/A,FALSE,"Eff-SSC2"}</definedName>
    <definedName name="daiti" hidden="1">{#N/A,#N/A,FALSE,"Eff-SSC2"}</definedName>
    <definedName name="_xlnm.Database">#REF!</definedName>
    <definedName name="dd" localSheetId="8" hidden="1">{#N/A,#N/A,FALSE,"Eff-SSC2"}</definedName>
    <definedName name="dd" hidden="1">{#N/A,#N/A,FALSE,"Eff-SSC2"}</definedName>
    <definedName name="DEMeXToEUR" localSheetId="8" hidden="1">1/EUReXToDEM</definedName>
    <definedName name="DEMeXToEUR" hidden="1">1/EUReXToDEM</definedName>
    <definedName name="DEP">OFFSET(#REF!,0,0,COUNTA(#REF!)-3,1)</definedName>
    <definedName name="df">#REF!</definedName>
    <definedName name="dfsd">#REF!</definedName>
    <definedName name="dge">#REF!</definedName>
    <definedName name="dimen">#REF!</definedName>
    <definedName name="Direct_Labor">'[9]Profit-volume-cost analysis'!$E$11</definedName>
    <definedName name="Direct_Material">'[9]Profit-volume-cost analysis'!$E$12</definedName>
    <definedName name="dksajfkd" localSheetId="8" hidden="1">{#N/A,#N/A,FALSE,"Eff-SSC2"}</definedName>
    <definedName name="dksajfkd" hidden="1">{#N/A,#N/A,FALSE,"Eff-SSC2"}</definedName>
    <definedName name="DLF">OFFSET(#REF!,0,0,COUNTA(#REF!)-3,1)</definedName>
    <definedName name="DMPM">OFFSET(#REF!,0,0,COUNTA(#REF!)-3,1)</definedName>
    <definedName name="DNP">OFFSET(#REF!,0,0,COUNTA(#REF!)-3,1)</definedName>
    <definedName name="DOG" localSheetId="8">#REF!</definedName>
    <definedName name="DOG">#REF!</definedName>
    <definedName name="dss">#REF!</definedName>
    <definedName name="E" localSheetId="8">#REF!</definedName>
    <definedName name="E">#REF!</definedName>
    <definedName name="EarlyWarning">#REF!</definedName>
    <definedName name="edf" hidden="1">#REF!</definedName>
    <definedName name="eds" hidden="1">#REF!</definedName>
    <definedName name="ee" localSheetId="8" hidden="1">{#N/A,#N/A,FALSE,"Eff-SSC2"}</definedName>
    <definedName name="ee" hidden="1">{#N/A,#N/A,FALSE,"Eff-SSC2"}</definedName>
    <definedName name="eer" localSheetId="8" hidden="1">{#N/A,#N/A,FALSE,"Eff-SSC2"}</definedName>
    <definedName name="eer" hidden="1">{#N/A,#N/A,FALSE,"Eff-SSC2"}</definedName>
    <definedName name="Ein" localSheetId="8">#REF!</definedName>
    <definedName name="Ein">#REF!</definedName>
    <definedName name="EN.Hatsanai" localSheetId="8" hidden="1">{#N/A,#N/A,FALSE,"Eff-SSC2"}</definedName>
    <definedName name="EN.Hatsanai" hidden="1">{#N/A,#N/A,FALSE,"Eff-SSC2"}</definedName>
    <definedName name="Eout" localSheetId="8">#REF!</definedName>
    <definedName name="Eout">#REF!</definedName>
    <definedName name="er" localSheetId="8" hidden="1">{#N/A,#N/A,FALSE,"Eff-SSC2"}</definedName>
    <definedName name="er" hidden="1">{#N/A,#N/A,FALSE,"Eff-SSC2"}</definedName>
    <definedName name="ertetz" localSheetId="8" hidden="1">1/EUReXToDEM</definedName>
    <definedName name="ertetz" hidden="1">1/EUReXToDEM</definedName>
    <definedName name="ESPeXToEUR" localSheetId="8" hidden="1">1/EUReXToESP</definedName>
    <definedName name="ESPeXToEUR" hidden="1">1/EUReXToESP</definedName>
    <definedName name="Expense" localSheetId="8">#REF!</definedName>
    <definedName name="Expense">#REF!</definedName>
    <definedName name="EXPORT">#REF!</definedName>
    <definedName name="F" localSheetId="8">#REF!</definedName>
    <definedName name="F">#REF!</definedName>
    <definedName name="F_EP" localSheetId="8">OFFSET(#REF!,0,0,COUNTA(#REF!)-2,1)</definedName>
    <definedName name="F_EP">OFFSET(#REF!,0,0,COUNTA(#REF!)-2,1)</definedName>
    <definedName name="F_LF">OFFSET(#REF!,0,0,COUNTA(#REF!)-2,1)</definedName>
    <definedName name="F_MPM">OFFSET(#REF!,0,0,COUNTA(#REF!)-2,1)</definedName>
    <definedName name="F_NP">OFFSET(#REF!,0,0,COUNTA(#REF!)-2,1)</definedName>
    <definedName name="Factor" localSheetId="8" hidden="1">{#N/A,#N/A,FALSE,"Eff-SSC2"}</definedName>
    <definedName name="Factor" hidden="1">{#N/A,#N/A,FALSE,"Eff-SSC2"}</definedName>
    <definedName name="Factory_Overhead">'[9]Profit-volume-cost analysis'!$E$13</definedName>
    <definedName name="fat" localSheetId="8">#REF!</definedName>
    <definedName name="fat">#REF!</definedName>
    <definedName name="fdd" localSheetId="8">#REF!</definedName>
    <definedName name="fdd">#REF!</definedName>
    <definedName name="fdgdfg" localSheetId="8" hidden="1">{#N/A,#N/A,FALSE,"Eff-SSC2"}</definedName>
    <definedName name="fdgdfg" hidden="1">{#N/A,#N/A,FALSE,"Eff-SSC2"}</definedName>
    <definedName name="fdsgg" localSheetId="8" hidden="1">{#N/A,#N/A,FALSE,"Eff-SSC2"}</definedName>
    <definedName name="fdsgg" hidden="1">{#N/A,#N/A,FALSE,"Eff-SSC2"}</definedName>
    <definedName name="Federal_Income_Tax">'[9]Profit-volume-cost analysis'!$E$24</definedName>
    <definedName name="ff" localSheetId="8">#REF!</definedName>
    <definedName name="ff">#REF!</definedName>
    <definedName name="ffd" localSheetId="8">#REF!</definedName>
    <definedName name="ffd">#REF!</definedName>
    <definedName name="fff" localSheetId="8">#REF!</definedName>
    <definedName name="fff">#REF!</definedName>
    <definedName name="fffgr" hidden="1">#REF!</definedName>
    <definedName name="fgdr" localSheetId="8" hidden="1">{#N/A,#N/A,FALSE,"Eff-SSC2"}</definedName>
    <definedName name="fgdr" hidden="1">{#N/A,#N/A,FALSE,"Eff-SSC2"}</definedName>
    <definedName name="FGF" localSheetId="8" hidden="1">{#N/A,#N/A,FALSE,"Eff-SSC2"}</definedName>
    <definedName name="FGF" hidden="1">{#N/A,#N/A,FALSE,"Eff-SSC2"}</definedName>
    <definedName name="fgr" localSheetId="8" hidden="1">{#N/A,#N/A,FALSE,"Eff-SSC2"}</definedName>
    <definedName name="fgr" hidden="1">{#N/A,#N/A,FALSE,"Eff-SSC2"}</definedName>
    <definedName name="fill" hidden="1">#REF!</definedName>
    <definedName name="FIMeXToEUR" localSheetId="8" hidden="1">1/EUReXToFIM</definedName>
    <definedName name="FIMeXToEUR" hidden="1">1/EUReXToFIM</definedName>
    <definedName name="Fixed_Costs">'[9]Profit-volume-cost analysis'!$E$20</definedName>
    <definedName name="fl" localSheetId="8" hidden="1">{#N/A,#N/A,FALSE,"Eff-SSC2"}</definedName>
    <definedName name="fl" hidden="1">{#N/A,#N/A,FALSE,"Eff-SSC2"}</definedName>
    <definedName name="fl0w">#REF!</definedName>
    <definedName name="flow" hidden="1">#REF!</definedName>
    <definedName name="fm_เพิ่มกำลังการผลิตจากปี_2545">#REF!</definedName>
    <definedName name="fm_อัตราส่วนกำไรต่อยอดขาย">#REF!</definedName>
    <definedName name="fn" localSheetId="8" hidden="1">{#N/A,#N/A,FALSE,"Eff-SSC2"}</definedName>
    <definedName name="fn" hidden="1">{#N/A,#N/A,FALSE,"Eff-SSC2"}</definedName>
    <definedName name="Follow">#REF!</definedName>
    <definedName name="Forecast" localSheetId="8" hidden="1">{#N/A,#N/A,FALSE,"Eff-SSC2"}</definedName>
    <definedName name="Forecast" hidden="1">{#N/A,#N/A,FALSE,"Eff-SSC2"}</definedName>
    <definedName name="fr" hidden="1">#REF!</definedName>
    <definedName name="FRFeXToEUR" localSheetId="8" hidden="1">1/EUReXToFRF</definedName>
    <definedName name="FRFeXToEUR" hidden="1">1/EUReXToFRF</definedName>
    <definedName name="frtz" localSheetId="8" hidden="1">1/EUReXToLUF</definedName>
    <definedName name="frtz" hidden="1">1/EUReXToLUF</definedName>
    <definedName name="Fuel" localSheetId="8">'[10]ม_ค_ _2_'!#REF!</definedName>
    <definedName name="Fuel">'[10]ม_ค_ _2_'!#REF!</definedName>
    <definedName name="Fuel_10" localSheetId="8">'[10]ก_ค_ _2_'!#REF!</definedName>
    <definedName name="Fuel_10">'[10]ก_ค_ _2_'!#REF!</definedName>
    <definedName name="Fuel_11" localSheetId="8">'[10]ส_ค_ _2_'!#REF!</definedName>
    <definedName name="Fuel_11">'[10]ส_ค_ _2_'!#REF!</definedName>
    <definedName name="Fuel_12" localSheetId="8">'[10]ก_ย_ _2_'!#REF!</definedName>
    <definedName name="Fuel_12">'[10]ก_ย_ _2_'!#REF!</definedName>
    <definedName name="Fuel_13" localSheetId="8">'[10]ต_ค_ _2_'!#REF!</definedName>
    <definedName name="Fuel_13">'[10]ต_ค_ _2_'!#REF!</definedName>
    <definedName name="Fuel_14" localSheetId="8">'[10]พ_ย_ _2_'!#REF!</definedName>
    <definedName name="Fuel_14">'[10]พ_ย_ _2_'!#REF!</definedName>
    <definedName name="Fuel_15" localSheetId="8">'[10]ธ_ค_ _2_'!#REF!</definedName>
    <definedName name="Fuel_15">'[10]ธ_ค_ _2_'!#REF!</definedName>
    <definedName name="Fuel_16" localSheetId="8">#REF!</definedName>
    <definedName name="Fuel_16">#REF!</definedName>
    <definedName name="Fuel_17" localSheetId="8">#REF!</definedName>
    <definedName name="Fuel_17">#REF!</definedName>
    <definedName name="Fuel_18" localSheetId="8">#REF!</definedName>
    <definedName name="Fuel_18">#REF!</definedName>
    <definedName name="Fuel_19" localSheetId="8">#REF!</definedName>
    <definedName name="Fuel_19">#REF!</definedName>
    <definedName name="Fuel_20" localSheetId="8">#REF!</definedName>
    <definedName name="Fuel_20">#REF!</definedName>
    <definedName name="Fuel_21" localSheetId="8">#REF!</definedName>
    <definedName name="Fuel_21">#REF!</definedName>
    <definedName name="Fuel_22" localSheetId="8">#REF!</definedName>
    <definedName name="Fuel_22">#REF!</definedName>
    <definedName name="Fuel_23" localSheetId="8">#REF!</definedName>
    <definedName name="Fuel_23">#REF!</definedName>
    <definedName name="Fuel_24" localSheetId="8">#REF!</definedName>
    <definedName name="Fuel_24">#REF!</definedName>
    <definedName name="Fuel_25" localSheetId="8">#REF!</definedName>
    <definedName name="Fuel_25">#REF!</definedName>
    <definedName name="Fuel_26" localSheetId="8">#REF!</definedName>
    <definedName name="Fuel_26">#REF!</definedName>
    <definedName name="Fuel_5" localSheetId="8">'[10]ก_พ_ _2_'!#REF!</definedName>
    <definedName name="Fuel_5">'[10]ก_พ_ _2_'!#REF!</definedName>
    <definedName name="Fuel_6" localSheetId="8">'[10]ม___ค_ _2_'!#REF!</definedName>
    <definedName name="Fuel_6">'[10]ม___ค_ _2_'!#REF!</definedName>
    <definedName name="Fuel_7" localSheetId="8">'[10]เม_ย_ _2_'!#REF!</definedName>
    <definedName name="Fuel_7">'[10]เม_ย_ _2_'!#REF!</definedName>
    <definedName name="Fuel_8" localSheetId="8">'[10]พ_ค_ _2_'!#REF!</definedName>
    <definedName name="Fuel_8">'[10]พ_ค_ _2_'!#REF!</definedName>
    <definedName name="Fuel_9" localSheetId="8">'[10]ม__ย_ _2_'!#REF!</definedName>
    <definedName name="Fuel_9">'[10]ม__ย_ _2_'!#REF!</definedName>
    <definedName name="Fuel_i_10" localSheetId="8">'[10]ก_ค_ _2_'!#REF!</definedName>
    <definedName name="Fuel_i_10">'[10]ก_ค_ _2_'!#REF!</definedName>
    <definedName name="Fuel_i_11" localSheetId="8">'[10]ส_ค_ _2_'!#REF!</definedName>
    <definedName name="Fuel_i_11">'[10]ส_ค_ _2_'!#REF!</definedName>
    <definedName name="Fuel_i_12" localSheetId="8">'[10]ก_ย_ _2_'!#REF!</definedName>
    <definedName name="Fuel_i_12">'[10]ก_ย_ _2_'!#REF!</definedName>
    <definedName name="Fuel_i_13" localSheetId="8">'[10]ต_ค_ _2_'!#REF!</definedName>
    <definedName name="Fuel_i_13">'[10]ต_ค_ _2_'!#REF!</definedName>
    <definedName name="Fuel_i_14" localSheetId="8">'[10]พ_ย_ _2_'!#REF!</definedName>
    <definedName name="Fuel_i_14">'[10]พ_ย_ _2_'!#REF!</definedName>
    <definedName name="Fuel_i_15" localSheetId="8">'[10]ธ_ค_ _2_'!#REF!</definedName>
    <definedName name="Fuel_i_15">'[10]ธ_ค_ _2_'!#REF!</definedName>
    <definedName name="Fuel_i_16" localSheetId="8">#REF!</definedName>
    <definedName name="Fuel_i_16">#REF!</definedName>
    <definedName name="Fuel_i_17" localSheetId="8">#REF!</definedName>
    <definedName name="Fuel_i_17">#REF!</definedName>
    <definedName name="Fuel_i_18" localSheetId="8">#REF!</definedName>
    <definedName name="Fuel_i_18">#REF!</definedName>
    <definedName name="Fuel_i_19" localSheetId="8">#REF!</definedName>
    <definedName name="Fuel_i_19">#REF!</definedName>
    <definedName name="Fuel_i_20" localSheetId="8">#REF!</definedName>
    <definedName name="Fuel_i_20">#REF!</definedName>
    <definedName name="Fuel_i_21" localSheetId="8">#REF!</definedName>
    <definedName name="Fuel_i_21">#REF!</definedName>
    <definedName name="Fuel_i_22" localSheetId="8">#REF!</definedName>
    <definedName name="Fuel_i_22">#REF!</definedName>
    <definedName name="Fuel_i_23" localSheetId="8">#REF!</definedName>
    <definedName name="Fuel_i_23">#REF!</definedName>
    <definedName name="Fuel_i_24" localSheetId="8">#REF!</definedName>
    <definedName name="Fuel_i_24">#REF!</definedName>
    <definedName name="Fuel_i_25" localSheetId="8">#REF!</definedName>
    <definedName name="Fuel_i_25">#REF!</definedName>
    <definedName name="Fuel_i_26" localSheetId="8">#REF!</definedName>
    <definedName name="Fuel_i_26">#REF!</definedName>
    <definedName name="Fuel_i_5" localSheetId="8">'[10]ก_พ_ _2_'!#REF!</definedName>
    <definedName name="Fuel_i_5">'[10]ก_พ_ _2_'!#REF!</definedName>
    <definedName name="Fuel_i_6" localSheetId="8">'[10]ม___ค_ _2_'!#REF!</definedName>
    <definedName name="Fuel_i_6">'[10]ม___ค_ _2_'!#REF!</definedName>
    <definedName name="Fuel_i_7" localSheetId="8">'[10]เม_ย_ _2_'!#REF!</definedName>
    <definedName name="Fuel_i_7">'[10]เม_ย_ _2_'!#REF!</definedName>
    <definedName name="Fuel_i_8" localSheetId="8">'[10]พ_ค_ _2_'!#REF!</definedName>
    <definedName name="Fuel_i_8">'[10]พ_ค_ _2_'!#REF!</definedName>
    <definedName name="Fuel_i_9" localSheetId="8">'[10]ม__ย_ _2_'!#REF!</definedName>
    <definedName name="Fuel_i_9">'[10]ม__ย_ _2_'!#REF!</definedName>
    <definedName name="Fuel_in" localSheetId="8">#REF!</definedName>
    <definedName name="Fuel_in">#REF!</definedName>
    <definedName name="FuelEnergy" localSheetId="8">#REF!</definedName>
    <definedName name="FuelEnergy">#REF!</definedName>
    <definedName name="FUND1">#REF!</definedName>
    <definedName name="FUND2">#REF!</definedName>
    <definedName name="G" localSheetId="8">#REF!</definedName>
    <definedName name="G">#REF!</definedName>
    <definedName name="G00Income">#REF!</definedName>
    <definedName name="gdfsg" localSheetId="8" hidden="1">{#N/A,#N/A,FALSE,"Eff-SSC2"}</definedName>
    <definedName name="gdfsg" hidden="1">{#N/A,#N/A,FALSE,"Eff-SSC2"}</definedName>
    <definedName name="gfdsafds" localSheetId="8" hidden="1">{#N/A,#N/A,FALSE,"Eff-SSC2"}</definedName>
    <definedName name="gfdsafds" hidden="1">{#N/A,#N/A,FALSE,"Eff-SSC2"}</definedName>
    <definedName name="gfgf" localSheetId="8" hidden="1">{#N/A,#N/A,FALSE,"Eff-SSC2"}</definedName>
    <definedName name="gfgf" hidden="1">{#N/A,#N/A,FALSE,"Eff-SSC2"}</definedName>
    <definedName name="gg" hidden="1">#REF!</definedName>
    <definedName name="gh" localSheetId="8" hidden="1">{#N/A,#N/A,FALSE,"Eff-SSC2"}</definedName>
    <definedName name="gh" hidden="1">{#N/A,#N/A,FALSE,"Eff-SSC2"}</definedName>
    <definedName name="gig">#REF!</definedName>
    <definedName name="gk" localSheetId="8" hidden="1">{#N/A,#N/A,FALSE,"Eff-SSC2"}</definedName>
    <definedName name="gk" hidden="1">{#N/A,#N/A,FALSE,"Eff-SSC2"}</definedName>
    <definedName name="Graph_TTL" localSheetId="8">{#N/A,#N/A,FALSE,"Eff-SSC2"}</definedName>
    <definedName name="Graph_TTL">{#N/A,#N/A,FALSE,"Eff-SSC2"}</definedName>
    <definedName name="grd">#REF!</definedName>
    <definedName name="Gross" localSheetId="8">'[10]ม_ค_ _2_'!#REF!</definedName>
    <definedName name="Gross">'[10]ม_ค_ _2_'!#REF!</definedName>
    <definedName name="Gross_10" localSheetId="8">'[10]ก_ค_ _2_'!#REF!</definedName>
    <definedName name="Gross_10">'[10]ก_ค_ _2_'!#REF!</definedName>
    <definedName name="Gross_11" localSheetId="8">'[10]ส_ค_ _2_'!#REF!</definedName>
    <definedName name="Gross_11">'[10]ส_ค_ _2_'!#REF!</definedName>
    <definedName name="Gross_12" localSheetId="8">'[10]ก_ย_ _2_'!#REF!</definedName>
    <definedName name="Gross_12">'[10]ก_ย_ _2_'!#REF!</definedName>
    <definedName name="Gross_13" localSheetId="8">'[10]ต_ค_ _2_'!#REF!</definedName>
    <definedName name="Gross_13">'[10]ต_ค_ _2_'!#REF!</definedName>
    <definedName name="Gross_14" localSheetId="8">'[10]พ_ย_ _2_'!#REF!</definedName>
    <definedName name="Gross_14">'[10]พ_ย_ _2_'!#REF!</definedName>
    <definedName name="Gross_15" localSheetId="8">'[10]ธ_ค_ _2_'!#REF!</definedName>
    <definedName name="Gross_15">'[10]ธ_ค_ _2_'!#REF!</definedName>
    <definedName name="Gross_16" localSheetId="8">#REF!</definedName>
    <definedName name="Gross_16">#REF!</definedName>
    <definedName name="Gross_17" localSheetId="8">#REF!</definedName>
    <definedName name="Gross_17">#REF!</definedName>
    <definedName name="Gross_18" localSheetId="8">#REF!</definedName>
    <definedName name="Gross_18">#REF!</definedName>
    <definedName name="Gross_19" localSheetId="8">#REF!</definedName>
    <definedName name="Gross_19">#REF!</definedName>
    <definedName name="Gross_20" localSheetId="8">#REF!</definedName>
    <definedName name="Gross_20">#REF!</definedName>
    <definedName name="Gross_21" localSheetId="8">#REF!</definedName>
    <definedName name="Gross_21">#REF!</definedName>
    <definedName name="Gross_22" localSheetId="8">#REF!</definedName>
    <definedName name="Gross_22">#REF!</definedName>
    <definedName name="Gross_23" localSheetId="8">#REF!</definedName>
    <definedName name="Gross_23">#REF!</definedName>
    <definedName name="Gross_24" localSheetId="8">#REF!</definedName>
    <definedName name="Gross_24">#REF!</definedName>
    <definedName name="Gross_25" localSheetId="8">#REF!</definedName>
    <definedName name="Gross_25">#REF!</definedName>
    <definedName name="Gross_26" localSheetId="8">#REF!</definedName>
    <definedName name="Gross_26">#REF!</definedName>
    <definedName name="Gross_5" localSheetId="8">'[10]ก_พ_ _2_'!#REF!</definedName>
    <definedName name="Gross_5">'[10]ก_พ_ _2_'!#REF!</definedName>
    <definedName name="Gross_6" localSheetId="8">'[10]ม___ค_ _2_'!#REF!</definedName>
    <definedName name="Gross_6">'[10]ม___ค_ _2_'!#REF!</definedName>
    <definedName name="Gross_7" localSheetId="8">'[10]เม_ย_ _2_'!#REF!</definedName>
    <definedName name="Gross_7">'[10]เม_ย_ _2_'!#REF!</definedName>
    <definedName name="Gross_8" localSheetId="8">'[10]พ_ค_ _2_'!#REF!</definedName>
    <definedName name="Gross_8">'[10]พ_ค_ _2_'!#REF!</definedName>
    <definedName name="Gross_9" localSheetId="8">'[10]ม__ย_ _2_'!#REF!</definedName>
    <definedName name="Gross_9">'[10]ม__ย_ _2_'!#REF!</definedName>
    <definedName name="growth" localSheetId="8">#REF!</definedName>
    <definedName name="growth">#REF!</definedName>
    <definedName name="H" localSheetId="8">#REF!</definedName>
    <definedName name="H">#REF!</definedName>
    <definedName name="HAE_YOUNG">#REF!</definedName>
    <definedName name="HE">#REF!</definedName>
    <definedName name="HEAD" localSheetId="8">#REF!</definedName>
    <definedName name="HEAD">#REF!</definedName>
    <definedName name="HELP">#REF!</definedName>
    <definedName name="hf" localSheetId="8" hidden="1">{#N/A,#N/A,FALSE,"Eff-SSC2"}</definedName>
    <definedName name="hf" hidden="1">{#N/A,#N/A,FALSE,"Eff-SSC2"}</definedName>
    <definedName name="hfs">#REF!</definedName>
    <definedName name="hgddfgf" localSheetId="8" hidden="1">{#N/A,#N/A,FALSE,"Eff-SSC2"}</definedName>
    <definedName name="hgddfgf" hidden="1">{#N/A,#N/A,FALSE,"Eff-SSC2"}</definedName>
    <definedName name="hh">#REF!</definedName>
    <definedName name="hhfgh" localSheetId="8" hidden="1">{#N/A,#N/A,FALSE,"Eff-SSC2"}</definedName>
    <definedName name="hhfgh" hidden="1">{#N/A,#N/A,FALSE,"Eff-SSC2"}</definedName>
    <definedName name="HHH" localSheetId="8" hidden="1">{#N/A,#N/A,FALSE,"Eff-SSC2"}</definedName>
    <definedName name="HHH" hidden="1">{#N/A,#N/A,FALSE,"Eff-SSC2"}</definedName>
    <definedName name="High_Unit_Volume_Tested">'[9]Profit-volume-cost analysis'!$E$7</definedName>
    <definedName name="HJ" localSheetId="8" hidden="1">{#N/A,#N/A,FALSE,"Eff-SSC2"}</definedName>
    <definedName name="HJ" hidden="1">{#N/A,#N/A,FALSE,"Eff-SSC2"}</definedName>
    <definedName name="hjghjgjhg" localSheetId="8" hidden="1">{#N/A,#N/A,FALSE,"Eff-SSC2"}</definedName>
    <definedName name="hjghjgjhg" hidden="1">{#N/A,#N/A,FALSE,"Eff-SSC2"}</definedName>
    <definedName name="hr" localSheetId="8" hidden="1">{#N/A,#N/A,FALSE,"Eff-SSC2"}</definedName>
    <definedName name="hr" hidden="1">{#N/A,#N/A,FALSE,"Eff-SSC2"}</definedName>
    <definedName name="hsgraa">#REF!</definedName>
    <definedName name="HTML_CodePage" hidden="1">874</definedName>
    <definedName name="HTML_Control" localSheetId="8" hidden="1">{"'Inpro'!$L$10","'Spec '!$C$28:$M$31"}</definedName>
    <definedName name="HTML_Control" hidden="1">{"'Inpro'!$L$10","'Spec '!$C$28:$M$31"}</definedName>
    <definedName name="HTML_Description" hidden="1">""</definedName>
    <definedName name="HTML_Email" hidden="1">""</definedName>
    <definedName name="HTML_Header" hidden="1">"Inpro"</definedName>
    <definedName name="HTML_LastUpdate" hidden="1">"26/4/01"</definedName>
    <definedName name="HTML_LineAfter" hidden="1">TRUE</definedName>
    <definedName name="HTML_LineBefore" hidden="1">TRUE</definedName>
    <definedName name="HTML_Name" hidden="1">"SAC."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"Rubber Leg2"</definedName>
    <definedName name="hugjgjgjgjg" localSheetId="8" hidden="1">{#N/A,#N/A,FALSE,"Eff-SSC2"}</definedName>
    <definedName name="hugjgjgjgjg" hidden="1">{#N/A,#N/A,FALSE,"Eff-SSC2"}</definedName>
    <definedName name="I" localSheetId="8">#REF!</definedName>
    <definedName name="I">#REF!</definedName>
    <definedName name="ICIE">#REF!</definedName>
    <definedName name="iefl">#REF!</definedName>
    <definedName name="IEPeXToEUR" localSheetId="8" hidden="1">1/EUReXToIEP</definedName>
    <definedName name="IEPeXToEUR" hidden="1">1/EUReXToIEP</definedName>
    <definedName name="IGE" localSheetId="8">#REF!</definedName>
    <definedName name="IGE">#REF!</definedName>
    <definedName name="iiii" localSheetId="8" hidden="1">{#N/A,#N/A,FALSE,"Eff-SSC2"}</definedName>
    <definedName name="iiii" hidden="1">{#N/A,#N/A,FALSE,"Eff-SSC2"}</definedName>
    <definedName name="iksjw">#REF!</definedName>
    <definedName name="In" localSheetId="8" hidden="1">{#N/A,#N/A,FALSE,"Eff-SSC2"}</definedName>
    <definedName name="In" hidden="1">{#N/A,#N/A,FALSE,"Eff-SSC2"}</definedName>
    <definedName name="INCOMESTATEMENT">[11]YTD.LINE!#REF!</definedName>
    <definedName name="Increments">5</definedName>
    <definedName name="isprint">[11]YTD.LINE!#REF!</definedName>
    <definedName name="ITLeXToEUR" localSheetId="8" hidden="1">1/EUReXToITL</definedName>
    <definedName name="ITLeXToEUR" hidden="1">1/EUReXToITL</definedName>
    <definedName name="J" localSheetId="8">#REF!</definedName>
    <definedName name="J">#REF!</definedName>
    <definedName name="J._16" localSheetId="8">#REF!</definedName>
    <definedName name="J._16">#REF!</definedName>
    <definedName name="J._17" localSheetId="8">#REF!</definedName>
    <definedName name="J._17">#REF!</definedName>
    <definedName name="J._18" localSheetId="8">#REF!</definedName>
    <definedName name="J._18">#REF!</definedName>
    <definedName name="J._19" localSheetId="8">#REF!</definedName>
    <definedName name="J._19">#REF!</definedName>
    <definedName name="J._20" localSheetId="8">#REF!</definedName>
    <definedName name="J._20">#REF!</definedName>
    <definedName name="J._21" localSheetId="8">#REF!</definedName>
    <definedName name="J._21">#REF!</definedName>
    <definedName name="J._22" localSheetId="8">#REF!</definedName>
    <definedName name="J._22">#REF!</definedName>
    <definedName name="J._23" localSheetId="8">#REF!</definedName>
    <definedName name="J._23">#REF!</definedName>
    <definedName name="J._24" localSheetId="8">#REF!</definedName>
    <definedName name="J._24">#REF!</definedName>
    <definedName name="J._25" localSheetId="8">#REF!</definedName>
    <definedName name="J._25">#REF!</definedName>
    <definedName name="J._26" localSheetId="8">#REF!</definedName>
    <definedName name="J._26">#REF!</definedName>
    <definedName name="jdya">#REF!</definedName>
    <definedName name="jh." localSheetId="8" hidden="1">{#N/A,#N/A,FALSE,"Eff-SSC2"}</definedName>
    <definedName name="jh." hidden="1">{#N/A,#N/A,FALSE,"Eff-SSC2"}</definedName>
    <definedName name="jj" localSheetId="8" hidden="1">{#N/A,#N/A,FALSE,"Eff-SSC2"}</definedName>
    <definedName name="jj" hidden="1">{#N/A,#N/A,FALSE,"Eff-SSC2"}</definedName>
    <definedName name="jjj" localSheetId="8" hidden="1">{#N/A,#N/A,FALSE,"Eff-SSC2"}</definedName>
    <definedName name="jjj" hidden="1">{#N/A,#N/A,FALSE,"Eff-SSC2"}</definedName>
    <definedName name="jkh" localSheetId="8" hidden="1">1/EUReXToATS</definedName>
    <definedName name="jkh" hidden="1">1/EUReXToATS</definedName>
    <definedName name="jrtv" localSheetId="8">#REF!</definedName>
    <definedName name="jrtv">#REF!</definedName>
    <definedName name="kdpiois">#REF!</definedName>
    <definedName name="Keerin">#REF!</definedName>
    <definedName name="khgh">#REF!</definedName>
    <definedName name="khjkh" localSheetId="8" hidden="1">{#N/A,#N/A,FALSE,"Eff-SSC2"}</definedName>
    <definedName name="khjkh" hidden="1">{#N/A,#N/A,FALSE,"Eff-SSC2"}</definedName>
    <definedName name="kJ" localSheetId="8">#REF!</definedName>
    <definedName name="kJ">#REF!</definedName>
    <definedName name="kkk" hidden="1">#REF!</definedName>
    <definedName name="KLLL" localSheetId="8" hidden="1">{#N/A,#N/A,FALSE,"Eff-SSC2"}</definedName>
    <definedName name="KLLL" hidden="1">{#N/A,#N/A,FALSE,"Eff-SSC2"}</definedName>
    <definedName name="klp" localSheetId="8" hidden="1">{#N/A,#N/A,FALSE,"Eff-SSC2"}</definedName>
    <definedName name="klp" hidden="1">{#N/A,#N/A,FALSE,"Eff-SSC2"}</definedName>
    <definedName name="koranis10" localSheetId="8" hidden="1">{#N/A,#N/A,FALSE,"Eff-SSC2"}</definedName>
    <definedName name="koranis10" hidden="1">{#N/A,#N/A,FALSE,"Eff-SSC2"}</definedName>
    <definedName name="kpi" localSheetId="8" hidden="1">{#N/A,#N/A,FALSE,"Eff-SSC2"}</definedName>
    <definedName name="kpi" hidden="1">{#N/A,#N/A,FALSE,"Eff-SSC2"}</definedName>
    <definedName name="ku">#REF!</definedName>
    <definedName name="KUNG">#REF!</definedName>
    <definedName name="kuueks">#REF!</definedName>
    <definedName name="kuujjed">#REF!</definedName>
    <definedName name="L">#REF!</definedName>
    <definedName name="LA">#REF!</definedName>
    <definedName name="Land">'[5]02_CompanyList'!$H$12</definedName>
    <definedName name="Latex_Weight" localSheetId="8" hidden="1">{#N/A,#N/A,FALSE,"Eff-SSC2"}</definedName>
    <definedName name="Latex_Weight" hidden="1">{#N/A,#N/A,FALSE,"Eff-SSC2"}</definedName>
    <definedName name="Layout">#REF!</definedName>
    <definedName name="LHV" localSheetId="8">#REF!</definedName>
    <definedName name="LHV">#REF!</definedName>
    <definedName name="line" localSheetId="8" hidden="1">{#N/A,#N/A,FALSE,"Eff-SSC2"}</definedName>
    <definedName name="line" hidden="1">{#N/A,#N/A,FALSE,"Eff-SSC2"}</definedName>
    <definedName name="line2" localSheetId="8" hidden="1">{#N/A,#N/A,FALSE,"Eff-SSC2"}</definedName>
    <definedName name="line2" hidden="1">{#N/A,#N/A,FALSE,"Eff-SSC2"}</definedName>
    <definedName name="ll" localSheetId="8" hidden="1">{#N/A,#N/A,FALSE,"Eff-SSC2"}</definedName>
    <definedName name="ll" hidden="1">{#N/A,#N/A,FALSE,"Eff-SSC2"}</definedName>
    <definedName name="lll">#REF!</definedName>
    <definedName name="llll">#REF!</definedName>
    <definedName name="lo" localSheetId="8" hidden="1">{#N/A,#N/A,FALSE,"Eff-SSC2"}</definedName>
    <definedName name="lo" hidden="1">{#N/A,#N/A,FALSE,"Eff-SSC2"}</definedName>
    <definedName name="Low_Unit_Volume_Tested">'[9]Profit-volume-cost analysis'!$E$6</definedName>
    <definedName name="LTX" localSheetId="8">#REF!</definedName>
    <definedName name="LTX">#REF!</definedName>
    <definedName name="LUFeXToEUR" localSheetId="8" hidden="1">1/EUReXToLUF</definedName>
    <definedName name="LUFeXToEUR" hidden="1">1/EUReXToLUF</definedName>
    <definedName name="M" localSheetId="8">#REF!</definedName>
    <definedName name="M">#REF!</definedName>
    <definedName name="maneeratr" hidden="1">#REF!</definedName>
    <definedName name="Meal_BakeryQ1">#REF!</definedName>
    <definedName name="meetting">#REF!</definedName>
    <definedName name="meetting201204">#REF!</definedName>
    <definedName name="MH" localSheetId="8" hidden="1">{#N/A,#N/A,FALSE,"Eff-SSC2"}</definedName>
    <definedName name="MH" hidden="1">{#N/A,#N/A,FALSE,"Eff-SSC2"}</definedName>
    <definedName name="mj" localSheetId="8" hidden="1">{#N/A,#N/A,FALSE,"Eff-SSC2"}</definedName>
    <definedName name="mj" hidden="1">{#N/A,#N/A,FALSE,"Eff-SSC2"}</definedName>
    <definedName name="mm" localSheetId="8" hidden="1">{#N/A,#N/A,FALSE,"Eff-SSC2"}</definedName>
    <definedName name="mm" hidden="1">{#N/A,#N/A,FALSE,"Eff-SSC2"}</definedName>
    <definedName name="MONTHL1" localSheetId="8">#REF!</definedName>
    <definedName name="MONTHL1">#REF!</definedName>
    <definedName name="monthly3" localSheetId="8" hidden="1">{#N/A,#N/A,FALSE,"Eff-SSC2"}</definedName>
    <definedName name="monthly3" hidden="1">{#N/A,#N/A,FALSE,"Eff-SSC2"}</definedName>
    <definedName name="moo" localSheetId="8" hidden="1">{#N/A,#N/A,FALSE,"Eff-SSC2"}</definedName>
    <definedName name="moo" hidden="1">{#N/A,#N/A,FALSE,"Eff-SSC2"}</definedName>
    <definedName name="n" localSheetId="8" hidden="1">1/EUReXToATS</definedName>
    <definedName name="n" hidden="1">1/EUReXToATS</definedName>
    <definedName name="name" localSheetId="8">#REF!</definedName>
    <definedName name="name">#REF!</definedName>
    <definedName name="narisa">#REF!</definedName>
    <definedName name="nbj" localSheetId="8" hidden="1">{#N/A,#N/A,FALSE,"Eff-SSC2"}</definedName>
    <definedName name="nbj" hidden="1">{#N/A,#N/A,FALSE,"Eff-SSC2"}</definedName>
    <definedName name="nbr" localSheetId="8" hidden="1">{#N/A,#N/A,FALSE,"Eff-SSC2"}</definedName>
    <definedName name="nbr" hidden="1">{#N/A,#N/A,FALSE,"Eff-SSC2"}</definedName>
    <definedName name="nes" localSheetId="8" hidden="1">{#N/A,#N/A,FALSE,"Eff-SSC2"}</definedName>
    <definedName name="nes" hidden="1">{#N/A,#N/A,FALSE,"Eff-SSC2"}</definedName>
    <definedName name="Net" localSheetId="8">'[10]ม_ค_ _2_'!#REF!</definedName>
    <definedName name="Net">'[10]ม_ค_ _2_'!#REF!</definedName>
    <definedName name="Net_10" localSheetId="8">'[10]ก_ค_ _2_'!#REF!</definedName>
    <definedName name="Net_10">'[10]ก_ค_ _2_'!#REF!</definedName>
    <definedName name="Net_11" localSheetId="8">'[10]ส_ค_ _2_'!#REF!</definedName>
    <definedName name="Net_11">'[10]ส_ค_ _2_'!#REF!</definedName>
    <definedName name="Net_12" localSheetId="8">'[10]ก_ย_ _2_'!#REF!</definedName>
    <definedName name="Net_12">'[10]ก_ย_ _2_'!#REF!</definedName>
    <definedName name="Net_13" localSheetId="8">'[10]ต_ค_ _2_'!#REF!</definedName>
    <definedName name="Net_13">'[10]ต_ค_ _2_'!#REF!</definedName>
    <definedName name="Net_14" localSheetId="8">'[10]พ_ย_ _2_'!#REF!</definedName>
    <definedName name="Net_14">'[10]พ_ย_ _2_'!#REF!</definedName>
    <definedName name="Net_15" localSheetId="8">'[10]ธ_ค_ _2_'!#REF!</definedName>
    <definedName name="Net_15">'[10]ธ_ค_ _2_'!#REF!</definedName>
    <definedName name="Net_16" localSheetId="8">#REF!</definedName>
    <definedName name="Net_16">#REF!</definedName>
    <definedName name="Net_17" localSheetId="8">#REF!</definedName>
    <definedName name="Net_17">#REF!</definedName>
    <definedName name="Net_18" localSheetId="8">#REF!</definedName>
    <definedName name="Net_18">#REF!</definedName>
    <definedName name="Net_19" localSheetId="8">#REF!</definedName>
    <definedName name="Net_19">#REF!</definedName>
    <definedName name="Net_20" localSheetId="8">#REF!</definedName>
    <definedName name="Net_20">#REF!</definedName>
    <definedName name="Net_21" localSheetId="8">#REF!</definedName>
    <definedName name="Net_21">#REF!</definedName>
    <definedName name="Net_22" localSheetId="8">#REF!</definedName>
    <definedName name="Net_22">#REF!</definedName>
    <definedName name="Net_23" localSheetId="8">#REF!</definedName>
    <definedName name="Net_23">#REF!</definedName>
    <definedName name="Net_24" localSheetId="8">#REF!</definedName>
    <definedName name="Net_24">#REF!</definedName>
    <definedName name="Net_25" localSheetId="8">#REF!</definedName>
    <definedName name="Net_25">#REF!</definedName>
    <definedName name="Net_26" localSheetId="8">#REF!</definedName>
    <definedName name="Net_26">#REF!</definedName>
    <definedName name="Net_5" localSheetId="8">'[10]ก_พ_ _2_'!#REF!</definedName>
    <definedName name="Net_5">'[10]ก_พ_ _2_'!#REF!</definedName>
    <definedName name="Net_6" localSheetId="8">'[10]ม___ค_ _2_'!#REF!</definedName>
    <definedName name="Net_6">'[10]ม___ค_ _2_'!#REF!</definedName>
    <definedName name="Net_7" localSheetId="8">'[10]เม_ย_ _2_'!#REF!</definedName>
    <definedName name="Net_7">'[10]เม_ย_ _2_'!#REF!</definedName>
    <definedName name="Net_8" localSheetId="8">'[10]พ_ค_ _2_'!#REF!</definedName>
    <definedName name="Net_8">'[10]พ_ค_ _2_'!#REF!</definedName>
    <definedName name="Net_9" localSheetId="8">'[10]ม__ย_ _2_'!#REF!</definedName>
    <definedName name="Net_9">'[10]ม__ย_ _2_'!#REF!</definedName>
    <definedName name="new" localSheetId="8">#REF!</definedName>
    <definedName name="new">#REF!</definedName>
    <definedName name="NHR" localSheetId="8" hidden="1">{#N/A,#N/A,FALSE,"Eff-SSC2"}</definedName>
    <definedName name="NHR" hidden="1">{#N/A,#N/A,FALSE,"Eff-SSC2"}</definedName>
    <definedName name="NHR_a">#REF!</definedName>
    <definedName name="NLGeXToEUR" localSheetId="8" hidden="1">1/EUReXToNLG</definedName>
    <definedName name="NLGeXToEUR" hidden="1">1/EUReXToNLG</definedName>
    <definedName name="nn" localSheetId="8" hidden="1">{#N/A,#N/A,FALSE,"Eff-SSC2"}</definedName>
    <definedName name="nn" hidden="1">{#N/A,#N/A,FALSE,"Eff-SSC2"}</definedName>
    <definedName name="NOMURA">#REF!</definedName>
    <definedName name="nr" localSheetId="8" hidden="1">{#N/A,#N/A,FALSE,"Eff-SSC2"}</definedName>
    <definedName name="nr" hidden="1">{#N/A,#N/A,FALSE,"Eff-SSC2"}</definedName>
    <definedName name="NSNSSS" localSheetId="8" hidden="1">{#N/A,#N/A,FALSE,"Eff-SSC2"}</definedName>
    <definedName name="NSNSSS" hidden="1">{#N/A,#N/A,FALSE,"Eff-SSC2"}</definedName>
    <definedName name="o" localSheetId="8" hidden="1">1/EUReXToATS</definedName>
    <definedName name="o" hidden="1">1/EUReXToATS</definedName>
    <definedName name="OBJ" localSheetId="8">#REF!</definedName>
    <definedName name="OBJ">#REF!</definedName>
    <definedName name="Obj_Deptnew" localSheetId="8" hidden="1">{#N/A,#N/A,FALSE,"Eff-SSC2"}</definedName>
    <definedName name="Obj_Deptnew" hidden="1">{#N/A,#N/A,FALSE,"Eff-SSC2"}</definedName>
    <definedName name="OBJ_TS2005">#REF!</definedName>
    <definedName name="Oh">#REF!</definedName>
    <definedName name="ok" localSheetId="8" hidden="1">{#N/A,#N/A,FALSE,"Eff-SSC2"}</definedName>
    <definedName name="ok" hidden="1">{#N/A,#N/A,FALSE,"Eff-SSC2"}</definedName>
    <definedName name="ol">#REF!</definedName>
    <definedName name="oo" localSheetId="8" hidden="1">{#N/A,#N/A,FALSE,"Eff-SSC2"}</definedName>
    <definedName name="oo" hidden="1">{#N/A,#N/A,FALSE,"Eff-SSC2"}</definedName>
    <definedName name="oooo" localSheetId="8" hidden="1">{#N/A,#N/A,FALSE,"Eff-SSC2"}</definedName>
    <definedName name="oooo" hidden="1">{#N/A,#N/A,FALSE,"Eff-SSC2"}</definedName>
    <definedName name="orn" localSheetId="8" hidden="1">{#N/A,#N/A,FALSE,"Eff-SSC2"}</definedName>
    <definedName name="orn" hidden="1">{#N/A,#N/A,FALSE,"Eff-SSC2"}</definedName>
    <definedName name="Other_Vary_Profit_Costs">'[9]Profit-volume-cost analysis'!$E$25</definedName>
    <definedName name="Other_Vary_Revenue_Costs">'[9]Profit-volume-cost analysis'!$E$18</definedName>
    <definedName name="Other_Vary_Unit_Costs">'[9]Profit-volume-cost analysis'!$E$14</definedName>
    <definedName name="p" localSheetId="8" hidden="1">{#N/A,#N/A,FALSE,"Eff-SSC2"}</definedName>
    <definedName name="p" hidden="1">{#N/A,#N/A,FALSE,"Eff-SSC2"}</definedName>
    <definedName name="PAICHOT" localSheetId="8" hidden="1">{#N/A,#N/A,FALSE,"Eff-SSC2"}</definedName>
    <definedName name="PAICHOT" hidden="1">{#N/A,#N/A,FALSE,"Eff-SSC2"}</definedName>
    <definedName name="Pcap">#REF!</definedName>
    <definedName name="pcs" localSheetId="8" hidden="1">{#N/A,#N/A,FALSE,"Eff-SSC2"}</definedName>
    <definedName name="pcs" hidden="1">{#N/A,#N/A,FALSE,"Eff-SSC2"}</definedName>
    <definedName name="PCS_MAN">#REF!</definedName>
    <definedName name="PDDR" hidden="1">#REF!</definedName>
    <definedName name="PDelRange" localSheetId="8">[5]Parameter!$4:$8,[5]Parameter!$23:$38,[5]Parameter!$61:$61,[5]Parameter!$68:$78,[5]Parameter!$79:$82,[5]Parameter!$H:$H,[5]Parameter!#REF!,[5]Parameter!$J:$J</definedName>
    <definedName name="PDelRange">[5]Parameter!$4:$8,[5]Parameter!$23:$38,[5]Parameter!$61:$61,[5]Parameter!$68:$78,[5]Parameter!$79:$82,[5]Parameter!$H:$H,[5]Parameter!#REF!,[5]Parameter!$J:$J</definedName>
    <definedName name="ped" localSheetId="8" hidden="1">{#N/A,#N/A,FALSE,"Eff-SSC2"}</definedName>
    <definedName name="ped" hidden="1">{#N/A,#N/A,FALSE,"Eff-SSC2"}</definedName>
    <definedName name="Perf" localSheetId="8" hidden="1">{#N/A,#N/A,FALSE,"Eff-SSC2"}</definedName>
    <definedName name="Perf" hidden="1">{#N/A,#N/A,FALSE,"Eff-SSC2"}</definedName>
    <definedName name="pH">#REF!</definedName>
    <definedName name="pi">#REF!</definedName>
    <definedName name="PI_PR_2">#REF!</definedName>
    <definedName name="pice" localSheetId="8" hidden="1">{#N/A,#N/A,FALSE,"Eff-SSC2"}</definedName>
    <definedName name="pice" hidden="1">{#N/A,#N/A,FALSE,"Eff-SSC2"}</definedName>
    <definedName name="PL">#REF!</definedName>
    <definedName name="PL_LINE">#REF!</definedName>
    <definedName name="PoEnergy" localSheetId="8">#REF!</definedName>
    <definedName name="PoEnergy">#REF!</definedName>
    <definedName name="poi" localSheetId="8" hidden="1">{#N/A,#N/A,FALSE,"Eff-SSC2"}</definedName>
    <definedName name="poi" hidden="1">{#N/A,#N/A,FALSE,"Eff-SSC2"}</definedName>
    <definedName name="pop" localSheetId="8" hidden="1">{#N/A,#N/A,FALSE,"Eff-SSC2"}</definedName>
    <definedName name="pop" hidden="1">{#N/A,#N/A,FALSE,"Eff-SSC2"}</definedName>
    <definedName name="PopCache_GL_INTERFACE_REFERENCE7" hidden="1">[12]PopCache!$A$1:$A$2</definedName>
    <definedName name="pornprom" localSheetId="8" hidden="1">{#N/A,#N/A,FALSE,"Eff-SSC2"}</definedName>
    <definedName name="pornprom" hidden="1">{#N/A,#N/A,FALSE,"Eff-SSC2"}</definedName>
    <definedName name="pornpromk" localSheetId="8" hidden="1">{#N/A,#N/A,FALSE,"Eff-SSC2"}</definedName>
    <definedName name="pornpromk" hidden="1">{#N/A,#N/A,FALSE,"Eff-SSC2"}</definedName>
    <definedName name="Power_10" localSheetId="8">'[10]ก_ค_ _2_'!#REF!</definedName>
    <definedName name="Power_10">'[10]ก_ค_ _2_'!#REF!</definedName>
    <definedName name="Power_11" localSheetId="8">'[10]ส_ค_ _2_'!#REF!</definedName>
    <definedName name="Power_11">'[10]ส_ค_ _2_'!#REF!</definedName>
    <definedName name="Power_12" localSheetId="8">'[10]ก_ย_ _2_'!#REF!</definedName>
    <definedName name="Power_12">'[10]ก_ย_ _2_'!#REF!</definedName>
    <definedName name="Power_13" localSheetId="8">'[10]ต_ค_ _2_'!#REF!</definedName>
    <definedName name="Power_13">'[10]ต_ค_ _2_'!#REF!</definedName>
    <definedName name="Power_14" localSheetId="8">'[10]พ_ย_ _2_'!#REF!</definedName>
    <definedName name="Power_14">'[10]พ_ย_ _2_'!#REF!</definedName>
    <definedName name="Power_15" localSheetId="8">'[10]ธ_ค_ _2_'!#REF!</definedName>
    <definedName name="Power_15">'[10]ธ_ค_ _2_'!#REF!</definedName>
    <definedName name="Power_16" localSheetId="8">#REF!</definedName>
    <definedName name="Power_16">#REF!</definedName>
    <definedName name="Power_17" localSheetId="8">#REF!</definedName>
    <definedName name="Power_17">#REF!</definedName>
    <definedName name="Power_18" localSheetId="8">#REF!</definedName>
    <definedName name="Power_18">#REF!</definedName>
    <definedName name="Power_19" localSheetId="8">#REF!</definedName>
    <definedName name="Power_19">#REF!</definedName>
    <definedName name="Power_20" localSheetId="8">#REF!</definedName>
    <definedName name="Power_20">#REF!</definedName>
    <definedName name="Power_21" localSheetId="8">#REF!</definedName>
    <definedName name="Power_21">#REF!</definedName>
    <definedName name="Power_22" localSheetId="8">#REF!</definedName>
    <definedName name="Power_22">#REF!</definedName>
    <definedName name="Power_23" localSheetId="8">#REF!</definedName>
    <definedName name="Power_23">#REF!</definedName>
    <definedName name="Power_24" localSheetId="8">#REF!</definedName>
    <definedName name="Power_24">#REF!</definedName>
    <definedName name="Power_25" localSheetId="8">#REF!</definedName>
    <definedName name="Power_25">#REF!</definedName>
    <definedName name="Power_26" localSheetId="8">#REF!</definedName>
    <definedName name="Power_26">#REF!</definedName>
    <definedName name="Power_5" localSheetId="8">'[10]ก_พ_ _2_'!#REF!</definedName>
    <definedName name="Power_5">'[10]ก_พ_ _2_'!#REF!</definedName>
    <definedName name="Power_6" localSheetId="8">'[10]ม___ค_ _2_'!#REF!</definedName>
    <definedName name="Power_6">'[10]ม___ค_ _2_'!#REF!</definedName>
    <definedName name="Power_7" localSheetId="8">'[10]เม_ย_ _2_'!#REF!</definedName>
    <definedName name="Power_7">'[10]เม_ย_ _2_'!#REF!</definedName>
    <definedName name="Power_8" localSheetId="8">'[10]พ_ค_ _2_'!#REF!</definedName>
    <definedName name="Power_8">'[10]พ_ค_ _2_'!#REF!</definedName>
    <definedName name="Power_9" localSheetId="8">'[10]ม__ย_ _2_'!#REF!</definedName>
    <definedName name="Power_9">'[10]ม__ย_ _2_'!#REF!</definedName>
    <definedName name="Power_i_10" localSheetId="8">'[10]ก_ค_ _2_'!#REF!</definedName>
    <definedName name="Power_i_10">'[10]ก_ค_ _2_'!#REF!</definedName>
    <definedName name="Power_i_11" localSheetId="8">'[10]ส_ค_ _2_'!#REF!</definedName>
    <definedName name="Power_i_11">'[10]ส_ค_ _2_'!#REF!</definedName>
    <definedName name="Power_i_12" localSheetId="8">'[10]ก_ย_ _2_'!#REF!</definedName>
    <definedName name="Power_i_12">'[10]ก_ย_ _2_'!#REF!</definedName>
    <definedName name="Power_i_13" localSheetId="8">'[10]ต_ค_ _2_'!#REF!</definedName>
    <definedName name="Power_i_13">'[10]ต_ค_ _2_'!#REF!</definedName>
    <definedName name="Power_i_14" localSheetId="8">'[10]พ_ย_ _2_'!#REF!</definedName>
    <definedName name="Power_i_14">'[10]พ_ย_ _2_'!#REF!</definedName>
    <definedName name="Power_i_15" localSheetId="8">'[10]ธ_ค_ _2_'!#REF!</definedName>
    <definedName name="Power_i_15">'[10]ธ_ค_ _2_'!#REF!</definedName>
    <definedName name="Power_i_16" localSheetId="8">#REF!</definedName>
    <definedName name="Power_i_16">#REF!</definedName>
    <definedName name="Power_i_17" localSheetId="8">#REF!</definedName>
    <definedName name="Power_i_17">#REF!</definedName>
    <definedName name="Power_i_18" localSheetId="8">#REF!</definedName>
    <definedName name="Power_i_18">#REF!</definedName>
    <definedName name="Power_i_19" localSheetId="8">#REF!</definedName>
    <definedName name="Power_i_19">#REF!</definedName>
    <definedName name="Power_i_20" localSheetId="8">#REF!</definedName>
    <definedName name="Power_i_20">#REF!</definedName>
    <definedName name="Power_i_21" localSheetId="8">#REF!</definedName>
    <definedName name="Power_i_21">#REF!</definedName>
    <definedName name="Power_i_22" localSheetId="8">#REF!</definedName>
    <definedName name="Power_i_22">#REF!</definedName>
    <definedName name="Power_i_23" localSheetId="8">#REF!</definedName>
    <definedName name="Power_i_23">#REF!</definedName>
    <definedName name="Power_i_24" localSheetId="8">#REF!</definedName>
    <definedName name="Power_i_24">#REF!</definedName>
    <definedName name="Power_i_25" localSheetId="8">#REF!</definedName>
    <definedName name="Power_i_25">#REF!</definedName>
    <definedName name="Power_i_26" localSheetId="8">#REF!</definedName>
    <definedName name="Power_i_26">#REF!</definedName>
    <definedName name="Power_i_5" localSheetId="8">'[10]ก_พ_ _2_'!#REF!</definedName>
    <definedName name="Power_i_5">'[10]ก_พ_ _2_'!#REF!</definedName>
    <definedName name="Power_i_6" localSheetId="8">'[10]ม___ค_ _2_'!#REF!</definedName>
    <definedName name="Power_i_6">'[10]ม___ค_ _2_'!#REF!</definedName>
    <definedName name="Power_i_7" localSheetId="8">'[10]เม_ย_ _2_'!#REF!</definedName>
    <definedName name="Power_i_7">'[10]เม_ย_ _2_'!#REF!</definedName>
    <definedName name="Power_i_8" localSheetId="8">'[10]พ_ค_ _2_'!#REF!</definedName>
    <definedName name="Power_i_8">'[10]พ_ค_ _2_'!#REF!</definedName>
    <definedName name="Power_i_9" localSheetId="8">'[10]ม__ย_ _2_'!#REF!</definedName>
    <definedName name="Power_i_9">'[10]ม__ย_ _2_'!#REF!</definedName>
    <definedName name="Power_o" localSheetId="8">'[10]ม_ค_ _2_'!#REF!</definedName>
    <definedName name="Power_o">'[10]ม_ค_ _2_'!#REF!</definedName>
    <definedName name="Power_o_10" localSheetId="8">'[10]ก_ค_ _2_'!#REF!</definedName>
    <definedName name="Power_o_10">'[10]ก_ค_ _2_'!#REF!</definedName>
    <definedName name="Power_o_11" localSheetId="8">'[10]ส_ค_ _2_'!#REF!</definedName>
    <definedName name="Power_o_11">'[10]ส_ค_ _2_'!#REF!</definedName>
    <definedName name="Power_o_12" localSheetId="8">'[10]ก_ย_ _2_'!#REF!</definedName>
    <definedName name="Power_o_12">'[10]ก_ย_ _2_'!#REF!</definedName>
    <definedName name="Power_o_13" localSheetId="8">'[10]ต_ค_ _2_'!#REF!</definedName>
    <definedName name="Power_o_13">'[10]ต_ค_ _2_'!#REF!</definedName>
    <definedName name="Power_o_14" localSheetId="8">'[10]พ_ย_ _2_'!#REF!</definedName>
    <definedName name="Power_o_14">'[10]พ_ย_ _2_'!#REF!</definedName>
    <definedName name="Power_o_15" localSheetId="8">'[10]ธ_ค_ _2_'!#REF!</definedName>
    <definedName name="Power_o_15">'[10]ธ_ค_ _2_'!#REF!</definedName>
    <definedName name="Power_o_16" localSheetId="8">#REF!</definedName>
    <definedName name="Power_o_16">#REF!</definedName>
    <definedName name="Power_o_17" localSheetId="8">#REF!</definedName>
    <definedName name="Power_o_17">#REF!</definedName>
    <definedName name="Power_o_18" localSheetId="8">#REF!</definedName>
    <definedName name="Power_o_18">#REF!</definedName>
    <definedName name="Power_o_19" localSheetId="8">#REF!</definedName>
    <definedName name="Power_o_19">#REF!</definedName>
    <definedName name="Power_o_20" localSheetId="8">#REF!</definedName>
    <definedName name="Power_o_20">#REF!</definedName>
    <definedName name="Power_o_21" localSheetId="8">#REF!</definedName>
    <definedName name="Power_o_21">#REF!</definedName>
    <definedName name="Power_o_22" localSheetId="8">#REF!</definedName>
    <definedName name="Power_o_22">#REF!</definedName>
    <definedName name="Power_o_23" localSheetId="8">#REF!</definedName>
    <definedName name="Power_o_23">#REF!</definedName>
    <definedName name="Power_o_24" localSheetId="8">#REF!</definedName>
    <definedName name="Power_o_24">#REF!</definedName>
    <definedName name="Power_o_25" localSheetId="8">#REF!</definedName>
    <definedName name="Power_o_25">#REF!</definedName>
    <definedName name="Power_o_26" localSheetId="8">#REF!</definedName>
    <definedName name="Power_o_26">#REF!</definedName>
    <definedName name="Power_o_5" localSheetId="8">'[10]ก_พ_ _2_'!#REF!</definedName>
    <definedName name="Power_o_5">'[10]ก_พ_ _2_'!#REF!</definedName>
    <definedName name="Power_o_6" localSheetId="8">'[10]ม___ค_ _2_'!#REF!</definedName>
    <definedName name="Power_o_6">'[10]ม___ค_ _2_'!#REF!</definedName>
    <definedName name="Power_o_7" localSheetId="8">'[10]เม_ย_ _2_'!#REF!</definedName>
    <definedName name="Power_o_7">'[10]เม_ย_ _2_'!#REF!</definedName>
    <definedName name="Power_o_8" localSheetId="8">'[10]พ_ค_ _2_'!#REF!</definedName>
    <definedName name="Power_o_8">'[10]พ_ค_ _2_'!#REF!</definedName>
    <definedName name="Power_o_9" localSheetId="8">'[10]ม__ย_ _2_'!#REF!</definedName>
    <definedName name="Power_o_9">'[10]ม__ย_ _2_'!#REF!</definedName>
    <definedName name="pp" localSheetId="8" hidden="1">{#N/A,#N/A,FALSE,"Eff-SSC2"}</definedName>
    <definedName name="pp" hidden="1">{#N/A,#N/A,FALSE,"Eff-SSC2"}</definedName>
    <definedName name="ppp" localSheetId="8" hidden="1">{#N/A,#N/A,FALSE,"Eff-SSC2"}</definedName>
    <definedName name="ppp" hidden="1">{#N/A,#N/A,FALSE,"Eff-SSC2"}</definedName>
    <definedName name="Present">#N/A</definedName>
    <definedName name="_xlnm.Print_Area" localSheetId="8">#REF!</definedName>
    <definedName name="_xlnm.Print_Area">#REF!</definedName>
    <definedName name="Print_Area_MI" localSheetId="8">#REF!</definedName>
    <definedName name="Print_Area_MI">#REF!</definedName>
    <definedName name="_xlnm.Print_Titles">#REF!</definedName>
    <definedName name="PRINT_TITLES_MI">#REF!</definedName>
    <definedName name="probe" localSheetId="8" hidden="1">1/EUReXToATS</definedName>
    <definedName name="probe" hidden="1">1/EUReXToATS</definedName>
    <definedName name="Production" localSheetId="8" hidden="1">{#N/A,#N/A,FALSE,"Eff-SSC2"}</definedName>
    <definedName name="Production" hidden="1">{#N/A,#N/A,FALSE,"Eff-SSC2"}</definedName>
    <definedName name="productivity">#REF!</definedName>
    <definedName name="project" localSheetId="8" hidden="1">{#N/A,#N/A,FALSE,"Eff-SSC2"}</definedName>
    <definedName name="project" hidden="1">{#N/A,#N/A,FALSE,"Eff-SSC2"}</definedName>
    <definedName name="Project2" localSheetId="8" hidden="1">{#N/A,#N/A,FALSE,"Eff-SSC2"}</definedName>
    <definedName name="Project2" hidden="1">{#N/A,#N/A,FALSE,"Eff-SSC2"}</definedName>
    <definedName name="protein">#REF!</definedName>
    <definedName name="pse" localSheetId="8" hidden="1">{#N/A,#N/A,FALSE,"Eff-SSC2"}</definedName>
    <definedName name="pse" hidden="1">{#N/A,#N/A,FALSE,"Eff-SSC2"}</definedName>
    <definedName name="PTEeXToEUR" localSheetId="8" hidden="1">1/EUReXToPTE</definedName>
    <definedName name="PTEeXToEUR" hidden="1">1/EUReXToPTE</definedName>
    <definedName name="pui" localSheetId="8" hidden="1">{#N/A,#N/A,FALSE,"Eff-SSC2"}</definedName>
    <definedName name="pui" hidden="1">{#N/A,#N/A,FALSE,"Eff-SSC2"}</definedName>
    <definedName name="q">#REF!</definedName>
    <definedName name="QQQ" localSheetId="8" hidden="1">{#N/A,#N/A,FALSE,"Eff-SSC2"}</definedName>
    <definedName name="QQQ" hidden="1">{#N/A,#N/A,FALSE,"Eff-SSC2"}</definedName>
    <definedName name="qqqq" localSheetId="8" hidden="1">{#N/A,#N/A,FALSE,"Eff-SSC2"}</definedName>
    <definedName name="qqqq" hidden="1">{#N/A,#N/A,FALSE,"Eff-SSC2"}</definedName>
    <definedName name="QQQQQQQQQ">#REF!</definedName>
    <definedName name="qqๆ" localSheetId="8" hidden="1">{#N/A,#N/A,FALSE,"Eff-SSC2"}</definedName>
    <definedName name="qqๆ" hidden="1">{#N/A,#N/A,FALSE,"Eff-SSC2"}</definedName>
    <definedName name="qryสรุปเกรดประจำเดือน_ย่อย_">#REF!</definedName>
    <definedName name="qsasa" localSheetId="8" hidden="1">{#N/A,#N/A,FALSE,"Eff-SSC2"}</definedName>
    <definedName name="qsasa" hidden="1">{#N/A,#N/A,FALSE,"Eff-SSC2"}</definedName>
    <definedName name="qsd">#REF!</definedName>
    <definedName name="qsff">#REF!</definedName>
    <definedName name="qtrprint">[11]YTD.LINE!#REF!</definedName>
    <definedName name="QTRS">[11]YTD.LINE!#REF!</definedName>
    <definedName name="rat" localSheetId="8" hidden="1">#REF!</definedName>
    <definedName name="rat" hidden="1">#REF!</definedName>
    <definedName name="RBL" localSheetId="8" hidden="1">{#N/A,#N/A,FALSE,"Eff-SSC2"}</definedName>
    <definedName name="RBL" hidden="1">{#N/A,#N/A,FALSE,"Eff-SSC2"}</definedName>
    <definedName name="re" localSheetId="8" hidden="1">{#N/A,#N/A,FALSE,"Eff-SSC2"}</definedName>
    <definedName name="re" hidden="1">{#N/A,#N/A,FALSE,"Eff-SSC2"}</definedName>
    <definedName name="real" localSheetId="8" hidden="1">{#N/A,#N/A,FALSE,"Eff-SSC2"}</definedName>
    <definedName name="real" hidden="1">{#N/A,#N/A,FALSE,"Eff-SSC2"}</definedName>
    <definedName name="REB_WILLCOX">#REF!</definedName>
    <definedName name="reds">#REF!</definedName>
    <definedName name="resPD">#REF!</definedName>
    <definedName name="RespFillRange">#REF!</definedName>
    <definedName name="Responsibility">#REF!</definedName>
    <definedName name="RGF" localSheetId="8" hidden="1">{#N/A,#N/A,FALSE,"Eff-SSC2"}</definedName>
    <definedName name="RGF" hidden="1">{#N/A,#N/A,FALSE,"Eff-SSC2"}</definedName>
    <definedName name="RM">#REF!</definedName>
    <definedName name="rrr">#REF!</definedName>
    <definedName name="RSS">#REF!</definedName>
    <definedName name="rtrty" localSheetId="8" hidden="1">{#N/A,#N/A,FALSE,"Eff-SSC2"}</definedName>
    <definedName name="rtrty" hidden="1">{#N/A,#N/A,FALSE,"Eff-SSC2"}</definedName>
    <definedName name="rtw">#REF!</definedName>
    <definedName name="rtz" localSheetId="8" hidden="1">1/EUReXToNLG</definedName>
    <definedName name="rtz" hidden="1">1/EUReXToNLG</definedName>
    <definedName name="ru" localSheetId="8" hidden="1">{#N/A,#N/A,FALSE,"Eff-SSC2"}</definedName>
    <definedName name="ru" hidden="1">{#N/A,#N/A,FALSE,"Eff-SSC2"}</definedName>
    <definedName name="rung" localSheetId="8" hidden="1">{#N/A,#N/A,FALSE,"Eff-SSC2"}</definedName>
    <definedName name="rung" hidden="1">{#N/A,#N/A,FALSE,"Eff-SSC2"}</definedName>
    <definedName name="S" localSheetId="8" hidden="1">{#N/A,#N/A,FALSE,"Eff-SSC2"}</definedName>
    <definedName name="S" hidden="1">{#N/A,#N/A,FALSE,"Eff-SSC2"}</definedName>
    <definedName name="SALE">#REF!</definedName>
    <definedName name="Sales_Commissions">'[9]Profit-volume-cost analysis'!$E$16</definedName>
    <definedName name="Sales_Tax">'[9]Profit-volume-cost analysis'!$E$17</definedName>
    <definedName name="saphonchet" localSheetId="8" hidden="1">{#N/A,#N/A,FALSE,"Eff-SSC2"}</definedName>
    <definedName name="saphonchet" hidden="1">{#N/A,#N/A,FALSE,"Eff-SSC2"}</definedName>
    <definedName name="sd" localSheetId="8" hidden="1">1/EUReXToITL</definedName>
    <definedName name="sd" hidden="1">1/EUReXToITL</definedName>
    <definedName name="sdf" localSheetId="8">#REF!</definedName>
    <definedName name="sdf">#REF!</definedName>
    <definedName name="sdskvjnslgnnrto">#REF!</definedName>
    <definedName name="se" localSheetId="8" hidden="1">{#N/A,#N/A,FALSE,"Eff-SSC2"}</definedName>
    <definedName name="se" hidden="1">{#N/A,#N/A,FALSE,"Eff-SSC2"}</definedName>
    <definedName name="seee" localSheetId="8" hidden="1">{#N/A,#N/A,FALSE,"Eff-SSC2"}</definedName>
    <definedName name="seee" hidden="1">{#N/A,#N/A,FALSE,"Eff-SSC2"}</definedName>
    <definedName name="Serv" localSheetId="8">#REF!</definedName>
    <definedName name="Serv">#REF!</definedName>
    <definedName name="Servc" localSheetId="8">#REF!</definedName>
    <definedName name="Servc">#REF!</definedName>
    <definedName name="Service_10" localSheetId="8">'[10]ก_ค_ _2_'!#REF!</definedName>
    <definedName name="Service_10">'[10]ก_ค_ _2_'!#REF!</definedName>
    <definedName name="Service_11" localSheetId="8">'[10]ส_ค_ _2_'!#REF!</definedName>
    <definedName name="Service_11">'[10]ส_ค_ _2_'!#REF!</definedName>
    <definedName name="Service_12" localSheetId="8">'[10]ก_ย_ _2_'!#REF!</definedName>
    <definedName name="Service_12">'[10]ก_ย_ _2_'!#REF!</definedName>
    <definedName name="Service_13" localSheetId="8">'[10]ต_ค_ _2_'!#REF!</definedName>
    <definedName name="Service_13">'[10]ต_ค_ _2_'!#REF!</definedName>
    <definedName name="Service_14" localSheetId="8">'[10]พ_ย_ _2_'!#REF!</definedName>
    <definedName name="Service_14">'[10]พ_ย_ _2_'!#REF!</definedName>
    <definedName name="Service_15" localSheetId="8">'[10]ธ_ค_ _2_'!#REF!</definedName>
    <definedName name="Service_15">'[10]ธ_ค_ _2_'!#REF!</definedName>
    <definedName name="Service_16" localSheetId="8">#REF!</definedName>
    <definedName name="Service_16">#REF!</definedName>
    <definedName name="Service_17" localSheetId="8">#REF!</definedName>
    <definedName name="Service_17">#REF!</definedName>
    <definedName name="Service_18" localSheetId="8">#REF!</definedName>
    <definedName name="Service_18">#REF!</definedName>
    <definedName name="Service_19" localSheetId="8">#REF!</definedName>
    <definedName name="Service_19">#REF!</definedName>
    <definedName name="Service_20" localSheetId="8">#REF!</definedName>
    <definedName name="Service_20">#REF!</definedName>
    <definedName name="Service_21" localSheetId="8">#REF!</definedName>
    <definedName name="Service_21">#REF!</definedName>
    <definedName name="Service_22" localSheetId="8">#REF!</definedName>
    <definedName name="Service_22">#REF!</definedName>
    <definedName name="Service_23" localSheetId="8">#REF!</definedName>
    <definedName name="Service_23">#REF!</definedName>
    <definedName name="Service_24" localSheetId="8">#REF!</definedName>
    <definedName name="Service_24">#REF!</definedName>
    <definedName name="Service_25" localSheetId="8">#REF!</definedName>
    <definedName name="Service_25">#REF!</definedName>
    <definedName name="Service_26" localSheetId="8">#REF!</definedName>
    <definedName name="Service_26">#REF!</definedName>
    <definedName name="Service_5" localSheetId="8">'[10]ก_พ_ _2_'!#REF!</definedName>
    <definedName name="Service_5">'[10]ก_พ_ _2_'!#REF!</definedName>
    <definedName name="Service_6" localSheetId="8">'[10]ม___ค_ _2_'!#REF!</definedName>
    <definedName name="Service_6">'[10]ม___ค_ _2_'!#REF!</definedName>
    <definedName name="Service_7" localSheetId="8">'[10]เม_ย_ _2_'!#REF!</definedName>
    <definedName name="Service_7">'[10]เม_ย_ _2_'!#REF!</definedName>
    <definedName name="Service_8" localSheetId="8">'[10]พ_ค_ _2_'!#REF!</definedName>
    <definedName name="Service_8">'[10]พ_ค_ _2_'!#REF!</definedName>
    <definedName name="Service_9" localSheetId="8">'[10]ม__ย_ _2_'!#REF!</definedName>
    <definedName name="Service_9">'[10]ม__ย_ _2_'!#REF!</definedName>
    <definedName name="sfdg" localSheetId="8" hidden="1">#REF!</definedName>
    <definedName name="sfdg" hidden="1">#REF!</definedName>
    <definedName name="SKIM" localSheetId="8">#REF!</definedName>
    <definedName name="SKIM">#REF!</definedName>
    <definedName name="Spec_F" localSheetId="8">OFFSET(#REF!,0,0,COUNTA(#REF!)-2,1)</definedName>
    <definedName name="Spec_F">OFFSET(#REF!,0,0,COUNTA(#REF!)-2,1)</definedName>
    <definedName name="Spec_FLF">OFFSET(#REF!,0,0,COUNTA(#REF!)-2,1)</definedName>
    <definedName name="Spec_FMPM">OFFSET(#REF!,0,0,COUNTA(#REF!)-2,1)</definedName>
    <definedName name="Spec_FNP">OFFSET(#REF!,0,0,COUNTA(#REF!)-2,1)</definedName>
    <definedName name="Spec_TS">OFFSET(#REF!,0,0,COUNTA(#REF!)-2,1)</definedName>
    <definedName name="Spec_TSLF">OFFSET(#REF!,0,0,COUNTA(#REF!)-2,1)</definedName>
    <definedName name="Spec_TSMPM">OFFSET(#REF!,0,0,COUNTA(#REF!)-2,1)</definedName>
    <definedName name="Spec_TSNP">OFFSET(#REF!,0,0,COUNTA(#REF!)-2,1)</definedName>
    <definedName name="ss" localSheetId="8" hidden="1">1/EUReXToBEF</definedName>
    <definedName name="ss" hidden="1">1/EUReXToBEF</definedName>
    <definedName name="ssc" localSheetId="8" hidden="1">{#N/A,#N/A,FALSE,"Eff-SSC2"}</definedName>
    <definedName name="ssc" hidden="1">{#N/A,#N/A,FALSE,"Eff-SSC2"}</definedName>
    <definedName name="SSCII" localSheetId="8" hidden="1">{#N/A,#N/A,FALSE,"Eff-SSC2"}</definedName>
    <definedName name="SSCII" hidden="1">{#N/A,#N/A,FALSE,"Eff-SSC2"}</definedName>
    <definedName name="sss" localSheetId="8" hidden="1">{#N/A,#N/A,FALSE,"Eff-SSC2"}</definedName>
    <definedName name="sss" hidden="1">{#N/A,#N/A,FALSE,"Eff-SSC2"}</definedName>
    <definedName name="st" hidden="1">#REF!</definedName>
    <definedName name="State_Income_Tax">'[9]Profit-volume-cost analysis'!$E$23</definedName>
    <definedName name="storage" localSheetId="8">#REF!</definedName>
    <definedName name="storage">#REF!</definedName>
    <definedName name="STR" localSheetId="8">#REF!</definedName>
    <definedName name="STR">#REF!</definedName>
    <definedName name="Strip" localSheetId="8" hidden="1">{#N/A,#N/A,FALSE,"Eff-SSC2"}</definedName>
    <definedName name="Strip" hidden="1">{#N/A,#N/A,FALSE,"Eff-SSC2"}</definedName>
    <definedName name="SWDSDSDS" localSheetId="8" hidden="1">{#N/A,#N/A,FALSE,"Eff-SSC2"}</definedName>
    <definedName name="SWDSDSDS" hidden="1">{#N/A,#N/A,FALSE,"Eff-SSC2"}</definedName>
    <definedName name="system">#REF!</definedName>
    <definedName name="t" localSheetId="8" hidden="1">{#N/A,#N/A,FALSE,"Eff-SSC2"}</definedName>
    <definedName name="t" hidden="1">{#N/A,#N/A,FALSE,"Eff-SSC2"}</definedName>
    <definedName name="T_Pcs">#N/A</definedName>
    <definedName name="tada" localSheetId="8" hidden="1">{#N/A,#N/A,FALSE,"Eff-SSC2"}</definedName>
    <definedName name="tada" hidden="1">{#N/A,#N/A,FALSE,"Eff-SSC2"}</definedName>
    <definedName name="Target_2009" localSheetId="8" hidden="1">{#N/A,#N/A,FALSE,"Eff-SSC2"}</definedName>
    <definedName name="Target_2009" hidden="1">{#N/A,#N/A,FALSE,"Eff-SSC2"}</definedName>
    <definedName name="tensile">#REF!</definedName>
    <definedName name="test" hidden="1">{#N/A,#N/A,FALSE,"Eff-SSC2"}</definedName>
    <definedName name="tgdg">#REF!</definedName>
    <definedName name="ThEnergy" localSheetId="8">#REF!</definedName>
    <definedName name="ThEnergy">#REF!</definedName>
    <definedName name="Thermal" localSheetId="8">'[10]ม_ค_ _2_'!#REF!</definedName>
    <definedName name="Thermal">'[10]ม_ค_ _2_'!#REF!</definedName>
    <definedName name="Thermal_10" localSheetId="8">'[10]ก_ค_ _2_'!#REF!</definedName>
    <definedName name="Thermal_10">'[10]ก_ค_ _2_'!#REF!</definedName>
    <definedName name="Thermal_11" localSheetId="8">'[10]ส_ค_ _2_'!#REF!</definedName>
    <definedName name="Thermal_11">'[10]ส_ค_ _2_'!#REF!</definedName>
    <definedName name="Thermal_12" localSheetId="8">'[10]ก_ย_ _2_'!#REF!</definedName>
    <definedName name="Thermal_12">'[10]ก_ย_ _2_'!#REF!</definedName>
    <definedName name="Thermal_13" localSheetId="8">'[10]ต_ค_ _2_'!#REF!</definedName>
    <definedName name="Thermal_13">'[10]ต_ค_ _2_'!#REF!</definedName>
    <definedName name="Thermal_14" localSheetId="8">'[10]พ_ย_ _2_'!#REF!</definedName>
    <definedName name="Thermal_14">'[10]พ_ย_ _2_'!#REF!</definedName>
    <definedName name="Thermal_15" localSheetId="8">'[10]ธ_ค_ _2_'!#REF!</definedName>
    <definedName name="Thermal_15">'[10]ธ_ค_ _2_'!#REF!</definedName>
    <definedName name="Thermal_16" localSheetId="8">#REF!</definedName>
    <definedName name="Thermal_16">#REF!</definedName>
    <definedName name="Thermal_17" localSheetId="8">#REF!</definedName>
    <definedName name="Thermal_17">#REF!</definedName>
    <definedName name="Thermal_18" localSheetId="8">#REF!</definedName>
    <definedName name="Thermal_18">#REF!</definedName>
    <definedName name="Thermal_19" localSheetId="8">#REF!</definedName>
    <definedName name="Thermal_19">#REF!</definedName>
    <definedName name="Thermal_20" localSheetId="8">#REF!</definedName>
    <definedName name="Thermal_20">#REF!</definedName>
    <definedName name="Thermal_21" localSheetId="8">#REF!</definedName>
    <definedName name="Thermal_21">#REF!</definedName>
    <definedName name="Thermal_22" localSheetId="8">#REF!</definedName>
    <definedName name="Thermal_22">#REF!</definedName>
    <definedName name="Thermal_23" localSheetId="8">#REF!</definedName>
    <definedName name="Thermal_23">#REF!</definedName>
    <definedName name="Thermal_24" localSheetId="8">#REF!</definedName>
    <definedName name="Thermal_24">#REF!</definedName>
    <definedName name="Thermal_25" localSheetId="8">#REF!</definedName>
    <definedName name="Thermal_25">#REF!</definedName>
    <definedName name="Thermal_26" localSheetId="8">#REF!</definedName>
    <definedName name="Thermal_26">#REF!</definedName>
    <definedName name="Thermal_5" localSheetId="8">'[10]ก_พ_ _2_'!#REF!</definedName>
    <definedName name="Thermal_5">'[10]ก_พ_ _2_'!#REF!</definedName>
    <definedName name="Thermal_6" localSheetId="8">'[10]ม___ค_ _2_'!#REF!</definedName>
    <definedName name="Thermal_6">'[10]ม___ค_ _2_'!#REF!</definedName>
    <definedName name="Thermal_7" localSheetId="8">'[10]เม_ย_ _2_'!#REF!</definedName>
    <definedName name="Thermal_7">'[10]เม_ย_ _2_'!#REF!</definedName>
    <definedName name="Thermal_8" localSheetId="8">'[10]พ_ค_ _2_'!#REF!</definedName>
    <definedName name="Thermal_8">'[10]พ_ค_ _2_'!#REF!</definedName>
    <definedName name="Thermal_9" localSheetId="8">'[10]ม__ย_ _2_'!#REF!</definedName>
    <definedName name="Thermal_9">'[10]ม__ย_ _2_'!#REF!</definedName>
    <definedName name="Thermal_i_10" localSheetId="8">'[10]ก_ค_ _2_'!#REF!</definedName>
    <definedName name="Thermal_i_10">'[10]ก_ค_ _2_'!#REF!</definedName>
    <definedName name="Thermal_i_11" localSheetId="8">'[10]ส_ค_ _2_'!#REF!</definedName>
    <definedName name="Thermal_i_11">'[10]ส_ค_ _2_'!#REF!</definedName>
    <definedName name="Thermal_i_12" localSheetId="8">'[10]ก_ย_ _2_'!#REF!</definedName>
    <definedName name="Thermal_i_12">'[10]ก_ย_ _2_'!#REF!</definedName>
    <definedName name="Thermal_i_13" localSheetId="8">'[10]ต_ค_ _2_'!#REF!</definedName>
    <definedName name="Thermal_i_13">'[10]ต_ค_ _2_'!#REF!</definedName>
    <definedName name="Thermal_i_14" localSheetId="8">'[10]พ_ย_ _2_'!#REF!</definedName>
    <definedName name="Thermal_i_14">'[10]พ_ย_ _2_'!#REF!</definedName>
    <definedName name="Thermal_i_15" localSheetId="8">'[10]ธ_ค_ _2_'!#REF!</definedName>
    <definedName name="Thermal_i_15">'[10]ธ_ค_ _2_'!#REF!</definedName>
    <definedName name="Thermal_i_16" localSheetId="8">#REF!</definedName>
    <definedName name="Thermal_i_16">#REF!</definedName>
    <definedName name="Thermal_i_17" localSheetId="8">#REF!</definedName>
    <definedName name="Thermal_i_17">#REF!</definedName>
    <definedName name="Thermal_i_18" localSheetId="8">#REF!</definedName>
    <definedName name="Thermal_i_18">#REF!</definedName>
    <definedName name="Thermal_i_19" localSheetId="8">#REF!</definedName>
    <definedName name="Thermal_i_19">#REF!</definedName>
    <definedName name="Thermal_i_20" localSheetId="8">#REF!</definedName>
    <definedName name="Thermal_i_20">#REF!</definedName>
    <definedName name="Thermal_i_21" localSheetId="8">#REF!</definedName>
    <definedName name="Thermal_i_21">#REF!</definedName>
    <definedName name="Thermal_i_22" localSheetId="8">#REF!</definedName>
    <definedName name="Thermal_i_22">#REF!</definedName>
    <definedName name="Thermal_i_23" localSheetId="8">#REF!</definedName>
    <definedName name="Thermal_i_23">#REF!</definedName>
    <definedName name="Thermal_i_24" localSheetId="8">#REF!</definedName>
    <definedName name="Thermal_i_24">#REF!</definedName>
    <definedName name="Thermal_i_25" localSheetId="8">#REF!</definedName>
    <definedName name="Thermal_i_25">#REF!</definedName>
    <definedName name="Thermal_i_26" localSheetId="8">#REF!</definedName>
    <definedName name="Thermal_i_26">#REF!</definedName>
    <definedName name="Thermal_i_5" localSheetId="8">'[10]ก_พ_ _2_'!#REF!</definedName>
    <definedName name="Thermal_i_5">'[10]ก_พ_ _2_'!#REF!</definedName>
    <definedName name="Thermal_i_6" localSheetId="8">'[10]ม___ค_ _2_'!#REF!</definedName>
    <definedName name="Thermal_i_6">'[10]ม___ค_ _2_'!#REF!</definedName>
    <definedName name="Thermal_i_7" localSheetId="8">'[10]เม_ย_ _2_'!#REF!</definedName>
    <definedName name="Thermal_i_7">'[10]เม_ย_ _2_'!#REF!</definedName>
    <definedName name="Thermal_i_8" localSheetId="8">'[10]พ_ค_ _2_'!#REF!</definedName>
    <definedName name="Thermal_i_8">'[10]พ_ค_ _2_'!#REF!</definedName>
    <definedName name="Thermal_i_9" localSheetId="8">'[10]ม__ย_ _2_'!#REF!</definedName>
    <definedName name="Thermal_i_9">'[10]ม__ย_ _2_'!#REF!</definedName>
    <definedName name="Thermal_o" localSheetId="8">'[10]ม_ค_ _2_'!#REF!</definedName>
    <definedName name="Thermal_o">'[10]ม_ค_ _2_'!#REF!</definedName>
    <definedName name="Thermal_o_10" localSheetId="8">'[10]ก_ค_ _2_'!#REF!</definedName>
    <definedName name="Thermal_o_10">'[10]ก_ค_ _2_'!#REF!</definedName>
    <definedName name="Thermal_o_11" localSheetId="8">'[10]ส_ค_ _2_'!#REF!</definedName>
    <definedName name="Thermal_o_11">'[10]ส_ค_ _2_'!#REF!</definedName>
    <definedName name="Thermal_o_12" localSheetId="8">'[10]ก_ย_ _2_'!#REF!</definedName>
    <definedName name="Thermal_o_12">'[10]ก_ย_ _2_'!#REF!</definedName>
    <definedName name="Thermal_o_13" localSheetId="8">'[10]ต_ค_ _2_'!#REF!</definedName>
    <definedName name="Thermal_o_13">'[10]ต_ค_ _2_'!#REF!</definedName>
    <definedName name="Thermal_o_14" localSheetId="8">'[10]พ_ย_ _2_'!#REF!</definedName>
    <definedName name="Thermal_o_14">'[10]พ_ย_ _2_'!#REF!</definedName>
    <definedName name="Thermal_o_15" localSheetId="8">'[10]ธ_ค_ _2_'!#REF!</definedName>
    <definedName name="Thermal_o_15">'[10]ธ_ค_ _2_'!#REF!</definedName>
    <definedName name="Thermal_o_16" localSheetId="8">#REF!</definedName>
    <definedName name="Thermal_o_16">#REF!</definedName>
    <definedName name="Thermal_o_17" localSheetId="8">#REF!</definedName>
    <definedName name="Thermal_o_17">#REF!</definedName>
    <definedName name="Thermal_o_18" localSheetId="8">#REF!</definedName>
    <definedName name="Thermal_o_18">#REF!</definedName>
    <definedName name="Thermal_o_19" localSheetId="8">#REF!</definedName>
    <definedName name="Thermal_o_19">#REF!</definedName>
    <definedName name="Thermal_o_20" localSheetId="8">#REF!</definedName>
    <definedName name="Thermal_o_20">#REF!</definedName>
    <definedName name="Thermal_o_21" localSheetId="8">#REF!</definedName>
    <definedName name="Thermal_o_21">#REF!</definedName>
    <definedName name="Thermal_o_22" localSheetId="8">#REF!</definedName>
    <definedName name="Thermal_o_22">#REF!</definedName>
    <definedName name="Thermal_o_23" localSheetId="8">#REF!</definedName>
    <definedName name="Thermal_o_23">#REF!</definedName>
    <definedName name="Thermal_o_24" localSheetId="8">#REF!</definedName>
    <definedName name="Thermal_o_24">#REF!</definedName>
    <definedName name="Thermal_o_25" localSheetId="8">#REF!</definedName>
    <definedName name="Thermal_o_25">#REF!</definedName>
    <definedName name="Thermal_o_26" localSheetId="8">#REF!</definedName>
    <definedName name="Thermal_o_26">#REF!</definedName>
    <definedName name="Thermal_o_5" localSheetId="8">'[10]ก_พ_ _2_'!#REF!</definedName>
    <definedName name="Thermal_o_5">'[10]ก_พ_ _2_'!#REF!</definedName>
    <definedName name="Thermal_o_6" localSheetId="8">'[10]ม___ค_ _2_'!#REF!</definedName>
    <definedName name="Thermal_o_6">'[10]ม___ค_ _2_'!#REF!</definedName>
    <definedName name="Thermal_o_7" localSheetId="8">'[10]เม_ย_ _2_'!#REF!</definedName>
    <definedName name="Thermal_o_7">'[10]เม_ย_ _2_'!#REF!</definedName>
    <definedName name="Thermal_o_8" localSheetId="8">'[10]พ_ค_ _2_'!#REF!</definedName>
    <definedName name="Thermal_o_8">'[10]พ_ค_ _2_'!#REF!</definedName>
    <definedName name="Thermal_o_9" localSheetId="8">'[10]ม__ย_ _2_'!#REF!</definedName>
    <definedName name="Thermal_o_9">'[10]ม__ย_ _2_'!#REF!</definedName>
    <definedName name="Tin" localSheetId="8">#REF!</definedName>
    <definedName name="Tin">#REF!</definedName>
    <definedName name="Tout" localSheetId="8">#REF!</definedName>
    <definedName name="Tout">#REF!</definedName>
    <definedName name="trader">#REF!</definedName>
    <definedName name="TS" localSheetId="8" hidden="1">{#N/A,#N/A,FALSE,"Eff-SSC2"}</definedName>
    <definedName name="TS" hidden="1">{#N/A,#N/A,FALSE,"Eff-SSC2"}</definedName>
    <definedName name="TS_EP">OFFSET(#REF!,0,0,COUNTA(#REF!)-3,1)</definedName>
    <definedName name="TS_LF">OFFSET(#REF!,0,0,COUNTA(#REF!)-3,1)</definedName>
    <definedName name="TS_MPM">OFFSET(#REF!,0,0,COUNTA(#REF!)-3,1)</definedName>
    <definedName name="TSNP">OFFSET(#REF!,0,0,COUNTA(#REF!)-3,1)</definedName>
    <definedName name="tt">#REF!</definedName>
    <definedName name="ttt" localSheetId="8" hidden="1">{#N/A,#N/A,FALSE,"Eff-SSC2"}</definedName>
    <definedName name="ttt" hidden="1">{#N/A,#N/A,FALSE,"Eff-SSC2"}</definedName>
    <definedName name="Turner1" localSheetId="8" hidden="1">{#N/A,#N/A,FALSE,"Eff-SSC2"}</definedName>
    <definedName name="Turner1" hidden="1">{#N/A,#N/A,FALSE,"Eff-SSC2"}</definedName>
    <definedName name="turnover">#REF!</definedName>
    <definedName name="Tuv" localSheetId="8" hidden="1">{#N/A,#N/A,FALSE,"Eff-SSC2"}</definedName>
    <definedName name="Tuv" hidden="1">{#N/A,#N/A,FALSE,"Eff-SSC2"}</definedName>
    <definedName name="Type">[13]List!$A$1:$A$6</definedName>
    <definedName name="Unit_Sales_Price">'[9]Profit-volume-cost analysis'!$E$5</definedName>
    <definedName name="v" localSheetId="8" hidden="1">{#N/A,#N/A,FALSE,"Eff-SSC2"}</definedName>
    <definedName name="v" hidden="1">{#N/A,#N/A,FALSE,"Eff-SSC2"}</definedName>
    <definedName name="vvvvv">#REF!</definedName>
    <definedName name="vyu" hidden="1">#REF!</definedName>
    <definedName name="w38a" localSheetId="8" hidden="1">{#N/A,#N/A,FALSE,"Eff-SSC2"}</definedName>
    <definedName name="w38a" hidden="1">{#N/A,#N/A,FALSE,"Eff-SSC2"}</definedName>
    <definedName name="w38b" localSheetId="8" hidden="1">{#N/A,#N/A,FALSE,"Eff-SSC2"}</definedName>
    <definedName name="w38b" hidden="1">{#N/A,#N/A,FALSE,"Eff-SSC2"}</definedName>
    <definedName name="w38c" localSheetId="8" hidden="1">{#N/A,#N/A,FALSE,"Eff-SSC2"}</definedName>
    <definedName name="w38c" hidden="1">{#N/A,#N/A,FALSE,"Eff-SSC2"}</definedName>
    <definedName name="wdf">#REF!</definedName>
    <definedName name="we" localSheetId="8" hidden="1">{#N/A,#N/A,FALSE,"Eff-SSC2"}</definedName>
    <definedName name="we" hidden="1">{#N/A,#N/A,FALSE,"Eff-SSC2"}</definedName>
    <definedName name="weea" localSheetId="8" hidden="1">{#N/A,#N/A,FALSE,"Eff-SSC2"}</definedName>
    <definedName name="weea" hidden="1">{#N/A,#N/A,FALSE,"Eff-SSC2"}</definedName>
    <definedName name="weeh36" localSheetId="8" hidden="1">{#N/A,#N/A,FALSE,"Eff-SSC2"}</definedName>
    <definedName name="weeh36" hidden="1">{#N/A,#N/A,FALSE,"Eff-SSC2"}</definedName>
    <definedName name="weeh37" localSheetId="8" hidden="1">{#N/A,#N/A,FALSE,"Eff-SSC2"}</definedName>
    <definedName name="weeh37" hidden="1">{#N/A,#N/A,FALSE,"Eff-SSC2"}</definedName>
    <definedName name="week_01" localSheetId="8" hidden="1">{#N/A,#N/A,FALSE,"Eff-SSC2"}</definedName>
    <definedName name="week_01" hidden="1">{#N/A,#N/A,FALSE,"Eff-SSC2"}</definedName>
    <definedName name="week1" localSheetId="8" hidden="1">{#N/A,#N/A,FALSE,"Eff-SSC2"}</definedName>
    <definedName name="week1" hidden="1">{#N/A,#N/A,FALSE,"Eff-SSC2"}</definedName>
    <definedName name="week2" localSheetId="8" hidden="1">{#N/A,#N/A,FALSE,"Eff-SSC2"}</definedName>
    <definedName name="week2" hidden="1">{#N/A,#N/A,FALSE,"Eff-SSC2"}</definedName>
    <definedName name="week34" localSheetId="8" hidden="1">{#N/A,#N/A,FALSE,"Eff-SSC2"}</definedName>
    <definedName name="week34" hidden="1">{#N/A,#N/A,FALSE,"Eff-SSC2"}</definedName>
    <definedName name="week35" localSheetId="8" hidden="1">{#N/A,#N/A,FALSE,"Eff-SSC2"}</definedName>
    <definedName name="week35" hidden="1">{#N/A,#N/A,FALSE,"Eff-SSC2"}</definedName>
    <definedName name="week36" localSheetId="8" hidden="1">{#N/A,#N/A,FALSE,"Eff-SSC2"}</definedName>
    <definedName name="week36" hidden="1">{#N/A,#N/A,FALSE,"Eff-SSC2"}</definedName>
    <definedName name="week361" localSheetId="8" hidden="1">{#N/A,#N/A,FALSE,"Eff-SSC2"}</definedName>
    <definedName name="week361" hidden="1">{#N/A,#N/A,FALSE,"Eff-SSC2"}</definedName>
    <definedName name="week37" localSheetId="8" hidden="1">{#N/A,#N/A,FALSE,"Eff-SSC2"}</definedName>
    <definedName name="week37" hidden="1">{#N/A,#N/A,FALSE,"Eff-SSC2"}</definedName>
    <definedName name="week38" localSheetId="8" hidden="1">{#N/A,#N/A,FALSE,"Eff-SSC2"}</definedName>
    <definedName name="week38" hidden="1">{#N/A,#N/A,FALSE,"Eff-SSC2"}</definedName>
    <definedName name="week39" localSheetId="8" hidden="1">{#N/A,#N/A,FALSE,"Eff-SSC2"}</definedName>
    <definedName name="week39" hidden="1">{#N/A,#N/A,FALSE,"Eff-SSC2"}</definedName>
    <definedName name="week53" localSheetId="8" hidden="1">{#N/A,#N/A,FALSE,"Eff-SSC2"}</definedName>
    <definedName name="week53" hidden="1">{#N/A,#N/A,FALSE,"Eff-SSC2"}</definedName>
    <definedName name="week54" localSheetId="8" hidden="1">{#N/A,#N/A,FALSE,"Eff-SSC2"}</definedName>
    <definedName name="week54" hidden="1">{#N/A,#N/A,FALSE,"Eff-SSC2"}</definedName>
    <definedName name="week55" localSheetId="8" hidden="1">{#N/A,#N/A,FALSE,"Eff-SSC2"}</definedName>
    <definedName name="week55" hidden="1">{#N/A,#N/A,FALSE,"Eff-SSC2"}</definedName>
    <definedName name="week6" localSheetId="8" hidden="1">{#N/A,#N/A,FALSE,"Eff-SSC2"}</definedName>
    <definedName name="week6" hidden="1">{#N/A,#N/A,FALSE,"Eff-SSC2"}</definedName>
    <definedName name="WK16_2005" localSheetId="8" hidden="1">{#N/A,#N/A,FALSE,"Eff-SSC2"}</definedName>
    <definedName name="WK16_2005" hidden="1">{#N/A,#N/A,FALSE,"Eff-SSC2"}</definedName>
    <definedName name="wrn.A" localSheetId="8" hidden="1">{#N/A,#N/A,FALSE,"Eff-SSC2"}</definedName>
    <definedName name="wrn.A" hidden="1">{#N/A,#N/A,FALSE,"Eff-SSC2"}</definedName>
    <definedName name="wrn.A." localSheetId="8" hidden="1">{#N/A,#N/A,FALSE,"Eff-SSC2"}</definedName>
    <definedName name="wrn.A." hidden="1">{#N/A,#N/A,FALSE,"Eff-SSC2"}</definedName>
    <definedName name="wrn.B." localSheetId="8" hidden="1">{#N/A,#N/A,FALSE,"Eff-SSC2"}</definedName>
    <definedName name="wrn.B." hidden="1">{#N/A,#N/A,FALSE,"Eff-SSC2"}</definedName>
    <definedName name="wrn.C." localSheetId="8" hidden="1">{#N/A,#N/A,FALSE,"Eff-SSC2"}</definedName>
    <definedName name="wrn.C." hidden="1">{#N/A,#N/A,FALSE,"Eff-SSC2"}</definedName>
    <definedName name="wrn.D." localSheetId="8" hidden="1">{#N/A,#N/A,FALSE,"Eff-SSC2"}</definedName>
    <definedName name="wrn.D." hidden="1">{#N/A,#N/A,FALSE,"Eff-SSC2"}</definedName>
    <definedName name="WS">#REF!</definedName>
    <definedName name="wss" localSheetId="8" hidden="1">{#N/A,#N/A,FALSE,"Eff-SSC2"}</definedName>
    <definedName name="wss" hidden="1">{#N/A,#N/A,FALSE,"Eff-SSC2"}</definedName>
    <definedName name="ww" localSheetId="8" hidden="1">{#N/A,#N/A,FALSE,"Eff-SSC2"}</definedName>
    <definedName name="ww" hidden="1">{#N/A,#N/A,FALSE,"Eff-SSC2"}</definedName>
    <definedName name="www">#REF!</definedName>
    <definedName name="wwww" localSheetId="8" hidden="1">{#N/A,#N/A,FALSE,"Eff-SSC2"}</definedName>
    <definedName name="wwww" hidden="1">{#N/A,#N/A,FALSE,"Eff-SSC2"}</definedName>
    <definedName name="X" localSheetId="8">#REF!</definedName>
    <definedName name="X">#REF!</definedName>
    <definedName name="xx" localSheetId="8" hidden="1">{#N/A,#N/A,FALSE,"Eff-SSC2"}</definedName>
    <definedName name="xx" hidden="1">{#N/A,#N/A,FALSE,"Eff-SSC2"}</definedName>
    <definedName name="xxx" localSheetId="8" hidden="1">1/EUReXToESP</definedName>
    <definedName name="xxx" hidden="1">1/EUReXToESP</definedName>
    <definedName name="Y" localSheetId="8">#REF!</definedName>
    <definedName name="Y">#REF!</definedName>
    <definedName name="ybv">#REF!</definedName>
    <definedName name="ydrz" localSheetId="8" hidden="1">1/EUReXToPTE</definedName>
    <definedName name="ydrz" hidden="1">1/EUReXToPTE</definedName>
    <definedName name="Yield" localSheetId="8">'[14]FISH 2'!#REF!</definedName>
    <definedName name="Yield">'[14]FISH 2'!#REF!</definedName>
    <definedName name="ying" localSheetId="8" hidden="1">{#N/A,#N/A,FALSE,"Eff-SSC2"}</definedName>
    <definedName name="ying" hidden="1">{#N/A,#N/A,FALSE,"Eff-SSC2"}</definedName>
    <definedName name="YTD">#REF!</definedName>
    <definedName name="YTD1">#REF!</definedName>
    <definedName name="yujkdtyud" localSheetId="8" hidden="1">{#N/A,#N/A,FALSE,"Eff-SSC2"}</definedName>
    <definedName name="yujkdtyud" hidden="1">{#N/A,#N/A,FALSE,"Eff-SSC2"}</definedName>
    <definedName name="yx" localSheetId="8" hidden="1">1/EUReXToFRF</definedName>
    <definedName name="yx" hidden="1">1/EUReXToFRF</definedName>
    <definedName name="yxx" localSheetId="8" hidden="1">1/EUReXToIEP</definedName>
    <definedName name="yxx" hidden="1">1/EUReXToIEP</definedName>
    <definedName name="Z" localSheetId="8">#REF!</definedName>
    <definedName name="Z">#REF!</definedName>
    <definedName name="Z_BORDER" localSheetId="8">#REF!</definedName>
    <definedName name="Z_BORDER">#REF!</definedName>
    <definedName name="ZZ" localSheetId="8" hidden="1">1/EUReXToIEP</definedName>
    <definedName name="ZZ" hidden="1">1/EUReXToIEP</definedName>
    <definedName name="เดือื่เ" localSheetId="8" hidden="1">{#N/A,#N/A,FALSE,"Eff-SSC2"}</definedName>
    <definedName name="เดือื่เ" hidden="1">{#N/A,#N/A,FALSE,"Eff-SSC2"}</definedName>
    <definedName name="เป็น">#REF!</definedName>
    <definedName name="เป็นซ้ำ">#REF!</definedName>
    <definedName name="เป้าหมายใหม่">#REF!</definedName>
    <definedName name="เพฟ" localSheetId="8" hidden="1">#REF!</definedName>
    <definedName name="เพฟ" hidden="1">#REF!</definedName>
    <definedName name="เหกเกเกกเกด" localSheetId="8">{#N/A,#N/A,FALSE,"Eff-SSC2"}</definedName>
    <definedName name="เหกเกเกกเกด">{#N/A,#N/A,FALSE,"Eff-SSC2"}</definedName>
    <definedName name="เหื" localSheetId="8" hidden="1">{#N/A,#N/A,FALSE,"Eff-SSC2"}</definedName>
    <definedName name="เหื" hidden="1">{#N/A,#N/A,FALSE,"Eff-SSC2"}</definedName>
    <definedName name="แ" localSheetId="8" hidden="1">{#N/A,#N/A,FALSE,"Eff-SSC2"}</definedName>
    <definedName name="แ" hidden="1">{#N/A,#N/A,FALSE,"Eff-SSC2"}</definedName>
    <definedName name="แบบร่าง" localSheetId="8" hidden="1">{#N/A,#N/A,FALSE,"Eff-SSC2"}</definedName>
    <definedName name="แบบร่าง" hidden="1">{#N/A,#N/A,FALSE,"Eff-SSC2"}</definedName>
    <definedName name="แผนก" localSheetId="8">#REF!</definedName>
    <definedName name="แผนก">#REF!</definedName>
    <definedName name="โครงร่าง" localSheetId="8">#REF!</definedName>
    <definedName name="โครงร่าง">#REF!</definedName>
    <definedName name="โครงสร้าง" localSheetId="8" hidden="1">{#N/A,#N/A,FALSE,"Eff-SSC2"}</definedName>
    <definedName name="โครงสร้าง" hidden="1">{#N/A,#N/A,FALSE,"Eff-SSC2"}</definedName>
    <definedName name="ไ">#REF!</definedName>
    <definedName name="ไก" localSheetId="8" hidden="1">{#N/A,#N/A,FALSE,"Eff-SSC2"}</definedName>
    <definedName name="ไก" hidden="1">{#N/A,#N/A,FALSE,"Eff-SSC2"}</definedName>
    <definedName name="ไป" localSheetId="8" hidden="1">{#N/A,#N/A,FALSE,"Eff-SSC2"}</definedName>
    <definedName name="ไป" hidden="1">{#N/A,#N/A,FALSE,"Eff-SSC2"}</definedName>
    <definedName name="ไม่เป็น" localSheetId="8">#REF!</definedName>
    <definedName name="ไม่เป็น">#REF!</definedName>
    <definedName name="ไม่ดำเนินการ" localSheetId="8">#REF!</definedName>
    <definedName name="ไม่ดำเนินการ">#REF!</definedName>
    <definedName name="ก" localSheetId="8" hidden="1">{#N/A,#N/A,FALSE,"Eff-SSC2"}</definedName>
    <definedName name="ก" hidden="1">{#N/A,#N/A,FALSE,"Eff-SSC2"}</definedName>
    <definedName name="กไก" hidden="1">#REF!</definedName>
    <definedName name="กกพ" localSheetId="8" hidden="1">{#N/A,#N/A,FALSE,"Eff-SSC2"}</definedName>
    <definedName name="กกพ" hidden="1">{#N/A,#N/A,FALSE,"Eff-SSC2"}</definedName>
    <definedName name="กดกดก" localSheetId="8" hidden="1">{#N/A,#N/A,FALSE,"Eff-SSC2"}</definedName>
    <definedName name="กดกดก" hidden="1">{#N/A,#N/A,FALSE,"Eff-SSC2"}</definedName>
    <definedName name="กฟ">#REF!</definedName>
    <definedName name="กหดกดหเ" localSheetId="8">{#N/A,#N/A,FALSE,"Eff-SSC2"}</definedName>
    <definedName name="กหดกดหเ">{#N/A,#N/A,FALSE,"Eff-SSC2"}</definedName>
    <definedName name="การโอนเงินระหว่างสาขา" localSheetId="8" hidden="1">{#N/A,#N/A,FALSE,"Eff-SSC2"}</definedName>
    <definedName name="การโอนเงินระหว่างสาขา" hidden="1">{#N/A,#N/A,FALSE,"Eff-SSC2"}</definedName>
    <definedName name="กิ">#REF!</definedName>
    <definedName name="ข้อที่4" localSheetId="8" hidden="1">{#N/A,#N/A,FALSE,"Eff-SSC2"}</definedName>
    <definedName name="ข้อที่4" hidden="1">{#N/A,#N/A,FALSE,"Eff-SSC2"}</definedName>
    <definedName name="คุณภาพ">#REF!</definedName>
    <definedName name="งง" localSheetId="8" hidden="1">{#N/A,#N/A,FALSE,"Eff-SSC2"}</definedName>
    <definedName name="งง" hidden="1">{#N/A,#N/A,FALSE,"Eff-SSC2"}</definedName>
    <definedName name="ชั่วโมงการอบไม้แปรรูป" localSheetId="8">#REF!</definedName>
    <definedName name="ชั่วโมงการอบไม้แปรรูป">#REF!</definedName>
    <definedName name="ชั่วโมงการอบผลิตภัณฑ์ไม้ประกอบชุด" localSheetId="8">#REF!</definedName>
    <definedName name="ชั่วโมงการอบผลิตภัณฑ์ไม้ประกอบชุด">#REF!</definedName>
    <definedName name="ซ่อมบำรุง">#REF!</definedName>
    <definedName name="ดกหเ">#REF!</definedName>
    <definedName name="ดด" localSheetId="8" hidden="1">{#N/A,#N/A,FALSE,"Eff-SSC2"}</definedName>
    <definedName name="ดด" hidden="1">{#N/A,#N/A,FALSE,"Eff-SSC2"}</definedName>
    <definedName name="ดำเนินการ">#REF!</definedName>
    <definedName name="ถ้ะ" localSheetId="8" hidden="1">{#N/A,#N/A,FALSE,"Eff-SSC2"}</definedName>
    <definedName name="ถ้ะ" hidden="1">{#N/A,#N/A,FALSE,"Eff-SSC2"}</definedName>
    <definedName name="ทท" hidden="1">#REF!</definedName>
    <definedName name="ทาทา" localSheetId="8" hidden="1">{#N/A,#N/A,FALSE,"Eff-SSC2"}</definedName>
    <definedName name="ทาทา" hidden="1">{#N/A,#N/A,FALSE,"Eff-SSC2"}</definedName>
    <definedName name="น" localSheetId="8" hidden="1">{#N/A,#N/A,FALSE,"Eff-SSC2"}</definedName>
    <definedName name="น" hidden="1">{#N/A,#N/A,FALSE,"Eff-SSC2"}</definedName>
    <definedName name="นน" localSheetId="8" hidden="1">{#N/A,#N/A,FALSE,"Eff-SSC2"}</definedName>
    <definedName name="นน" hidden="1">{#N/A,#N/A,FALSE,"Eff-SSC2"}</definedName>
    <definedName name="นัครงค์" localSheetId="8" hidden="1">{#N/A,#N/A,FALSE,"Eff-SSC2"}</definedName>
    <definedName name="นัครงค์" hidden="1">{#N/A,#N/A,FALSE,"Eff-SSC2"}</definedName>
    <definedName name="ปิดสรุป">#REF!</definedName>
    <definedName name="ผลการดำเนินงาน_Productivity">#REF!</definedName>
    <definedName name="ผลรวม">#REF!</definedName>
    <definedName name="ผลิตภัณฑ์ไม้ประกอบชุด">#REF!</definedName>
    <definedName name="ผิดพลาด">"บกพร่อง"</definedName>
    <definedName name="ผู้เข้าประชุมKz" localSheetId="8" hidden="1">{#N/A,#N/A,FALSE,"Eff-SSC2"}</definedName>
    <definedName name="ผู้เข้าประชุมKz" hidden="1">{#N/A,#N/A,FALSE,"Eff-SSC2"}</definedName>
    <definedName name="ผู้เสนอ" localSheetId="8">#REF!</definedName>
    <definedName name="ผู้เสนอ">#REF!</definedName>
    <definedName name="ผู้ปฎิบัติ" localSheetId="8">#REF!</definedName>
    <definedName name="ผู้ปฎิบัติ">#REF!</definedName>
    <definedName name="พ้" localSheetId="8" hidden="1">{#N/A,#N/A,FALSE,"Eff-SSC2"}</definedName>
    <definedName name="พ้" hidden="1">{#N/A,#N/A,FALSE,"Eff-SSC2"}</definedName>
    <definedName name="พดกเอาเสาเสเ" localSheetId="8" hidden="1">{#N/A,#N/A,FALSE,"Eff-SSC2"}</definedName>
    <definedName name="พดกเอาเสาเสเ" hidden="1">{#N/A,#N/A,FALSE,"Eff-SSC2"}</definedName>
    <definedName name="พพ" localSheetId="8" hidden="1">{#N/A,#N/A,FALSE,"Eff-SSC2"}</definedName>
    <definedName name="พพ" hidden="1">{#N/A,#N/A,FALSE,"Eff-SSC2"}</definedName>
    <definedName name="พำ" localSheetId="8" hidden="1">{#N/A,#N/A,FALSE,"Eff-SSC2"}</definedName>
    <definedName name="พำ" hidden="1">{#N/A,#N/A,FALSE,"Eff-SSC2"}</definedName>
    <definedName name="ฟ" localSheetId="8">#REF!</definedName>
    <definedName name="ฟ">#REF!</definedName>
    <definedName name="ฟ1" hidden="1">#REF!</definedName>
    <definedName name="ฟ1afa">#REF!</definedName>
    <definedName name="ฟฟ" localSheetId="8" hidden="1">{#N/A,#N/A,FALSE,"Eff-SSC2"}</definedName>
    <definedName name="ฟฟ" hidden="1">{#N/A,#N/A,FALSE,"Eff-SSC2"}</definedName>
    <definedName name="ฟฟฟ">#REF!</definedName>
    <definedName name="ฟหกด" localSheetId="8" hidden="1">{#N/A,#N/A,FALSE,"Eff-SSC2"}</definedName>
    <definedName name="ฟหกด" hidden="1">{#N/A,#N/A,FALSE,"Eff-SSC2"}</definedName>
    <definedName name="ย" localSheetId="8" hidden="1">#REF!</definedName>
    <definedName name="ย" hidden="1">#REF!</definedName>
    <definedName name="ยน" localSheetId="8" hidden="1">{#N/A,#N/A,FALSE,"Eff-SSC2"}</definedName>
    <definedName name="ยน" hidden="1">{#N/A,#N/A,FALSE,"Eff-SSC2"}</definedName>
    <definedName name="รหัสพนักงาน">#REF!</definedName>
    <definedName name="รัฃ" localSheetId="8" hidden="1">{#N/A,#N/A,FALSE,"Eff-SSC2"}</definedName>
    <definedName name="รัฃ" hidden="1">{#N/A,#N/A,FALSE,"Eff-SSC2"}</definedName>
    <definedName name="รับรองรายงานการประชุม_ครั้งที่">#REF!</definedName>
    <definedName name="ราคาขาย">#REF!</definedName>
    <definedName name="ลำดับที่1">#REF!</definedName>
    <definedName name="ลำดับที่2">#REF!</definedName>
    <definedName name="ลำดับที่3">#REF!</definedName>
    <definedName name="ลำดับที่30">#REF!</definedName>
    <definedName name="ลำดับที่4">#REF!</definedName>
    <definedName name="ลำดับที่5">#REF!</definedName>
    <definedName name="ลำดับที่6">#REF!</definedName>
    <definedName name="ส" localSheetId="8" hidden="1">{#N/A,#N/A,FALSE,"Eff-SSC2"}</definedName>
    <definedName name="ส" hidden="1">{#N/A,#N/A,FALSE,"Eff-SSC2"}</definedName>
    <definedName name="ส่ง">#REF!</definedName>
    <definedName name="ส่งออก05" localSheetId="8" hidden="1">{#N/A,#N/A,FALSE,"Eff-SSC2"}</definedName>
    <definedName name="ส่งออก05" hidden="1">{#N/A,#N/A,FALSE,"Eff-SSC2"}</definedName>
    <definedName name="สถิติ_spc" localSheetId="8" hidden="1">{#N/A,#N/A,FALSE,"Eff-SSC2"}</definedName>
    <definedName name="สถิติ_spc" hidden="1">{#N/A,#N/A,FALSE,"Eff-SSC2"}</definedName>
    <definedName name="สรรพหา" localSheetId="8" hidden="1">{#N/A,#N/A,FALSE,"Eff-SSC2"}</definedName>
    <definedName name="สรรพหา" hidden="1">{#N/A,#N/A,FALSE,"Eff-SSC2"}</definedName>
    <definedName name="สรุป" localSheetId="8" hidden="1">{#N/A,#N/A,FALSE,"Eff-SSC2"}</definedName>
    <definedName name="สรุป" hidden="1">{#N/A,#N/A,FALSE,"Eff-SSC2"}</definedName>
    <definedName name="ส่วนแปรรูปไม้" localSheetId="8">#REF!</definedName>
    <definedName name="ส่วนแปรรูปไม้">#REF!</definedName>
    <definedName name="ส่วนไม้แปรรูป">#REF!</definedName>
    <definedName name="ส่วนไม้แปรรูปอบแห้ง">#REF!</definedName>
    <definedName name="ส่วนไม้ประกอบชุด">#REF!</definedName>
    <definedName name="ส่วนซ่อมบำรุง" localSheetId="8">#REF!</definedName>
    <definedName name="ส่วนซ่อมบำรุง">#REF!</definedName>
    <definedName name="ส่วนบุคคล">#REF!</definedName>
    <definedName name="ส่วนประกันคุณภาพ">#REF!</definedName>
    <definedName name="ส่วนยางสกิมเครฟ">#REF!</definedName>
    <definedName name="ส่วนส่งออก">#REF!</definedName>
    <definedName name="สายพาน2" localSheetId="8" hidden="1">{#N/A,#N/A,FALSE,"Eff-SSC2"}</definedName>
    <definedName name="สายพาน2" hidden="1">{#N/A,#N/A,FALSE,"Eff-SSC2"}</definedName>
    <definedName name="สาส" localSheetId="8" hidden="1">{#N/A,#N/A,FALSE,"Eff-SSC2"}</definedName>
    <definedName name="สาส" hidden="1">{#N/A,#N/A,FALSE,"Eff-SSC2"}</definedName>
    <definedName name="ห" localSheetId="8" hidden="1">{#N/A,#N/A,FALSE,"Eff-SSC2"}</definedName>
    <definedName name="ห" hidden="1">{#N/A,#N/A,FALSE,"Eff-SSC2"}</definedName>
    <definedName name="หแ" localSheetId="8" hidden="1">{#N/A,#N/A,FALSE,"Eff-SSC2"}</definedName>
    <definedName name="หแ" hidden="1">{#N/A,#N/A,FALSE,"Eff-SSC2"}</definedName>
    <definedName name="หน.ช" localSheetId="8" hidden="1">{#N/A,#N/A,FALSE,"Eff-SSC2"}</definedName>
    <definedName name="หน.ช" hidden="1">{#N/A,#N/A,FALSE,"Eff-SSC2"}</definedName>
    <definedName name="หน้าที่งาน" localSheetId="8" hidden="1">{#N/A,#N/A,FALSE,"Eff-SSC2"}</definedName>
    <definedName name="หน้าที่งาน" hidden="1">{#N/A,#N/A,FALSE,"Eff-SSC2"}</definedName>
    <definedName name="หมวดสินค้า" localSheetId="8" hidden="1">{#N/A,#N/A,FALSE,"Eff-SSC2"}</definedName>
    <definedName name="หมวดสินค้า" hidden="1">{#N/A,#N/A,FALSE,"Eff-SSC2"}</definedName>
    <definedName name="ๆกหดะ">#REF!</definedName>
    <definedName name="ๆๆๆ" localSheetId="8" hidden="1">{#N/A,#N/A,FALSE,"Eff-SSC2"}</definedName>
    <definedName name="ๆๆๆ" hidden="1">{#N/A,#N/A,FALSE,"Eff-SSC2"}</definedName>
  </definedNames>
  <calcPr calcId="191029" concurrentManualCount="8"/>
</workbook>
</file>

<file path=xl/calcChain.xml><?xml version="1.0" encoding="utf-8"?>
<calcChain xmlns="http://schemas.openxmlformats.org/spreadsheetml/2006/main">
  <c r="B26" i="3" l="1"/>
  <c r="B46" i="15"/>
  <c r="B46" i="1"/>
  <c r="B37" i="6"/>
  <c r="E31" i="6"/>
  <c r="D30" i="6"/>
  <c r="E28" i="6"/>
  <c r="E27" i="6"/>
  <c r="E26" i="6"/>
  <c r="D26" i="6"/>
  <c r="D27" i="6"/>
  <c r="Q10" i="1"/>
  <c r="AO10" i="1" s="1"/>
  <c r="H78" i="14"/>
  <c r="H128" i="18"/>
  <c r="I85" i="18"/>
  <c r="F32" i="18"/>
  <c r="F44" i="18" s="1"/>
  <c r="H32" i="18"/>
  <c r="F83" i="18"/>
  <c r="J83" i="18" s="1"/>
  <c r="H78" i="18"/>
  <c r="H92" i="18" s="1"/>
  <c r="H93" i="18" s="1"/>
  <c r="F31" i="18"/>
  <c r="F38" i="18" s="1"/>
  <c r="J38" i="18" s="1"/>
  <c r="J224" i="18"/>
  <c r="J223" i="18"/>
  <c r="H91" i="18"/>
  <c r="H116" i="18" s="1"/>
  <c r="H117" i="18" s="1"/>
  <c r="J208" i="18"/>
  <c r="F15" i="18"/>
  <c r="H15" i="18"/>
  <c r="F17" i="18"/>
  <c r="J146" i="18"/>
  <c r="J150" i="18"/>
  <c r="J164" i="18"/>
  <c r="J163" i="18"/>
  <c r="J165" i="18"/>
  <c r="J162" i="18"/>
  <c r="H18" i="18"/>
  <c r="H17" i="18"/>
  <c r="G15" i="18"/>
  <c r="I15" i="18"/>
  <c r="F16" i="18"/>
  <c r="G16" i="18"/>
  <c r="H16" i="18"/>
  <c r="I16" i="18"/>
  <c r="I17" i="18"/>
  <c r="F18" i="18"/>
  <c r="I18" i="18"/>
  <c r="F21" i="18"/>
  <c r="J21" i="18" s="1"/>
  <c r="F22" i="18"/>
  <c r="J22" i="18" s="1"/>
  <c r="F23" i="18"/>
  <c r="J23" i="18" s="1"/>
  <c r="F24" i="18"/>
  <c r="J24" i="18" s="1"/>
  <c r="F25" i="18"/>
  <c r="G25" i="18"/>
  <c r="H25" i="18"/>
  <c r="I25" i="18"/>
  <c r="F26" i="18"/>
  <c r="G26" i="18"/>
  <c r="H26" i="18"/>
  <c r="I26" i="18"/>
  <c r="F27" i="18"/>
  <c r="G27" i="18"/>
  <c r="H27" i="18"/>
  <c r="I27" i="18"/>
  <c r="F28" i="18"/>
  <c r="G28" i="18"/>
  <c r="H28" i="18"/>
  <c r="I28" i="18"/>
  <c r="F29" i="18"/>
  <c r="F34" i="18" s="1"/>
  <c r="G29" i="18"/>
  <c r="G36" i="18" s="1"/>
  <c r="G37" i="18" s="1"/>
  <c r="H29" i="18"/>
  <c r="I29" i="18"/>
  <c r="F30" i="18"/>
  <c r="F46" i="18" s="1"/>
  <c r="G30" i="18"/>
  <c r="G39" i="18" s="1"/>
  <c r="G40" i="18" s="1"/>
  <c r="H30" i="18"/>
  <c r="I30" i="18"/>
  <c r="H31" i="18"/>
  <c r="I31" i="18"/>
  <c r="I32" i="18"/>
  <c r="F48" i="18"/>
  <c r="G48" i="18"/>
  <c r="H48" i="18"/>
  <c r="I48" i="18"/>
  <c r="F49" i="18"/>
  <c r="G49" i="18"/>
  <c r="H49" i="18"/>
  <c r="I49" i="18"/>
  <c r="F50" i="18"/>
  <c r="G50" i="18"/>
  <c r="H50" i="18"/>
  <c r="I50" i="18"/>
  <c r="F51" i="18"/>
  <c r="G51" i="18"/>
  <c r="H51" i="18"/>
  <c r="I51" i="18"/>
  <c r="F52" i="18"/>
  <c r="F54" i="18" s="1"/>
  <c r="J54" i="18" s="1"/>
  <c r="G52" i="18"/>
  <c r="G53" i="18" s="1"/>
  <c r="H52" i="18"/>
  <c r="H53" i="18" s="1"/>
  <c r="I52" i="18"/>
  <c r="I53" i="18" s="1"/>
  <c r="F55" i="18"/>
  <c r="F57" i="18" s="1"/>
  <c r="J57" i="18" s="1"/>
  <c r="G55" i="18"/>
  <c r="G56" i="18" s="1"/>
  <c r="H55" i="18"/>
  <c r="H56" i="18" s="1"/>
  <c r="I55" i="18"/>
  <c r="I56" i="18" s="1"/>
  <c r="F58" i="18"/>
  <c r="G58" i="18"/>
  <c r="G59" i="18" s="1"/>
  <c r="H58" i="18"/>
  <c r="H59" i="18" s="1"/>
  <c r="I58" i="18"/>
  <c r="I59" i="18" s="1"/>
  <c r="F61" i="18"/>
  <c r="F63" i="18" s="1"/>
  <c r="J63" i="18" s="1"/>
  <c r="G61" i="18"/>
  <c r="G62" i="18" s="1"/>
  <c r="H61" i="18"/>
  <c r="H62" i="18" s="1"/>
  <c r="I61" i="18"/>
  <c r="I62" i="18" s="1"/>
  <c r="F64" i="18"/>
  <c r="F66" i="18" s="1"/>
  <c r="J66" i="18" s="1"/>
  <c r="G64" i="18"/>
  <c r="G65" i="18" s="1"/>
  <c r="H64" i="18"/>
  <c r="H65" i="18" s="1"/>
  <c r="I64" i="18"/>
  <c r="I65" i="18" s="1"/>
  <c r="F67" i="18"/>
  <c r="G67" i="18"/>
  <c r="G68" i="18" s="1"/>
  <c r="H67" i="18"/>
  <c r="H68" i="18" s="1"/>
  <c r="I67" i="18"/>
  <c r="I68" i="18" s="1"/>
  <c r="F70" i="18"/>
  <c r="F72" i="18" s="1"/>
  <c r="J72" i="18" s="1"/>
  <c r="G70" i="18"/>
  <c r="G71" i="18" s="1"/>
  <c r="H70" i="18"/>
  <c r="H71" i="18" s="1"/>
  <c r="I70" i="18"/>
  <c r="I71" i="18" s="1"/>
  <c r="F73" i="18"/>
  <c r="F75" i="18" s="1"/>
  <c r="J75" i="18" s="1"/>
  <c r="G73" i="18"/>
  <c r="G74" i="18" s="1"/>
  <c r="H73" i="18"/>
  <c r="H74" i="18" s="1"/>
  <c r="I73" i="18"/>
  <c r="I74" i="18" s="1"/>
  <c r="F78" i="18"/>
  <c r="F93" i="18" s="1"/>
  <c r="G78" i="18"/>
  <c r="G92" i="18" s="1"/>
  <c r="G93" i="18" s="1"/>
  <c r="I78" i="18"/>
  <c r="I92" i="18" s="1"/>
  <c r="F79" i="18"/>
  <c r="G79" i="18"/>
  <c r="H79" i="18"/>
  <c r="I79" i="18"/>
  <c r="F80" i="18"/>
  <c r="G80" i="18"/>
  <c r="H80" i="18"/>
  <c r="I80" i="18"/>
  <c r="F81" i="18"/>
  <c r="G81" i="18"/>
  <c r="H81" i="18"/>
  <c r="I81" i="18"/>
  <c r="F82" i="18"/>
  <c r="F94" i="18" s="1"/>
  <c r="J94" i="18" s="1"/>
  <c r="F84" i="18"/>
  <c r="G84" i="18"/>
  <c r="G95" i="18" s="1"/>
  <c r="G96" i="18" s="1"/>
  <c r="H84" i="18"/>
  <c r="H95" i="18" s="1"/>
  <c r="I84" i="18"/>
  <c r="I95" i="18" s="1"/>
  <c r="I96" i="18" s="1"/>
  <c r="F85" i="18"/>
  <c r="F99" i="18" s="1"/>
  <c r="G85" i="18"/>
  <c r="G98" i="18" s="1"/>
  <c r="G99" i="18" s="1"/>
  <c r="H85" i="18"/>
  <c r="F86" i="18"/>
  <c r="F102" i="18" s="1"/>
  <c r="G86" i="18"/>
  <c r="G101" i="18" s="1"/>
  <c r="G102" i="18" s="1"/>
  <c r="H86" i="18"/>
  <c r="H101" i="18" s="1"/>
  <c r="H102" i="18" s="1"/>
  <c r="I86" i="18"/>
  <c r="I101" i="18" s="1"/>
  <c r="I102" i="18" s="1"/>
  <c r="F87" i="18"/>
  <c r="G87" i="18"/>
  <c r="G104" i="18" s="1"/>
  <c r="G105" i="18" s="1"/>
  <c r="H87" i="18"/>
  <c r="H104" i="18" s="1"/>
  <c r="H105" i="18" s="1"/>
  <c r="I87" i="18"/>
  <c r="I104" i="18" s="1"/>
  <c r="I105" i="18" s="1"/>
  <c r="F88" i="18"/>
  <c r="F108" i="18" s="1"/>
  <c r="G88" i="18"/>
  <c r="G107" i="18" s="1"/>
  <c r="G108" i="18" s="1"/>
  <c r="H88" i="18"/>
  <c r="H107" i="18" s="1"/>
  <c r="H108" i="18" s="1"/>
  <c r="I88" i="18"/>
  <c r="I107" i="18" s="1"/>
  <c r="I108" i="18" s="1"/>
  <c r="F89" i="18"/>
  <c r="G89" i="18"/>
  <c r="G110" i="18" s="1"/>
  <c r="G111" i="18" s="1"/>
  <c r="H89" i="18"/>
  <c r="H110" i="18" s="1"/>
  <c r="H111" i="18" s="1"/>
  <c r="I89" i="18"/>
  <c r="I110" i="18" s="1"/>
  <c r="I111" i="18" s="1"/>
  <c r="F90" i="18"/>
  <c r="G90" i="18"/>
  <c r="G113" i="18" s="1"/>
  <c r="G114" i="18" s="1"/>
  <c r="H90" i="18"/>
  <c r="H113" i="18" s="1"/>
  <c r="H114" i="18" s="1"/>
  <c r="I90" i="18"/>
  <c r="I113" i="18" s="1"/>
  <c r="I114" i="18" s="1"/>
  <c r="F91" i="18"/>
  <c r="G91" i="18"/>
  <c r="G116" i="18" s="1"/>
  <c r="G117" i="18" s="1"/>
  <c r="I91" i="18"/>
  <c r="I116" i="18" s="1"/>
  <c r="I117" i="18" s="1"/>
  <c r="F120" i="18"/>
  <c r="G120" i="18"/>
  <c r="H120" i="18"/>
  <c r="I120" i="18"/>
  <c r="F123" i="18"/>
  <c r="F130" i="18" s="1"/>
  <c r="G123" i="18"/>
  <c r="H123" i="18"/>
  <c r="I123" i="18"/>
  <c r="F124" i="18"/>
  <c r="G124" i="18"/>
  <c r="H124" i="18"/>
  <c r="I124" i="18"/>
  <c r="F125" i="18"/>
  <c r="G125" i="18"/>
  <c r="H125" i="18"/>
  <c r="I125" i="18"/>
  <c r="F126" i="18"/>
  <c r="F139" i="18" s="1"/>
  <c r="G126" i="18"/>
  <c r="H126" i="18"/>
  <c r="I126" i="18"/>
  <c r="F127" i="18"/>
  <c r="F134" i="18" s="1"/>
  <c r="J134" i="18" s="1"/>
  <c r="G127" i="18"/>
  <c r="H127" i="18"/>
  <c r="I127" i="18"/>
  <c r="F128" i="18"/>
  <c r="F137" i="18" s="1"/>
  <c r="J137" i="18" s="1"/>
  <c r="G128" i="18"/>
  <c r="I128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D229" i="18"/>
  <c r="G20" i="18" s="1"/>
  <c r="D6" i="14"/>
  <c r="E6" i="14"/>
  <c r="G6" i="14"/>
  <c r="H6" i="14"/>
  <c r="D7" i="14"/>
  <c r="H7" i="14" s="1"/>
  <c r="E7" i="14"/>
  <c r="G7" i="14"/>
  <c r="D8" i="14"/>
  <c r="E8" i="14"/>
  <c r="G8" i="14"/>
  <c r="H8" i="14"/>
  <c r="D9" i="14"/>
  <c r="H9" i="14" s="1"/>
  <c r="E9" i="14"/>
  <c r="G9" i="14"/>
  <c r="D10" i="14"/>
  <c r="E10" i="14"/>
  <c r="G10" i="14"/>
  <c r="H10" i="14"/>
  <c r="D11" i="14"/>
  <c r="H11" i="14" s="1"/>
  <c r="E11" i="14"/>
  <c r="G11" i="14"/>
  <c r="D12" i="14"/>
  <c r="E12" i="14"/>
  <c r="G12" i="14"/>
  <c r="H12" i="14"/>
  <c r="D13" i="14"/>
  <c r="H13" i="14" s="1"/>
  <c r="E13" i="14"/>
  <c r="G13" i="14"/>
  <c r="D14" i="14"/>
  <c r="E14" i="14"/>
  <c r="G14" i="14"/>
  <c r="H14" i="14"/>
  <c r="D15" i="14"/>
  <c r="D16" i="14" s="1"/>
  <c r="E15" i="14"/>
  <c r="E16" i="14" s="1"/>
  <c r="G15" i="14"/>
  <c r="G16" i="14" s="1"/>
  <c r="G17" i="14"/>
  <c r="F18" i="14"/>
  <c r="G18" i="14"/>
  <c r="H18" i="14"/>
  <c r="F19" i="14"/>
  <c r="G19" i="14"/>
  <c r="H19" i="14"/>
  <c r="F20" i="14"/>
  <c r="H20" i="14" s="1"/>
  <c r="G20" i="14"/>
  <c r="F21" i="14"/>
  <c r="G21" i="14"/>
  <c r="H21" i="14"/>
  <c r="F22" i="14"/>
  <c r="G22" i="14"/>
  <c r="H22" i="14"/>
  <c r="D23" i="14"/>
  <c r="H23" i="14" s="1"/>
  <c r="D24" i="14"/>
  <c r="H24" i="14"/>
  <c r="D25" i="14"/>
  <c r="H25" i="14"/>
  <c r="D26" i="14"/>
  <c r="H26" i="14"/>
  <c r="D27" i="14"/>
  <c r="H27" i="14" s="1"/>
  <c r="D29" i="14"/>
  <c r="E29" i="14"/>
  <c r="G29" i="14"/>
  <c r="H29" i="14"/>
  <c r="D30" i="14"/>
  <c r="H30" i="14" s="1"/>
  <c r="E30" i="14"/>
  <c r="G30" i="14"/>
  <c r="D31" i="14"/>
  <c r="E31" i="14"/>
  <c r="G31" i="14"/>
  <c r="H31" i="14"/>
  <c r="D33" i="14"/>
  <c r="E33" i="14"/>
  <c r="G33" i="14"/>
  <c r="H33" i="14"/>
  <c r="D34" i="14"/>
  <c r="E34" i="14"/>
  <c r="E35" i="14" s="1"/>
  <c r="D38" i="14"/>
  <c r="H38" i="14" s="1"/>
  <c r="E38" i="14"/>
  <c r="G38" i="14"/>
  <c r="D39" i="14"/>
  <c r="E39" i="14"/>
  <c r="G39" i="14"/>
  <c r="H39" i="14"/>
  <c r="D40" i="14"/>
  <c r="H40" i="14" s="1"/>
  <c r="E40" i="14"/>
  <c r="G40" i="14"/>
  <c r="D41" i="14"/>
  <c r="E41" i="14"/>
  <c r="G41" i="14"/>
  <c r="H41" i="14"/>
  <c r="D43" i="14"/>
  <c r="H43" i="14" s="1"/>
  <c r="E43" i="14"/>
  <c r="G43" i="14"/>
  <c r="D44" i="14"/>
  <c r="E44" i="14"/>
  <c r="G44" i="14"/>
  <c r="H44" i="14"/>
  <c r="D45" i="14"/>
  <c r="H45" i="14" s="1"/>
  <c r="E45" i="14"/>
  <c r="G45" i="14"/>
  <c r="D46" i="14"/>
  <c r="E46" i="14"/>
  <c r="G46" i="14"/>
  <c r="H46" i="14"/>
  <c r="D48" i="14"/>
  <c r="H48" i="14" s="1"/>
  <c r="E48" i="14"/>
  <c r="G48" i="14"/>
  <c r="D49" i="14"/>
  <c r="E49" i="14"/>
  <c r="G49" i="14"/>
  <c r="H49" i="14"/>
  <c r="D50" i="14"/>
  <c r="H50" i="14" s="1"/>
  <c r="E50" i="14"/>
  <c r="G50" i="14"/>
  <c r="D51" i="14"/>
  <c r="E51" i="14"/>
  <c r="G51" i="14"/>
  <c r="H51" i="14"/>
  <c r="G79" i="14"/>
  <c r="D17" i="14" s="1"/>
  <c r="G94" i="14"/>
  <c r="E32" i="14" s="1"/>
  <c r="G96" i="14"/>
  <c r="G34" i="14" s="1"/>
  <c r="G35" i="14" s="1"/>
  <c r="C31" i="6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2" i="1"/>
  <c r="Q11" i="1"/>
  <c r="Q12" i="1"/>
  <c r="Q13" i="1"/>
  <c r="Q14" i="1"/>
  <c r="Q15" i="1"/>
  <c r="Q16" i="1"/>
  <c r="Q17" i="1"/>
  <c r="Q18" i="1"/>
  <c r="Q19" i="1"/>
  <c r="Q20" i="1"/>
  <c r="Q21" i="1"/>
  <c r="Q23" i="1"/>
  <c r="I135" i="18" l="1"/>
  <c r="I136" i="18" s="1"/>
  <c r="J44" i="18"/>
  <c r="I98" i="18"/>
  <c r="I99" i="18" s="1"/>
  <c r="J32" i="18"/>
  <c r="H45" i="18"/>
  <c r="H46" i="18" s="1"/>
  <c r="F97" i="18"/>
  <c r="H129" i="18"/>
  <c r="I129" i="18"/>
  <c r="I130" i="18" s="1"/>
  <c r="I93" i="18"/>
  <c r="J93" i="18" s="1"/>
  <c r="H96" i="18"/>
  <c r="J82" i="18"/>
  <c r="H33" i="18"/>
  <c r="H34" i="18" s="1"/>
  <c r="F118" i="18"/>
  <c r="F113" i="18"/>
  <c r="J113" i="18" s="1"/>
  <c r="H141" i="18"/>
  <c r="F104" i="18"/>
  <c r="J104" i="18" s="1"/>
  <c r="F100" i="18"/>
  <c r="F142" i="18"/>
  <c r="F129" i="18"/>
  <c r="I39" i="18"/>
  <c r="I40" i="18" s="1"/>
  <c r="G132" i="18"/>
  <c r="G133" i="18" s="1"/>
  <c r="H138" i="18"/>
  <c r="G141" i="18"/>
  <c r="G42" i="18"/>
  <c r="F42" i="18"/>
  <c r="F40" i="18"/>
  <c r="J49" i="18"/>
  <c r="I138" i="18"/>
  <c r="J31" i="18"/>
  <c r="J29" i="18"/>
  <c r="J28" i="18"/>
  <c r="I33" i="18"/>
  <c r="I34" i="18" s="1"/>
  <c r="G33" i="18"/>
  <c r="G34" i="18" s="1"/>
  <c r="I42" i="18"/>
  <c r="I43" i="18" s="1"/>
  <c r="F140" i="18"/>
  <c r="J84" i="18"/>
  <c r="J17" i="18"/>
  <c r="J80" i="18"/>
  <c r="J91" i="18"/>
  <c r="J124" i="18"/>
  <c r="F98" i="18"/>
  <c r="F96" i="18"/>
  <c r="J58" i="18"/>
  <c r="J85" i="18"/>
  <c r="J128" i="18"/>
  <c r="J120" i="18"/>
  <c r="F110" i="18"/>
  <c r="J110" i="18" s="1"/>
  <c r="F33" i="18"/>
  <c r="J25" i="18"/>
  <c r="F133" i="18"/>
  <c r="J125" i="18"/>
  <c r="F116" i="18"/>
  <c r="J116" i="18" s="1"/>
  <c r="J81" i="18"/>
  <c r="J68" i="18"/>
  <c r="J53" i="18"/>
  <c r="F36" i="18"/>
  <c r="J26" i="18"/>
  <c r="F106" i="18"/>
  <c r="J90" i="18"/>
  <c r="F112" i="18"/>
  <c r="J88" i="18"/>
  <c r="J67" i="18"/>
  <c r="J52" i="18"/>
  <c r="J50" i="18"/>
  <c r="F35" i="18"/>
  <c r="J35" i="18" s="1"/>
  <c r="J15" i="18"/>
  <c r="J59" i="18"/>
  <c r="J74" i="18"/>
  <c r="J127" i="18"/>
  <c r="I36" i="18"/>
  <c r="G138" i="18"/>
  <c r="F69" i="18"/>
  <c r="J69" i="18" s="1"/>
  <c r="F143" i="18"/>
  <c r="G135" i="18"/>
  <c r="J61" i="18"/>
  <c r="F37" i="18"/>
  <c r="H36" i="18"/>
  <c r="J18" i="18"/>
  <c r="J16" i="18"/>
  <c r="F60" i="18"/>
  <c r="J60" i="18" s="1"/>
  <c r="J87" i="18"/>
  <c r="J48" i="18"/>
  <c r="H135" i="18"/>
  <c r="F117" i="18"/>
  <c r="J117" i="18" s="1"/>
  <c r="H98" i="18"/>
  <c r="H99" i="18" s="1"/>
  <c r="J51" i="18"/>
  <c r="I45" i="18"/>
  <c r="I46" i="18" s="1"/>
  <c r="G121" i="18"/>
  <c r="F135" i="18"/>
  <c r="J79" i="18"/>
  <c r="H42" i="18"/>
  <c r="J27" i="18"/>
  <c r="J65" i="18"/>
  <c r="I132" i="18"/>
  <c r="J56" i="18"/>
  <c r="G129" i="18"/>
  <c r="G130" i="18" s="1"/>
  <c r="H132" i="18"/>
  <c r="J123" i="18"/>
  <c r="F114" i="18"/>
  <c r="F107" i="18"/>
  <c r="J107" i="18" s="1"/>
  <c r="J70" i="18"/>
  <c r="J64" i="18"/>
  <c r="J55" i="18"/>
  <c r="J30" i="18"/>
  <c r="F20" i="18"/>
  <c r="J108" i="18"/>
  <c r="J102" i="18"/>
  <c r="J62" i="18"/>
  <c r="J71" i="18"/>
  <c r="I122" i="18"/>
  <c r="H122" i="18"/>
  <c r="F47" i="18"/>
  <c r="F41" i="18"/>
  <c r="H39" i="18"/>
  <c r="H40" i="18" s="1"/>
  <c r="F136" i="18"/>
  <c r="J126" i="18"/>
  <c r="F122" i="18"/>
  <c r="F115" i="18"/>
  <c r="F109" i="18"/>
  <c r="F103" i="18"/>
  <c r="J86" i="18"/>
  <c r="J78" i="18"/>
  <c r="G77" i="18"/>
  <c r="J73" i="18"/>
  <c r="G45" i="18"/>
  <c r="F43" i="18"/>
  <c r="G19" i="18"/>
  <c r="F121" i="18"/>
  <c r="F92" i="18"/>
  <c r="I77" i="18"/>
  <c r="I19" i="18"/>
  <c r="G122" i="18"/>
  <c r="H77" i="18"/>
  <c r="F138" i="18"/>
  <c r="F132" i="18"/>
  <c r="F111" i="18"/>
  <c r="F105" i="18"/>
  <c r="J105" i="18" s="1"/>
  <c r="J89" i="18"/>
  <c r="F77" i="18"/>
  <c r="F45" i="18"/>
  <c r="F39" i="18"/>
  <c r="I20" i="18"/>
  <c r="F19" i="18"/>
  <c r="F141" i="18"/>
  <c r="I141" i="18"/>
  <c r="I121" i="18"/>
  <c r="F101" i="18"/>
  <c r="J101" i="18" s="1"/>
  <c r="F95" i="18"/>
  <c r="H20" i="18"/>
  <c r="H19" i="18"/>
  <c r="F131" i="18"/>
  <c r="J131" i="18" s="1"/>
  <c r="H121" i="18"/>
  <c r="H34" i="14"/>
  <c r="H16" i="14"/>
  <c r="D32" i="14"/>
  <c r="E17" i="14"/>
  <c r="H17" i="14" s="1"/>
  <c r="G32" i="14"/>
  <c r="H15" i="14"/>
  <c r="D35" i="14"/>
  <c r="H35" i="14" s="1"/>
  <c r="AO23" i="15"/>
  <c r="AO23" i="1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G10" i="15"/>
  <c r="AH10" i="15"/>
  <c r="AH24" i="15" s="1"/>
  <c r="AC10" i="15"/>
  <c r="AC24" i="15" s="1"/>
  <c r="AH10" i="1"/>
  <c r="AG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10" i="1"/>
  <c r="AD10" i="1"/>
  <c r="AA10" i="1"/>
  <c r="AB10" i="1"/>
  <c r="I3" i="15"/>
  <c r="Q26" i="1"/>
  <c r="J99" i="18" l="1"/>
  <c r="J114" i="18"/>
  <c r="J109" i="18"/>
  <c r="G139" i="18"/>
  <c r="G43" i="18"/>
  <c r="G46" i="18"/>
  <c r="G142" i="18"/>
  <c r="J97" i="18"/>
  <c r="H43" i="18"/>
  <c r="G136" i="18"/>
  <c r="J106" i="18"/>
  <c r="J140" i="18"/>
  <c r="J115" i="18"/>
  <c r="H142" i="18"/>
  <c r="J118" i="18"/>
  <c r="I142" i="18"/>
  <c r="J41" i="18"/>
  <c r="J143" i="18"/>
  <c r="H139" i="18"/>
  <c r="J112" i="18"/>
  <c r="H136" i="18"/>
  <c r="I139" i="18"/>
  <c r="J111" i="18"/>
  <c r="J103" i="18"/>
  <c r="J47" i="18"/>
  <c r="J100" i="18"/>
  <c r="J95" i="18"/>
  <c r="J96" i="18"/>
  <c r="I133" i="18"/>
  <c r="I37" i="18"/>
  <c r="H133" i="18"/>
  <c r="J92" i="18"/>
  <c r="H37" i="18"/>
  <c r="H130" i="18"/>
  <c r="J36" i="18"/>
  <c r="J34" i="18"/>
  <c r="J40" i="18"/>
  <c r="J33" i="18"/>
  <c r="J20" i="18"/>
  <c r="J129" i="18"/>
  <c r="J135" i="18"/>
  <c r="J98" i="18"/>
  <c r="J45" i="18"/>
  <c r="J132" i="18"/>
  <c r="J138" i="18"/>
  <c r="J42" i="18"/>
  <c r="J77" i="18"/>
  <c r="J121" i="18"/>
  <c r="J141" i="18"/>
  <c r="J122" i="18"/>
  <c r="J19" i="18"/>
  <c r="J39" i="18"/>
  <c r="H32" i="14"/>
  <c r="AC24" i="1"/>
  <c r="AH24" i="1"/>
  <c r="F4" i="16"/>
  <c r="J142" i="18" l="1"/>
  <c r="J139" i="18"/>
  <c r="J46" i="18"/>
  <c r="J43" i="18"/>
  <c r="J136" i="18"/>
  <c r="J130" i="18"/>
  <c r="J133" i="18"/>
  <c r="J37" i="18"/>
  <c r="AE3" i="15"/>
  <c r="B20" i="6"/>
  <c r="J25" i="10"/>
  <c r="AA11" i="15"/>
  <c r="I4" i="15"/>
  <c r="AE3" i="1"/>
  <c r="B5" i="6"/>
  <c r="C29" i="6"/>
  <c r="AO41" i="15"/>
  <c r="AO40" i="15"/>
  <c r="AO39" i="15"/>
  <c r="AO38" i="15"/>
  <c r="AO37" i="15"/>
  <c r="AO36" i="15"/>
  <c r="AO33" i="15"/>
  <c r="AO32" i="15"/>
  <c r="AO31" i="15"/>
  <c r="AN29" i="15"/>
  <c r="AA29" i="15"/>
  <c r="Q29" i="15"/>
  <c r="AO29" i="15" s="1"/>
  <c r="AN28" i="15"/>
  <c r="AA28" i="15"/>
  <c r="Q28" i="15"/>
  <c r="AO28" i="15" s="1"/>
  <c r="AN27" i="15"/>
  <c r="AA27" i="15"/>
  <c r="Q27" i="15"/>
  <c r="AO27" i="15" s="1"/>
  <c r="AN26" i="15"/>
  <c r="AA26" i="15"/>
  <c r="Q26" i="15"/>
  <c r="AO26" i="15" s="1"/>
  <c r="AN25" i="15"/>
  <c r="AA25" i="15"/>
  <c r="Q25" i="15"/>
  <c r="AO25" i="15" s="1"/>
  <c r="AN24" i="15"/>
  <c r="AN44" i="15" s="1"/>
  <c r="AM23" i="15"/>
  <c r="AL23" i="15"/>
  <c r="AK23" i="15"/>
  <c r="AJ23" i="15"/>
  <c r="AI23" i="15"/>
  <c r="AG23" i="15"/>
  <c r="AF23" i="15"/>
  <c r="AE23" i="15"/>
  <c r="AD23" i="15"/>
  <c r="AB23" i="15"/>
  <c r="AA23" i="15"/>
  <c r="AM22" i="15"/>
  <c r="AL22" i="15"/>
  <c r="AK22" i="15"/>
  <c r="AJ22" i="15"/>
  <c r="AI22" i="15"/>
  <c r="AG22" i="15"/>
  <c r="AF22" i="15"/>
  <c r="AE22" i="15"/>
  <c r="AD22" i="15"/>
  <c r="AB22" i="15"/>
  <c r="AA22" i="15"/>
  <c r="AO22" i="15"/>
  <c r="AM21" i="15"/>
  <c r="AL21" i="15"/>
  <c r="AK21" i="15"/>
  <c r="AJ21" i="15"/>
  <c r="AI21" i="15"/>
  <c r="AG21" i="15"/>
  <c r="AF21" i="15"/>
  <c r="AE21" i="15"/>
  <c r="AD21" i="15"/>
  <c r="AB21" i="15"/>
  <c r="AA21" i="15"/>
  <c r="AO21" i="15"/>
  <c r="AM20" i="15"/>
  <c r="AL20" i="15"/>
  <c r="AK20" i="15"/>
  <c r="AJ20" i="15"/>
  <c r="AI20" i="15"/>
  <c r="AG20" i="15"/>
  <c r="AF20" i="15"/>
  <c r="AE20" i="15"/>
  <c r="AD20" i="15"/>
  <c r="AB20" i="15"/>
  <c r="AA20" i="15"/>
  <c r="AO20" i="15"/>
  <c r="AM19" i="15"/>
  <c r="AL19" i="15"/>
  <c r="AK19" i="15"/>
  <c r="AJ19" i="15"/>
  <c r="AI19" i="15"/>
  <c r="AG19" i="15"/>
  <c r="AF19" i="15"/>
  <c r="AE19" i="15"/>
  <c r="AD19" i="15"/>
  <c r="AB19" i="15"/>
  <c r="AA19" i="15"/>
  <c r="AO19" i="15"/>
  <c r="AM18" i="15"/>
  <c r="AL18" i="15"/>
  <c r="AK18" i="15"/>
  <c r="AJ18" i="15"/>
  <c r="AI18" i="15"/>
  <c r="AG18" i="15"/>
  <c r="AF18" i="15"/>
  <c r="AE18" i="15"/>
  <c r="AD18" i="15"/>
  <c r="AB18" i="15"/>
  <c r="AA18" i="15"/>
  <c r="AO18" i="15"/>
  <c r="AM17" i="15"/>
  <c r="AL17" i="15"/>
  <c r="AK17" i="15"/>
  <c r="AJ17" i="15"/>
  <c r="AI17" i="15"/>
  <c r="AG17" i="15"/>
  <c r="AF17" i="15"/>
  <c r="AE17" i="15"/>
  <c r="AD17" i="15"/>
  <c r="AB17" i="15"/>
  <c r="AA17" i="15"/>
  <c r="AO17" i="15"/>
  <c r="AM16" i="15"/>
  <c r="AL16" i="15"/>
  <c r="AK16" i="15"/>
  <c r="AJ16" i="15"/>
  <c r="AI16" i="15"/>
  <c r="AG16" i="15"/>
  <c r="AF16" i="15"/>
  <c r="AE16" i="15"/>
  <c r="AD16" i="15"/>
  <c r="AB16" i="15"/>
  <c r="AA16" i="15"/>
  <c r="AO16" i="15"/>
  <c r="AM15" i="15"/>
  <c r="AL15" i="15"/>
  <c r="AK15" i="15"/>
  <c r="AJ15" i="15"/>
  <c r="AI15" i="15"/>
  <c r="AG15" i="15"/>
  <c r="AF15" i="15"/>
  <c r="AE15" i="15"/>
  <c r="AD15" i="15"/>
  <c r="AB15" i="15"/>
  <c r="AA15" i="15"/>
  <c r="AO15" i="15"/>
  <c r="AM14" i="15"/>
  <c r="AL14" i="15"/>
  <c r="AK14" i="15"/>
  <c r="AJ14" i="15"/>
  <c r="AI14" i="15"/>
  <c r="AG14" i="15"/>
  <c r="AF14" i="15"/>
  <c r="AE14" i="15"/>
  <c r="AD14" i="15"/>
  <c r="AB14" i="15"/>
  <c r="AA14" i="15"/>
  <c r="AO14" i="15"/>
  <c r="AM13" i="15"/>
  <c r="AL13" i="15"/>
  <c r="AK13" i="15"/>
  <c r="AJ13" i="15"/>
  <c r="AI13" i="15"/>
  <c r="AG13" i="15"/>
  <c r="AF13" i="15"/>
  <c r="AE13" i="15"/>
  <c r="AD13" i="15"/>
  <c r="AB13" i="15"/>
  <c r="AA13" i="15"/>
  <c r="AO13" i="15"/>
  <c r="AM12" i="15"/>
  <c r="AL12" i="15"/>
  <c r="AK12" i="15"/>
  <c r="AJ12" i="15"/>
  <c r="AI12" i="15"/>
  <c r="AG12" i="15"/>
  <c r="AF12" i="15"/>
  <c r="AE12" i="15"/>
  <c r="AD12" i="15"/>
  <c r="AB12" i="15"/>
  <c r="AA12" i="15"/>
  <c r="AO12" i="15"/>
  <c r="AM11" i="15"/>
  <c r="AL11" i="15"/>
  <c r="AK11" i="15"/>
  <c r="AJ11" i="15"/>
  <c r="AI11" i="15"/>
  <c r="AG11" i="15"/>
  <c r="AF11" i="15"/>
  <c r="AE11" i="15"/>
  <c r="AD11" i="15"/>
  <c r="AB11" i="15"/>
  <c r="AO11" i="15"/>
  <c r="AM10" i="15"/>
  <c r="AL10" i="15"/>
  <c r="AK10" i="15"/>
  <c r="AJ10" i="15"/>
  <c r="AI10" i="15"/>
  <c r="AF10" i="15"/>
  <c r="AE10" i="15"/>
  <c r="AD10" i="15"/>
  <c r="AB10" i="15"/>
  <c r="AA10" i="15"/>
  <c r="AO10" i="15"/>
  <c r="AA26" i="1"/>
  <c r="AA27" i="1"/>
  <c r="AA28" i="1"/>
  <c r="AA29" i="1"/>
  <c r="AA25" i="1"/>
  <c r="Q27" i="1"/>
  <c r="Q28" i="1"/>
  <c r="Q29" i="1"/>
  <c r="Q25" i="1"/>
  <c r="AF24" i="15" l="1"/>
  <c r="AF45" i="15" s="1"/>
  <c r="AG24" i="15"/>
  <c r="AG44" i="15" s="1"/>
  <c r="AJ24" i="15"/>
  <c r="AJ44" i="15" s="1"/>
  <c r="AK24" i="15"/>
  <c r="AK44" i="15" s="1"/>
  <c r="AL24" i="15"/>
  <c r="AL45" i="15" s="1"/>
  <c r="AB24" i="15"/>
  <c r="AB44" i="15" s="1"/>
  <c r="AD24" i="15"/>
  <c r="AD45" i="15" s="1"/>
  <c r="AM24" i="15"/>
  <c r="AM44" i="15" s="1"/>
  <c r="AE24" i="15"/>
  <c r="AE45" i="15" s="1"/>
  <c r="AA24" i="15"/>
  <c r="AA44" i="15" s="1"/>
  <c r="AI24" i="15"/>
  <c r="AI45" i="15" s="1"/>
  <c r="AJ45" i="15"/>
  <c r="AO30" i="15"/>
  <c r="AP28" i="15" s="1"/>
  <c r="AO24" i="15"/>
  <c r="AP23" i="15" s="1"/>
  <c r="AO43" i="15"/>
  <c r="AP42" i="15" s="1"/>
  <c r="AO35" i="15"/>
  <c r="AP34" i="15" s="1"/>
  <c r="AN45" i="15"/>
  <c r="AP20" i="15" l="1"/>
  <c r="AP16" i="15"/>
  <c r="AP38" i="15"/>
  <c r="AP14" i="15"/>
  <c r="AP22" i="15"/>
  <c r="AP13" i="15"/>
  <c r="AP31" i="15"/>
  <c r="AP35" i="15" s="1"/>
  <c r="AP10" i="15"/>
  <c r="AP24" i="15" s="1"/>
  <c r="AP36" i="15"/>
  <c r="AP43" i="15" s="1"/>
  <c r="AK45" i="15"/>
  <c r="AP39" i="15"/>
  <c r="AP19" i="15"/>
  <c r="AP29" i="15"/>
  <c r="AD44" i="15"/>
  <c r="AP37" i="15"/>
  <c r="AP33" i="15"/>
  <c r="AP21" i="15"/>
  <c r="AP25" i="15"/>
  <c r="AP30" i="15" s="1"/>
  <c r="AG45" i="15"/>
  <c r="AP40" i="15"/>
  <c r="AP18" i="15"/>
  <c r="AP12" i="15"/>
  <c r="AP27" i="15"/>
  <c r="AP26" i="15"/>
  <c r="AP11" i="15"/>
  <c r="AP32" i="15"/>
  <c r="AP15" i="15"/>
  <c r="AF44" i="15"/>
  <c r="AP41" i="15"/>
  <c r="AP17" i="15"/>
  <c r="AM45" i="15"/>
  <c r="AL44" i="15"/>
  <c r="AB45" i="15"/>
  <c r="C26" i="6"/>
  <c r="C27" i="6"/>
  <c r="C28" i="6"/>
  <c r="AI44" i="15"/>
  <c r="AA45" i="15"/>
  <c r="AE44" i="15"/>
  <c r="AO45" i="15"/>
  <c r="AO44" i="15"/>
  <c r="AQ34" i="15" l="1"/>
  <c r="AQ23" i="15"/>
  <c r="AQ18" i="15"/>
  <c r="AQ14" i="15"/>
  <c r="AQ10" i="15"/>
  <c r="AQ19" i="15"/>
  <c r="AQ17" i="15"/>
  <c r="AQ31" i="15"/>
  <c r="AQ15" i="15"/>
  <c r="AQ33" i="15"/>
  <c r="AQ11" i="15"/>
  <c r="AQ32" i="15"/>
  <c r="AQ12" i="15"/>
  <c r="AQ21" i="15"/>
  <c r="AQ20" i="15"/>
  <c r="AQ13" i="15"/>
  <c r="AQ16" i="15"/>
  <c r="AQ22" i="15"/>
  <c r="AR23" i="15"/>
  <c r="AR42" i="15"/>
  <c r="AR34" i="15"/>
  <c r="AR15" i="15"/>
  <c r="AR19" i="15"/>
  <c r="AR38" i="15"/>
  <c r="AR39" i="15"/>
  <c r="AR22" i="15"/>
  <c r="AR41" i="15"/>
  <c r="AR33" i="15"/>
  <c r="AR37" i="15"/>
  <c r="AR14" i="15"/>
  <c r="AR10" i="15"/>
  <c r="AR12" i="15"/>
  <c r="AR18" i="15"/>
  <c r="AR20" i="15"/>
  <c r="AR16" i="15"/>
  <c r="AR17" i="15"/>
  <c r="AR32" i="15"/>
  <c r="AR11" i="15"/>
  <c r="AR40" i="15"/>
  <c r="AR36" i="15"/>
  <c r="AR31" i="15"/>
  <c r="AR13" i="15"/>
  <c r="AR21" i="15"/>
  <c r="D34" i="6"/>
  <c r="C30" i="6"/>
  <c r="D33" i="6" s="1"/>
  <c r="AR44" i="15" l="1"/>
  <c r="AQ44" i="15"/>
  <c r="F18" i="6" l="1"/>
  <c r="F34" i="6" s="1"/>
  <c r="F17" i="6"/>
  <c r="F33" i="6" s="1"/>
  <c r="AM10" i="1" l="1"/>
  <c r="AL10" i="1"/>
  <c r="AK10" i="1"/>
  <c r="AJ10" i="1"/>
  <c r="AI10" i="1"/>
  <c r="D9" i="13" l="1"/>
  <c r="G9" i="13" s="1"/>
  <c r="F9" i="13"/>
  <c r="F10" i="13"/>
  <c r="E10" i="13"/>
  <c r="G10" i="13" s="1"/>
  <c r="E9" i="13"/>
  <c r="D10" i="13"/>
  <c r="AJ20" i="1" l="1"/>
  <c r="AG11" i="1"/>
  <c r="AI11" i="1"/>
  <c r="AJ11" i="1"/>
  <c r="AK11" i="1"/>
  <c r="AG12" i="1"/>
  <c r="AI12" i="1"/>
  <c r="AJ12" i="1"/>
  <c r="AK12" i="1"/>
  <c r="AG13" i="1"/>
  <c r="AI13" i="1"/>
  <c r="AJ13" i="1"/>
  <c r="AK13" i="1"/>
  <c r="AG14" i="1"/>
  <c r="AI14" i="1"/>
  <c r="AJ14" i="1"/>
  <c r="AK14" i="1"/>
  <c r="AG15" i="1"/>
  <c r="AI15" i="1"/>
  <c r="AJ15" i="1"/>
  <c r="AK15" i="1"/>
  <c r="AG16" i="1"/>
  <c r="AI16" i="1"/>
  <c r="AJ16" i="1"/>
  <c r="AK16" i="1"/>
  <c r="AG17" i="1"/>
  <c r="AI17" i="1"/>
  <c r="AJ17" i="1"/>
  <c r="AK17" i="1"/>
  <c r="AG18" i="1"/>
  <c r="AI18" i="1"/>
  <c r="AJ18" i="1"/>
  <c r="AK18" i="1"/>
  <c r="AG19" i="1"/>
  <c r="AI19" i="1"/>
  <c r="AJ19" i="1"/>
  <c r="AK19" i="1"/>
  <c r="AG20" i="1"/>
  <c r="AI20" i="1"/>
  <c r="AK20" i="1"/>
  <c r="AG21" i="1"/>
  <c r="AI21" i="1"/>
  <c r="AJ21" i="1"/>
  <c r="AK21" i="1"/>
  <c r="AG22" i="1"/>
  <c r="AI22" i="1"/>
  <c r="AJ22" i="1"/>
  <c r="AK22" i="1"/>
  <c r="AG23" i="1"/>
  <c r="AI23" i="1"/>
  <c r="AJ23" i="1"/>
  <c r="AK23" i="1"/>
  <c r="AK24" i="1" l="1"/>
  <c r="F7" i="13" l="1"/>
  <c r="E6" i="13"/>
  <c r="D6" i="13"/>
  <c r="E7" i="13"/>
  <c r="D7" i="13"/>
  <c r="G7" i="13" s="1"/>
  <c r="G68" i="13"/>
  <c r="F25" i="13" s="1"/>
  <c r="F26" i="13" s="1"/>
  <c r="G66" i="13"/>
  <c r="G57" i="13"/>
  <c r="F17" i="13" s="1"/>
  <c r="F42" i="13"/>
  <c r="E42" i="13"/>
  <c r="D42" i="13"/>
  <c r="G42" i="13" s="1"/>
  <c r="F41" i="13"/>
  <c r="E41" i="13"/>
  <c r="D41" i="13"/>
  <c r="G41" i="13" s="1"/>
  <c r="F40" i="13"/>
  <c r="E40" i="13"/>
  <c r="D40" i="13"/>
  <c r="F39" i="13"/>
  <c r="E39" i="13"/>
  <c r="D39" i="13"/>
  <c r="G39" i="13" s="1"/>
  <c r="F37" i="13"/>
  <c r="E37" i="13"/>
  <c r="D37" i="13"/>
  <c r="F36" i="13"/>
  <c r="E36" i="13"/>
  <c r="D36" i="13"/>
  <c r="F35" i="13"/>
  <c r="E35" i="13"/>
  <c r="D35" i="13"/>
  <c r="G35" i="13" s="1"/>
  <c r="F34" i="13"/>
  <c r="E34" i="13"/>
  <c r="D34" i="13"/>
  <c r="F32" i="13"/>
  <c r="E32" i="13"/>
  <c r="D32" i="13"/>
  <c r="G32" i="13" s="1"/>
  <c r="F31" i="13"/>
  <c r="E31" i="13"/>
  <c r="D31" i="13"/>
  <c r="G31" i="13" s="1"/>
  <c r="F30" i="13"/>
  <c r="E30" i="13"/>
  <c r="D30" i="13"/>
  <c r="F29" i="13"/>
  <c r="E29" i="13"/>
  <c r="D29" i="13"/>
  <c r="G29" i="13" s="1"/>
  <c r="E25" i="13"/>
  <c r="E26" i="13" s="1"/>
  <c r="F24" i="13"/>
  <c r="E24" i="13"/>
  <c r="D24" i="13"/>
  <c r="F23" i="13"/>
  <c r="E23" i="13"/>
  <c r="D23" i="13"/>
  <c r="G23" i="13" s="1"/>
  <c r="F22" i="13"/>
  <c r="E22" i="13"/>
  <c r="D22" i="13"/>
  <c r="F21" i="13"/>
  <c r="E21" i="13"/>
  <c r="D21" i="13"/>
  <c r="G21" i="13" s="1"/>
  <c r="F20" i="13"/>
  <c r="E20" i="13"/>
  <c r="D20" i="13"/>
  <c r="G20" i="13" s="1"/>
  <c r="F15" i="13"/>
  <c r="F16" i="13" s="1"/>
  <c r="E15" i="13"/>
  <c r="E16" i="13" s="1"/>
  <c r="D15" i="13"/>
  <c r="F14" i="13"/>
  <c r="E14" i="13"/>
  <c r="D14" i="13"/>
  <c r="G14" i="13" s="1"/>
  <c r="F13" i="13"/>
  <c r="E13" i="13"/>
  <c r="D13" i="13"/>
  <c r="F12" i="13"/>
  <c r="E12" i="13"/>
  <c r="D12" i="13"/>
  <c r="G12" i="13" s="1"/>
  <c r="F11" i="13"/>
  <c r="E11" i="13"/>
  <c r="D11" i="13"/>
  <c r="G11" i="13" s="1"/>
  <c r="F8" i="13"/>
  <c r="E8" i="13"/>
  <c r="D8" i="13"/>
  <c r="F6" i="13"/>
  <c r="G13" i="13" l="1"/>
  <c r="G22" i="13"/>
  <c r="G34" i="13"/>
  <c r="D17" i="13"/>
  <c r="D25" i="13"/>
  <c r="G37" i="13"/>
  <c r="G6" i="13"/>
  <c r="D16" i="13"/>
  <c r="G16" i="13" s="1"/>
  <c r="G15" i="13"/>
  <c r="G24" i="13"/>
  <c r="G36" i="13"/>
  <c r="G8" i="13"/>
  <c r="G30" i="13"/>
  <c r="G40" i="13"/>
  <c r="E17" i="13"/>
  <c r="D26" i="13" l="1"/>
  <c r="G26" i="13" s="1"/>
  <c r="G25" i="13"/>
  <c r="G17" i="13"/>
  <c r="F4" i="6"/>
  <c r="I4" i="1"/>
  <c r="G4" i="3"/>
  <c r="G4" i="9"/>
  <c r="G3" i="10"/>
  <c r="F3" i="16" s="1"/>
  <c r="F3" i="6"/>
  <c r="I3" i="1"/>
  <c r="G3" i="3"/>
  <c r="G3" i="9"/>
  <c r="AF13" i="1" l="1"/>
  <c r="AN25" i="1" l="1"/>
  <c r="AO41" i="1" l="1"/>
  <c r="AO40" i="1"/>
  <c r="AO39" i="1"/>
  <c r="AO38" i="1"/>
  <c r="AO37" i="1"/>
  <c r="AO36" i="1"/>
  <c r="AO33" i="1"/>
  <c r="AO32" i="1"/>
  <c r="AO31" i="1"/>
  <c r="AN29" i="1"/>
  <c r="AO29" i="1"/>
  <c r="AN28" i="1"/>
  <c r="AO28" i="1"/>
  <c r="AN27" i="1"/>
  <c r="AO27" i="1"/>
  <c r="AN26" i="1"/>
  <c r="AO26" i="1"/>
  <c r="AO25" i="1"/>
  <c r="AN24" i="1"/>
  <c r="AN45" i="1" s="1"/>
  <c r="AM23" i="1"/>
  <c r="AL23" i="1"/>
  <c r="AF23" i="1"/>
  <c r="AE23" i="1"/>
  <c r="AD23" i="1"/>
  <c r="AB23" i="1"/>
  <c r="AA23" i="1"/>
  <c r="AM22" i="1"/>
  <c r="AL22" i="1"/>
  <c r="AF22" i="1"/>
  <c r="AE22" i="1"/>
  <c r="AD22" i="1"/>
  <c r="AB22" i="1"/>
  <c r="AA22" i="1"/>
  <c r="AO22" i="1"/>
  <c r="AM21" i="1"/>
  <c r="AL21" i="1"/>
  <c r="AF21" i="1"/>
  <c r="AE21" i="1"/>
  <c r="AD21" i="1"/>
  <c r="AB21" i="1"/>
  <c r="AA21" i="1"/>
  <c r="AO21" i="1"/>
  <c r="AM20" i="1"/>
  <c r="AL20" i="1"/>
  <c r="AF20" i="1"/>
  <c r="AE20" i="1"/>
  <c r="AD20" i="1"/>
  <c r="AB20" i="1"/>
  <c r="AA20" i="1"/>
  <c r="AO20" i="1"/>
  <c r="AM19" i="1"/>
  <c r="AL19" i="1"/>
  <c r="AF19" i="1"/>
  <c r="AE19" i="1"/>
  <c r="AD19" i="1"/>
  <c r="AB19" i="1"/>
  <c r="AA19" i="1"/>
  <c r="AO19" i="1"/>
  <c r="AM18" i="1"/>
  <c r="AL18" i="1"/>
  <c r="AF18" i="1"/>
  <c r="AE18" i="1"/>
  <c r="AD18" i="1"/>
  <c r="AB18" i="1"/>
  <c r="AA18" i="1"/>
  <c r="AO18" i="1"/>
  <c r="AM17" i="1"/>
  <c r="AL17" i="1"/>
  <c r="AF17" i="1"/>
  <c r="AE17" i="1"/>
  <c r="AD17" i="1"/>
  <c r="AB17" i="1"/>
  <c r="AA17" i="1"/>
  <c r="AO17" i="1"/>
  <c r="AM16" i="1"/>
  <c r="AL16" i="1"/>
  <c r="AF16" i="1"/>
  <c r="AE16" i="1"/>
  <c r="AD16" i="1"/>
  <c r="AB16" i="1"/>
  <c r="AA16" i="1"/>
  <c r="AO16" i="1"/>
  <c r="AM15" i="1"/>
  <c r="AL15" i="1"/>
  <c r="AF15" i="1"/>
  <c r="AE15" i="1"/>
  <c r="AD15" i="1"/>
  <c r="AB15" i="1"/>
  <c r="AA15" i="1"/>
  <c r="AO15" i="1"/>
  <c r="AM14" i="1"/>
  <c r="AL14" i="1"/>
  <c r="AF14" i="1"/>
  <c r="AE14" i="1"/>
  <c r="AD14" i="1"/>
  <c r="AB14" i="1"/>
  <c r="AA14" i="1"/>
  <c r="AO14" i="1"/>
  <c r="AM13" i="1"/>
  <c r="AL13" i="1"/>
  <c r="AE13" i="1"/>
  <c r="AD13" i="1"/>
  <c r="AB13" i="1"/>
  <c r="AA13" i="1"/>
  <c r="AO13" i="1"/>
  <c r="AM12" i="1"/>
  <c r="AL12" i="1"/>
  <c r="AF12" i="1"/>
  <c r="AE12" i="1"/>
  <c r="AD12" i="1"/>
  <c r="AB12" i="1"/>
  <c r="AA12" i="1"/>
  <c r="AO12" i="1"/>
  <c r="AM11" i="1"/>
  <c r="AL11" i="1"/>
  <c r="AF11" i="1"/>
  <c r="AE11" i="1"/>
  <c r="AD11" i="1"/>
  <c r="AB11" i="1"/>
  <c r="AA11" i="1"/>
  <c r="AO11" i="1"/>
  <c r="AF10" i="1"/>
  <c r="AE10" i="1"/>
  <c r="AO35" i="1" l="1"/>
  <c r="AP31" i="1" s="1"/>
  <c r="AO43" i="1"/>
  <c r="AP36" i="1" s="1"/>
  <c r="AG24" i="1"/>
  <c r="AG45" i="1" s="1"/>
  <c r="AL24" i="1"/>
  <c r="AL45" i="1" s="1"/>
  <c r="AJ24" i="1"/>
  <c r="AJ44" i="1" s="1"/>
  <c r="AE24" i="1"/>
  <c r="AE45" i="1" s="1"/>
  <c r="AB24" i="1"/>
  <c r="AB44" i="1" s="1"/>
  <c r="AO24" i="1"/>
  <c r="AP20" i="1" s="1"/>
  <c r="AA24" i="1"/>
  <c r="AA45" i="1" s="1"/>
  <c r="AF24" i="1"/>
  <c r="AF44" i="1" s="1"/>
  <c r="AK44" i="1"/>
  <c r="AN44" i="1"/>
  <c r="AD24" i="1"/>
  <c r="AD44" i="1" s="1"/>
  <c r="AI24" i="1"/>
  <c r="AI44" i="1" s="1"/>
  <c r="AM24" i="1"/>
  <c r="AM44" i="1" s="1"/>
  <c r="AO30" i="1"/>
  <c r="C13" i="6" l="1"/>
  <c r="AP26" i="1"/>
  <c r="AP25" i="1"/>
  <c r="AP32" i="1"/>
  <c r="C10" i="6"/>
  <c r="AP10" i="1"/>
  <c r="AP38" i="1"/>
  <c r="C12" i="6"/>
  <c r="AP33" i="1"/>
  <c r="AP34" i="1"/>
  <c r="C11" i="6"/>
  <c r="AE44" i="1"/>
  <c r="AF45" i="1"/>
  <c r="AJ45" i="1"/>
  <c r="AL44" i="1"/>
  <c r="AD45" i="1"/>
  <c r="AO44" i="1"/>
  <c r="AO45" i="1"/>
  <c r="AK45" i="1"/>
  <c r="AB45" i="1"/>
  <c r="AG44" i="1"/>
  <c r="AP12" i="1"/>
  <c r="AP15" i="1"/>
  <c r="AP14" i="1"/>
  <c r="AP11" i="1"/>
  <c r="AP16" i="1"/>
  <c r="AP22" i="1"/>
  <c r="AP17" i="1"/>
  <c r="AP13" i="1"/>
  <c r="AP18" i="1"/>
  <c r="AP23" i="1"/>
  <c r="AP19" i="1"/>
  <c r="AP21" i="1"/>
  <c r="AP42" i="1"/>
  <c r="AP39" i="1"/>
  <c r="AP37" i="1"/>
  <c r="AP40" i="1"/>
  <c r="AP41" i="1"/>
  <c r="AP29" i="1"/>
  <c r="AP27" i="1"/>
  <c r="AP28" i="1"/>
  <c r="AA44" i="1"/>
  <c r="AM45" i="1"/>
  <c r="AI45" i="1"/>
  <c r="C15" i="6" l="1"/>
  <c r="D18" i="6" s="1"/>
  <c r="C14" i="6"/>
  <c r="D10" i="6" s="1"/>
  <c r="AP35" i="1"/>
  <c r="AP24" i="1"/>
  <c r="AR42" i="1"/>
  <c r="AR10" i="1"/>
  <c r="AQ22" i="1"/>
  <c r="AQ10" i="1"/>
  <c r="AQ12" i="1"/>
  <c r="AR12" i="1"/>
  <c r="AQ16" i="1"/>
  <c r="AR32" i="1"/>
  <c r="AR15" i="1"/>
  <c r="AQ14" i="1"/>
  <c r="AR22" i="1"/>
  <c r="AR18" i="1"/>
  <c r="AQ11" i="1"/>
  <c r="AQ17" i="1"/>
  <c r="AQ20" i="1"/>
  <c r="AQ21" i="1"/>
  <c r="AQ32" i="1"/>
  <c r="AQ23" i="1"/>
  <c r="AQ33" i="1"/>
  <c r="AQ13" i="1"/>
  <c r="AQ19" i="1"/>
  <c r="AR31" i="1"/>
  <c r="AQ31" i="1"/>
  <c r="AQ34" i="1"/>
  <c r="AQ18" i="1"/>
  <c r="AQ15" i="1"/>
  <c r="AP30" i="1"/>
  <c r="AR37" i="1"/>
  <c r="AR41" i="1"/>
  <c r="AR17" i="1"/>
  <c r="AR40" i="1"/>
  <c r="AR20" i="1"/>
  <c r="AR23" i="1"/>
  <c r="E10" i="6"/>
  <c r="AR13" i="1"/>
  <c r="AR21" i="1"/>
  <c r="AR39" i="1"/>
  <c r="AR36" i="1"/>
  <c r="AR14" i="1"/>
  <c r="E12" i="6"/>
  <c r="AP43" i="1"/>
  <c r="E11" i="6"/>
  <c r="AR33" i="1"/>
  <c r="AR16" i="1"/>
  <c r="AR19" i="1"/>
  <c r="AR34" i="1"/>
  <c r="AR38" i="1"/>
  <c r="AR11" i="1"/>
  <c r="AQ44" i="1" l="1"/>
  <c r="AR44" i="1"/>
  <c r="D17" i="6"/>
  <c r="D11" i="6"/>
  <c r="D14" i="6" s="1"/>
  <c r="E15" i="6"/>
</calcChain>
</file>

<file path=xl/sharedStrings.xml><?xml version="1.0" encoding="utf-8"?>
<sst xmlns="http://schemas.openxmlformats.org/spreadsheetml/2006/main" count="1643" uniqueCount="518">
  <si>
    <t>ชื่อฟอร์ม</t>
  </si>
  <si>
    <t>รหัสฟอร์ม</t>
  </si>
  <si>
    <t>Fr-04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</si>
  <si>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</si>
  <si>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</si>
  <si>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</si>
  <si>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</si>
  <si>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</si>
  <si>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</si>
  <si>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ผลคูณ (TonCO2e)</t>
  </si>
  <si>
    <t>Total GHG</t>
  </si>
  <si>
    <t>คำอธิบายเพิ่มเติม</t>
  </si>
  <si>
    <r>
      <t>GWP</t>
    </r>
    <r>
      <rPr>
        <b/>
        <vertAlign val="subscript"/>
        <sz val="11"/>
        <color theme="0"/>
        <rFont val="Calibri"/>
        <family val="2"/>
        <scheme val="minor"/>
      </rPr>
      <t>100</t>
    </r>
  </si>
  <si>
    <t>ที่มา</t>
  </si>
  <si>
    <t>IPCC, AR4</t>
  </si>
  <si>
    <r>
      <t>GWP</t>
    </r>
    <r>
      <rPr>
        <b/>
        <vertAlign val="subscript"/>
        <sz val="8"/>
        <color theme="0"/>
        <rFont val="Tahoma"/>
        <family val="2"/>
      </rPr>
      <t>100</t>
    </r>
  </si>
  <si>
    <t>CO2</t>
  </si>
  <si>
    <t>หน่วย</t>
  </si>
  <si>
    <t>ปริมาณ</t>
  </si>
  <si>
    <r>
      <t>CO</t>
    </r>
    <r>
      <rPr>
        <b/>
        <vertAlign val="subscript"/>
        <sz val="8"/>
        <color theme="0"/>
        <rFont val="Tahoma"/>
        <family val="2"/>
      </rPr>
      <t>2</t>
    </r>
  </si>
  <si>
    <r>
      <t>CH</t>
    </r>
    <r>
      <rPr>
        <b/>
        <vertAlign val="subscript"/>
        <sz val="8"/>
        <color theme="0"/>
        <rFont val="Tahoma"/>
        <family val="2"/>
      </rPr>
      <t>4</t>
    </r>
  </si>
  <si>
    <r>
      <t>N</t>
    </r>
    <r>
      <rPr>
        <b/>
        <vertAlign val="subscript"/>
        <sz val="8"/>
        <color theme="0"/>
        <rFont val="Tahoma"/>
        <family val="2"/>
      </rPr>
      <t>2</t>
    </r>
    <r>
      <rPr>
        <b/>
        <sz val="8"/>
        <color theme="0"/>
        <rFont val="Tahoma"/>
        <family val="2"/>
      </rPr>
      <t>O</t>
    </r>
  </si>
  <si>
    <r>
      <t>SF</t>
    </r>
    <r>
      <rPr>
        <b/>
        <vertAlign val="subscript"/>
        <sz val="8"/>
        <color theme="0"/>
        <rFont val="Tahoma"/>
        <family val="2"/>
      </rPr>
      <t>6</t>
    </r>
  </si>
  <si>
    <r>
      <t>NF</t>
    </r>
    <r>
      <rPr>
        <b/>
        <vertAlign val="subscript"/>
        <sz val="8"/>
        <color theme="0"/>
        <rFont val="Tahoma"/>
        <family val="2"/>
      </rPr>
      <t>3</t>
    </r>
  </si>
  <si>
    <t>HFCs</t>
  </si>
  <si>
    <t>PFCs</t>
  </si>
  <si>
    <t>CH4</t>
  </si>
  <si>
    <t>N2O</t>
  </si>
  <si>
    <t>SF6</t>
  </si>
  <si>
    <t>NF3</t>
  </si>
  <si>
    <t>Other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</si>
  <si>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</si>
  <si>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</si>
  <si>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</si>
  <si>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</si>
  <si>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จัดทำโดย</t>
  </si>
  <si>
    <t>เสร็จสิ้นวันที่</t>
  </si>
  <si>
    <t>แผนภาพแสดงโครงสร้างขององค์กรและหน้าที่ความรับผิดชอบ</t>
  </si>
  <si>
    <t>อื่น ๆ</t>
  </si>
  <si>
    <t>สรุปการปล่อยก๊าซเรือนกระจกขององค์กร</t>
  </si>
  <si>
    <t>Fr-05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</si>
  <si>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</si>
  <si>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</si>
  <si>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</si>
  <si>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รวม Scope 1 &amp; 2</t>
  </si>
  <si>
    <t>ชื่อ</t>
  </si>
  <si>
    <t>Units</t>
  </si>
  <si>
    <t>EMISSION FACTORS</t>
  </si>
  <si>
    <t>แหล่งอ้างอิงข้อมูล</t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</si>
  <si>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</si>
  <si>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</si>
  <si>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</si>
  <si>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Total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</si>
  <si>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</si>
  <si>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</si>
  <si>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</si>
  <si>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t>Stationary Combustion</t>
  </si>
  <si>
    <t>Natural gas</t>
  </si>
  <si>
    <t>scf</t>
  </si>
  <si>
    <t>IPCC Vol.2 table 2.2, DEDE</t>
  </si>
  <si>
    <t>Lignite</t>
  </si>
  <si>
    <t>kg</t>
  </si>
  <si>
    <t>litre</t>
  </si>
  <si>
    <t>Gas/Diesel oil</t>
  </si>
  <si>
    <t>Anthracite</t>
  </si>
  <si>
    <t>Sub-bituminous coal</t>
  </si>
  <si>
    <t>Jet Kerosene</t>
  </si>
  <si>
    <t>LPG</t>
  </si>
  <si>
    <t>Mobile Combustion (On road)</t>
  </si>
  <si>
    <t xml:space="preserve">Motor Gasoline - uncontrolled </t>
  </si>
  <si>
    <t>IPCC Vol.2 table 3.2.1, 3.2.2, DEDE</t>
  </si>
  <si>
    <t>Motor Gasoline -oxydation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</si>
  <si>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</si>
  <si>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</si>
  <si>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</si>
  <si>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</si>
  <si>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</si>
  <si>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</si>
  <si>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</si>
  <si>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</si>
  <si>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</si>
  <si>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</si>
  <si>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</si>
  <si>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</si>
  <si>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</si>
  <si>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</si>
  <si>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</si>
  <si>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</si>
  <si>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</si>
  <si>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</si>
  <si>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</si>
  <si>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</si>
  <si>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</si>
  <si>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gasoline</t>
  </si>
  <si>
    <t>*ref. from PTT</t>
  </si>
  <si>
    <t xml:space="preserve">Mobile Combustion (Off road) </t>
  </si>
  <si>
    <t>รายละเอียดขององค์กร</t>
  </si>
  <si>
    <t>บัญชีรายการก๊าซเรือนกระจก</t>
  </si>
  <si>
    <t>องค์กร</t>
  </si>
  <si>
    <t xml:space="preserve">หน้าที่ </t>
  </si>
  <si>
    <t>Fr-01</t>
  </si>
  <si>
    <t>ผู้จัดทำ</t>
  </si>
  <si>
    <t>วันที่จัดทำ</t>
  </si>
  <si>
    <t>ชื่อองค์กรที่ขอขึ้นทะเบียน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</si>
  <si>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</si>
  <si>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</si>
  <si>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</si>
  <si>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</si>
  <si>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</si>
  <si>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</si>
  <si>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</si>
  <si>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</si>
  <si>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</si>
  <si>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</si>
  <si>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</si>
  <si>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</si>
  <si>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</si>
  <si>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</si>
  <si>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Subsitute</t>
  </si>
  <si>
    <t>แหล่งอ้างอิง</t>
  </si>
  <si>
    <t>1st</t>
  </si>
  <si>
    <t>2nd</t>
  </si>
  <si>
    <t>Self collct</t>
  </si>
  <si>
    <t>Supplier</t>
  </si>
  <si>
    <t>TH LCI DB</t>
  </si>
  <si>
    <t>TGO EF</t>
  </si>
  <si>
    <t>Thai Res.</t>
  </si>
  <si>
    <t>Int. DB</t>
  </si>
  <si>
    <t>ผลคูณ (Ton GHG)</t>
  </si>
  <si>
    <t>ค่า EF (kg GHG/หน่วย)</t>
  </si>
  <si>
    <t>ประเภท 1</t>
  </si>
  <si>
    <t>สัดส่วน (%)</t>
  </si>
  <si>
    <t>สัดส่วน (%) (SCOPE 1+2)</t>
  </si>
  <si>
    <t>สัดส่วน (%) (SCOPE 1+2+3)</t>
  </si>
  <si>
    <t>บันทึกการแก้ไข</t>
  </si>
  <si>
    <t>ลำดับ</t>
  </si>
  <si>
    <t>Sheet</t>
  </si>
  <si>
    <t>Cell</t>
  </si>
  <si>
    <t>รายละเอียด</t>
  </si>
  <si>
    <t>AM,AN,AO</t>
  </si>
  <si>
    <t>เพิ่มการคำนวณสัดส่วน (%)</t>
  </si>
  <si>
    <t>C10-C13</t>
  </si>
  <si>
    <t>ลบสูตร Round up</t>
  </si>
  <si>
    <t>รวม Scope 1 &amp; 2 &amp; 3</t>
  </si>
  <si>
    <t>B15</t>
  </si>
  <si>
    <t>เพิ่มการคำนวณรวม Scope 1 &amp; 2 &amp; 3</t>
  </si>
  <si>
    <t>TGO_EF</t>
  </si>
  <si>
    <t>เพิ่ม EF  Gasoline Stationary Combustion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</si>
  <si>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</si>
  <si>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Motor gasoline</t>
  </si>
  <si>
    <t>Motor Gasoline - oxydation catalyst</t>
  </si>
  <si>
    <t>MJ</t>
  </si>
  <si>
    <t>IPCC, AR5</t>
  </si>
  <si>
    <t>เพิ่ม Sheet EF TGO AR5</t>
  </si>
  <si>
    <t>Fuel oil A</t>
  </si>
  <si>
    <t>Residual fuel oil (Fuel oil A)</t>
  </si>
  <si>
    <t>Residual fuel oil (Fuel oil C)</t>
  </si>
  <si>
    <t>Fuel oil C</t>
  </si>
  <si>
    <t>IPCC Vol.2 table 2.2, PTT</t>
  </si>
  <si>
    <t>IPCC Vol.2 table 2.2, DEDE LPG 1 litre = 0.54 kg</t>
  </si>
  <si>
    <t>IPCC Vol.2 table 3.2.1, 3.2.2, DEDE LPG 1 litre = 0.54 kg</t>
  </si>
  <si>
    <t>PASS: 12345678</t>
  </si>
  <si>
    <t>ผู้ทำการแก้ไข</t>
  </si>
  <si>
    <t>มนต์ชัย จิตติปัญญากุล</t>
  </si>
  <si>
    <t>แก้ไขสูตรการคำนวณให้ใช้ GWP AR5</t>
  </si>
  <si>
    <t>ใส่สูตร Roundup ในแต่ละ SCOPE</t>
  </si>
  <si>
    <t>Electricity, grid mix (ไฟฟ้า)</t>
  </si>
  <si>
    <t>ไฟฟ้าแบบ grid mix ปี 2016-2018; LCIA
method IPCC 2013 GWP 100a V1.03</t>
  </si>
  <si>
    <t>kWh</t>
  </si>
  <si>
    <t>Thai National LCI Database,
TIISMTEC-NSTDA, AR5
(with TGO electricity 2016-2018)</t>
  </si>
  <si>
    <t>Refrigerants (สารทำความเย็น)</t>
  </si>
  <si>
    <t>R-32</t>
  </si>
  <si>
    <t>R-134</t>
  </si>
  <si>
    <t>R-134a</t>
  </si>
  <si>
    <t>IPCC 2013, AR5</t>
  </si>
  <si>
    <t>R-22 (HCFC-22)</t>
  </si>
  <si>
    <t xml:space="preserve"> -</t>
  </si>
  <si>
    <t>เพิ่ม EF  ไฟฟ้า และสารทำความเย็น</t>
  </si>
  <si>
    <t>Carbon intensity (Scope 1+2)</t>
  </si>
  <si>
    <t>Carbon intensity (Scope 1+2+3)</t>
  </si>
  <si>
    <t>ระบุหน่วย</t>
  </si>
  <si>
    <t>ผลผลิต</t>
  </si>
  <si>
    <t>Fr-01 Fr-05</t>
  </si>
  <si>
    <t>TonCO2eq/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</si>
  <si>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</si>
  <si>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</si>
  <si>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</si>
  <si>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</si>
  <si>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</si>
  <si>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</si>
  <si>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</si>
  <si>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</si>
  <si>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</si>
  <si>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</si>
  <si>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R-125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</si>
  <si>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</si>
  <si>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</si>
  <si>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</si>
  <si>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</si>
  <si>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Wood / Wood Waste (FUEL WOOD)</t>
  </si>
  <si>
    <t>Other Primary Solid
Biomass</t>
  </si>
  <si>
    <r>
      <t>m</t>
    </r>
    <r>
      <rPr>
        <vertAlign val="superscript"/>
        <sz val="11"/>
        <rFont val="Calibri"/>
        <family val="2"/>
        <scheme val="minor"/>
      </rPr>
      <t>3</t>
    </r>
  </si>
  <si>
    <t xml:space="preserve"> (TonCO2e)</t>
  </si>
  <si>
    <t>บัญชีรายการก๊าซเรือนกระจก ปีฐาน (base year)</t>
  </si>
  <si>
    <t>ระบุความแตกต่างระหว่างการรายงานปริมาณก๊าซเรือนกระจกของปีฐานและปีปัจจุบัน</t>
  </si>
  <si>
    <t>ปีฐาน</t>
  </si>
  <si>
    <t>ปีปัจจุบัน</t>
  </si>
  <si>
    <t xml:space="preserve"> ระบุปีที่เก็บข้อมูล เช่น ม.ค.63-ธ.ค.63</t>
  </si>
  <si>
    <t>ปีที่เก็บข้อมูล</t>
  </si>
  <si>
    <t>Fr-04.1</t>
  </si>
  <si>
    <t>เปรียบเทียบ</t>
  </si>
  <si>
    <t>ผลผลิตปีฐาน</t>
  </si>
  <si>
    <t xml:space="preserve"> ระบุปีฐาน เช่น ม.ค.61-ธ.ค.61</t>
  </si>
  <si>
    <t>Fr-01, Fr-04.2, Fr-05</t>
  </si>
  <si>
    <t>EF TGO AR5</t>
  </si>
  <si>
    <t>m3</t>
  </si>
  <si>
    <t>ประเมินความมีนัยสำคัญของการปล่อยก๊าซเรือนกระจกทางอ้อม (SCOPE 3)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</si>
  <si>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</si>
  <si>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</si>
  <si>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</si>
  <si>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</si>
  <si>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</si>
  <si>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</si>
  <si>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</si>
  <si>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</si>
  <si>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</si>
  <si>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</si>
  <si>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</si>
  <si>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</si>
  <si>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</si>
  <si>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</si>
  <si>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</si>
  <si>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</si>
  <si>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</si>
  <si>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</si>
  <si>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</si>
  <si>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</si>
  <si>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</si>
  <si>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</si>
  <si>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</si>
  <si>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</si>
  <si>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</si>
  <si>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</si>
  <si>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</si>
  <si>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</si>
  <si>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</si>
  <si>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</si>
  <si>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</si>
  <si>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</si>
  <si>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</si>
  <si>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</si>
  <si>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</si>
  <si>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</si>
  <si>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</si>
  <si>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</si>
  <si>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</si>
  <si>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</si>
  <si>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</si>
  <si>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Fr-03.2</t>
  </si>
  <si>
    <t>Fr-03.1</t>
  </si>
  <si>
    <t>เพิ่ม การคำนวณ Carbon Intensity</t>
  </si>
  <si>
    <t>เพิ่ม การคำนวณปีฐาน</t>
  </si>
  <si>
    <t>เพิ่ม EF Biomass</t>
  </si>
  <si>
    <t>เพิ่ม Fr-03.2 ประเมินความมีนัยสำคัญของการปล่อยก๊าซเรือนกระจกทางอ้อม (SCOPE 3)</t>
  </si>
  <si>
    <t xml:space="preserve">Fr-03.2 </t>
  </si>
  <si>
    <t xml:space="preserve">Fossil CH4 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</si>
  <si>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</si>
  <si>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</si>
  <si>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Fr-04.2</t>
  </si>
  <si>
    <t>เพิ่มคอลัมน์ Fossil CH4</t>
  </si>
  <si>
    <r>
      <t>Fossil CH</t>
    </r>
    <r>
      <rPr>
        <b/>
        <vertAlign val="subscript"/>
        <sz val="10"/>
        <color theme="0"/>
        <rFont val="Arial"/>
        <family val="2"/>
      </rPr>
      <t xml:space="preserve">4 </t>
    </r>
  </si>
  <si>
    <r>
      <t>CH</t>
    </r>
    <r>
      <rPr>
        <b/>
        <vertAlign val="subscript"/>
        <sz val="10"/>
        <color theme="0"/>
        <rFont val="Arial"/>
        <family val="2"/>
      </rPr>
      <t xml:space="preserve">4 </t>
    </r>
  </si>
  <si>
    <t>ประเมินความมีนัยสำคัญ Scope3</t>
  </si>
  <si>
    <t>Related Default Values, Emission Factors &amp; Conversion Factors</t>
  </si>
  <si>
    <t>GHGs</t>
  </si>
  <si>
    <t>Ref.: IPCC Assessment Report, AR5, WG 1, chapter 8, p.73 - 79</t>
  </si>
  <si>
    <t xml:space="preserve">GHG Emission Factors for energy consumption (per unit) </t>
  </si>
  <si>
    <t>Emission Source</t>
  </si>
  <si>
    <t xml:space="preserve">Emission Factor </t>
  </si>
  <si>
    <t>Emission Reference</t>
  </si>
  <si>
    <t>Natural Gas (NCV): SCF</t>
  </si>
  <si>
    <t>IPCC defaults (2006), volume 2, chapter 2, table 2.3,  p.2.18 - 2.19  และ Convert ค่าโดยอาศัยค่าคุณลักษณะเชื้อเพลิง</t>
  </si>
  <si>
    <t xml:space="preserve">Natural Gas (NCV): MJ </t>
  </si>
  <si>
    <t>Natural Gas (HHV): MJ</t>
  </si>
  <si>
    <t>2021 API Compendium, Table 4.3 &amp; Table 4.6</t>
  </si>
  <si>
    <t xml:space="preserve">Natural Gas (HHV): MMBTU </t>
  </si>
  <si>
    <t>LPG: litre</t>
  </si>
  <si>
    <t>LPG: kg</t>
  </si>
  <si>
    <t>Acetelyne: kg</t>
  </si>
  <si>
    <t>Ethane: kg</t>
  </si>
  <si>
    <t>C2H4 + 3O2 --&gt; 2CO2 + 2H2O (MWC2H4 =28, MWCO2 =44)</t>
  </si>
  <si>
    <t>Propane: kg</t>
  </si>
  <si>
    <t>Butane: kg</t>
  </si>
  <si>
    <t>Fuel Oil A: L</t>
  </si>
  <si>
    <t>Fuel Oil C: L</t>
  </si>
  <si>
    <t>Jet Kerosene: L</t>
  </si>
  <si>
    <t xml:space="preserve">Diesel: L </t>
  </si>
  <si>
    <t>Gasoline: L</t>
  </si>
  <si>
    <t>Biodiesel: L</t>
  </si>
  <si>
    <t>คิดที่สัดส่วนไบโอดีเซล (อัตราต่ำสุด)</t>
  </si>
  <si>
    <t>ตามประกาศกรมธุรกิจพลังงาน: เรื่องกำหนดลักษณะและคุณภาพของน้ำมันดีเซล พ.ศ. 2567 (อ้างอิงอัตราสูงต่ำ: ค่าต่ำสุด), น้ำมันดีเซลธรรมดา</t>
  </si>
  <si>
    <t xml:space="preserve">     - Diesel B7: Report in Scope 1</t>
  </si>
  <si>
    <t>นับเฉพาะ CO2 จาก fossil fuel, CH4 และ N2O</t>
  </si>
  <si>
    <t xml:space="preserve">     - Diesel B7: Report in Memo Item </t>
  </si>
  <si>
    <t xml:space="preserve">นับเฉพาะ CO2 จาก biofuel </t>
  </si>
  <si>
    <t>Diesel B20: L (แบบคิด EF ของ Biofuel ด้วย)</t>
  </si>
  <si>
    <t>ตามประกาศกรมธุรกิจพลังงาน: เรื่องกำหนดลักษณะและคุณภาพของน้ำมันดีเซล พ.ศ. 2567 (อ้างอิงอัตราสูงต่ำ: ค่าต่ำสุด), น้ำมันดีเซล B20</t>
  </si>
  <si>
    <t xml:space="preserve">     - Diesel B20: Report in Scope 1</t>
  </si>
  <si>
    <t xml:space="preserve">     - Diesel B20: Report in Memo Item </t>
  </si>
  <si>
    <t>Gasohol (E10): L</t>
  </si>
  <si>
    <t>คิดที่สัดส่วนเอทานอล  (อัตราต่ำสุด)</t>
  </si>
  <si>
    <t>ตามประกาศกรมธุรกิจพลังงาน: เรื่องกำหนดลักษณะและคุณภาพของน้ำมันแก๊สโซฮอล์ พ.ศ. 2562 (อ้างอิงอัตราสูงต่ำ: ค่าต่ำสุด), น้ำมันแก๊สโซฮอล์อี 10</t>
  </si>
  <si>
    <t xml:space="preserve">     - Gasohol: E10 (report in Scope 1)</t>
  </si>
  <si>
    <t xml:space="preserve">     - Gasohol: E10 (report in memo item)</t>
  </si>
  <si>
    <t>Gasohol (E20): L</t>
  </si>
  <si>
    <t>คิดที่สัดส่วนเอทานอล (อัตราต่ำสุด)</t>
  </si>
  <si>
    <t>ตามประกาศกรมธุรกิจพลังงาน: เรื่องกำหนดลักษณะและคุณภาพของน้ำมันแก๊สโซฮอล์ พ.ศ. 2562 (อ้างอิงอัตราสูงต่ำ: ค่าต่ำสุด), น้ำมันแก๊สโซฮอล์อี 20</t>
  </si>
  <si>
    <t xml:space="preserve">     - Gasohol: E20 (report in Scope 1)</t>
  </si>
  <si>
    <t xml:space="preserve">     - Gasohol: E20 (report in memo item)</t>
  </si>
  <si>
    <t>Gasohol (E85): L</t>
  </si>
  <si>
    <t xml:space="preserve">     - Gasohol: E85 (report in Scope 1)</t>
  </si>
  <si>
    <t xml:space="preserve">     - Gasohol: E85 (report in memo item)</t>
  </si>
  <si>
    <t>Lignite: kg</t>
  </si>
  <si>
    <t>Antracite: kg</t>
  </si>
  <si>
    <t>Bituminous Coal: kg</t>
  </si>
  <si>
    <t>Coking Coal: kg</t>
  </si>
  <si>
    <t>Fuel wood: kg</t>
  </si>
  <si>
    <t xml:space="preserve">     - Fuel wood: Report in Scope 1</t>
  </si>
  <si>
    <t>นับเฉพาะ CH4 และ N2O</t>
  </si>
  <si>
    <t xml:space="preserve">     - Fuel wood: Report in Memo Item </t>
  </si>
  <si>
    <t>Saw dust: kg</t>
  </si>
  <si>
    <t xml:space="preserve">     - Saw dust: Report in Scope 1</t>
  </si>
  <si>
    <t xml:space="preserve">     - Saw dust: Report in Memo Item </t>
  </si>
  <si>
    <t>Charcoal: kg</t>
  </si>
  <si>
    <t xml:space="preserve">     - Charcoal: Report in Scope 1</t>
  </si>
  <si>
    <t xml:space="preserve">     - Charcoal: Report in Memo Item </t>
  </si>
  <si>
    <t>Paddy husk: kg</t>
  </si>
  <si>
    <t xml:space="preserve">     - Paddy husk: Report in Scope 1</t>
  </si>
  <si>
    <t xml:space="preserve">     - Paddy husk: Report in Memo Item </t>
  </si>
  <si>
    <t>Baggasse: kg</t>
  </si>
  <si>
    <t xml:space="preserve">     - Baggasse: Report in Scope 1</t>
  </si>
  <si>
    <t xml:space="preserve">     - Baggasse: Report in Memo Item </t>
  </si>
  <si>
    <t>Palm kernel shell: kg</t>
  </si>
  <si>
    <t xml:space="preserve">     - Palm kernel shell: Report in Scope 1</t>
  </si>
  <si>
    <t xml:space="preserve">     - Palm kernel shell: Report in Memo Item </t>
  </si>
  <si>
    <t>Cob: kg</t>
  </si>
  <si>
    <t xml:space="preserve">     - Cob: Report in Scope 1</t>
  </si>
  <si>
    <t xml:space="preserve">     - Cob: Report in Memo Item </t>
  </si>
  <si>
    <t>Biogas: m3</t>
  </si>
  <si>
    <t xml:space="preserve">     - Biogas: Report in Scope 1</t>
  </si>
  <si>
    <t xml:space="preserve">     - Biogas: Report in Memo Item </t>
  </si>
  <si>
    <t>Mobile Source</t>
  </si>
  <si>
    <t>Off-road vehicles/mobile equipment</t>
  </si>
  <si>
    <t>IPCC defaults (2006) และ Convert ค่าโดยอาศัยค่าคุณลักษณะเชื้อเพลิง</t>
  </si>
  <si>
    <t>Diesel: Aggriculture, L</t>
  </si>
  <si>
    <t>IPCC defaults (2006), volume 2, chapter 3, table 3.3.1 และ Convert ค่าโดยอาศัยค่าคุณลักษณะเชื้อเพลิง</t>
  </si>
  <si>
    <t>Diesel: Forestry, L</t>
  </si>
  <si>
    <t>Diesel: Industry, L</t>
  </si>
  <si>
    <t>Diesel: Household, L</t>
  </si>
  <si>
    <t>Ethanol, Biogasoline: L</t>
  </si>
  <si>
    <t>Motor Gasoline 4-stroke: Aggriculture, L</t>
  </si>
  <si>
    <t>Motor Gasoline 4-stroke:  Forestry, L</t>
  </si>
  <si>
    <t>Motor Gasoline 4-stroke:  Industry, L</t>
  </si>
  <si>
    <t>Motor Gasoline 4-stroke:  Household, L</t>
  </si>
  <si>
    <t>Motor Gasoline 2-stroke: Aggriculture, L</t>
  </si>
  <si>
    <t>Motor Gasoline 2-stroke:  Forestry, L</t>
  </si>
  <si>
    <t>Motor Gasoline 2-stroke:  Industry, L</t>
  </si>
  <si>
    <t>Motor Gasoline 2-stroke:  Household, L</t>
  </si>
  <si>
    <t>Diesel B7:</t>
  </si>
  <si>
    <t>Gasohol E10,  4-stroke: Aggriculture, L</t>
  </si>
  <si>
    <t>Gasohol E10,  4-stroke:  Forestry, L</t>
  </si>
  <si>
    <t>Gasohol E10,  4-stroke:  Industry, L</t>
  </si>
  <si>
    <t>Gasohol E10,  4-stroke:  Household, L</t>
  </si>
  <si>
    <t>Gasohol E10,  2-stroke: Aggriculture, L</t>
  </si>
  <si>
    <t>Gasohol E10,   2-stroke:  Forestry, L</t>
  </si>
  <si>
    <t>Gasohol E10,   2-stroke:  Industry, L</t>
  </si>
  <si>
    <t>Gasohol E10,   2-stroke:  Household, L</t>
  </si>
  <si>
    <t>On-road vehicles</t>
  </si>
  <si>
    <t>CNG: kg</t>
  </si>
  <si>
    <t>IPCC defaults (2006), volume 2, chapter 3, table 3.2.1 &amp; 3.2.2 และ Convert ค่าโดยอาศัยค่าคุณลักษณะเชื้อเพลิง</t>
  </si>
  <si>
    <t>Diesel: L</t>
  </si>
  <si>
    <t>Motor Gasoline - uncontrolled: L</t>
  </si>
  <si>
    <t>Motor Gasoline - oxydation catalyst: L</t>
  </si>
  <si>
    <t>Motor Gasoline - low mileage light duty vihicle vintage 1995 or later: L</t>
  </si>
  <si>
    <t>Ethanol (Biogasoline)</t>
  </si>
  <si>
    <t>Diesel: L (แบบคิด EF ของ Biofuel ด้วย)</t>
  </si>
  <si>
    <t>คิดที่สัดส่วนไบโอดีเซล (น้อยสุด)</t>
  </si>
  <si>
    <t>ตามประกาศกรมธุรกิจพลังงาน</t>
  </si>
  <si>
    <t xml:space="preserve">     - Diesel (B7): Report in Scope 1</t>
  </si>
  <si>
    <t xml:space="preserve">     - Diesel (B7): Report in Memo Item </t>
  </si>
  <si>
    <t xml:space="preserve">     - Diesel (20): Report in Scope 1</t>
  </si>
  <si>
    <t xml:space="preserve">     - Diesel (20): Report in Memo Item </t>
  </si>
  <si>
    <t>คิดที่สัดส่วนเอทานอล</t>
  </si>
  <si>
    <t>เมื่อเป็น Gasohol E10</t>
  </si>
  <si>
    <t>GHG Emission Factors from IPCC Guidelines</t>
  </si>
  <si>
    <t>Stationary Source</t>
  </si>
  <si>
    <t xml:space="preserve">Natural Gas </t>
  </si>
  <si>
    <t>IPCC defaults (2006), volume 2, chapter 2, table 2.3,  p.2.18 - 2.19</t>
  </si>
  <si>
    <t>CNG</t>
  </si>
  <si>
    <t xml:space="preserve">Residual fuel oil </t>
  </si>
  <si>
    <t>Kerosene</t>
  </si>
  <si>
    <t>Biodiesel</t>
  </si>
  <si>
    <t>Gasoline</t>
  </si>
  <si>
    <t>Biogasollne (Ethanol)</t>
  </si>
  <si>
    <t>Antracite</t>
  </si>
  <si>
    <t xml:space="preserve">Bituminous coal </t>
  </si>
  <si>
    <t>Coking Coal</t>
  </si>
  <si>
    <t>Fuel wood</t>
  </si>
  <si>
    <t>Saw dust</t>
  </si>
  <si>
    <t>Charcoal</t>
  </si>
  <si>
    <t>Paddy husk</t>
  </si>
  <si>
    <t>Baggasse</t>
  </si>
  <si>
    <t>Palm kernel shell</t>
  </si>
  <si>
    <t>IPCC defaults (2006), volume 2, chapter 3, table 3.2.1 &amp; 3.2.2, p.3.16, 3.21</t>
  </si>
  <si>
    <t xml:space="preserve">Ethanol, Cars, Brazil </t>
  </si>
  <si>
    <t>For CO2: IPCC defaults (2006), volume 2, chapter 2, p.2.18 - 2.19, For CH4 and N2O:  assumed equal to diesel combustion (on-road)</t>
  </si>
  <si>
    <t>Diesel: Aggriculture</t>
  </si>
  <si>
    <t>IPCC defaults (2006), volume 2, chapter 3, table 3.3.1, p.3.36</t>
  </si>
  <si>
    <t>Diesel: Forestry</t>
  </si>
  <si>
    <t>Diesel: Industry</t>
  </si>
  <si>
    <t>Diesel: Household</t>
  </si>
  <si>
    <t>Motor Gasoline 4-stroke: Aggriculture</t>
  </si>
  <si>
    <t>Motor Gasoline 4-stroke:  Forestry</t>
  </si>
  <si>
    <t>Motor Gasoline 4-stroke:  Industry</t>
  </si>
  <si>
    <t>Motor Gasoline 4-stroke:  Household</t>
  </si>
  <si>
    <t>Motor Gasoline 2-stroke: Aggriculture</t>
  </si>
  <si>
    <t>Motor Gasoline 2-stroke:  Forestry</t>
  </si>
  <si>
    <t>Motor Gasoline 2-stroke:  Industry</t>
  </si>
  <si>
    <t>Motor Gasoline 2-stroke:  Household</t>
  </si>
  <si>
    <t>For CO2: IPCC defaults (2006), volume 2, chapter 2, p.2.18 - 2.19, For CH4 and N2O:  assumed equal to diesel combustion (off-road)</t>
  </si>
  <si>
    <t>Biogasoline (Ethanol)</t>
  </si>
  <si>
    <t>For CO2: IPCC defaults (2006), volume 2, chapter 2, p.2.18 - 2.19, For CH4 and N2O:  assumed equal to Gasoline combustion (off-road)</t>
  </si>
  <si>
    <t xml:space="preserve">* IPCC defualt อ้างอิงจาก 2006 IPCC Guidelines for the National Greenhouse Gas Inventories (updated January 2013) </t>
  </si>
  <si>
    <t xml:space="preserve">Defaults for Fuel Heating Value (LHV, NCV) &amp; Other Properties </t>
  </si>
  <si>
    <t xml:space="preserve">Fuel </t>
  </si>
  <si>
    <t xml:space="preserve">Heating value </t>
  </si>
  <si>
    <t>Unit</t>
  </si>
  <si>
    <t>Reference</t>
  </si>
  <si>
    <t>Natural Gas</t>
  </si>
  <si>
    <t>MJ/scf</t>
  </si>
  <si>
    <t>สำนักงานนโยบายและแผนพลังงาน, กระทรวงพลังงาน, "รายงานสถิติพลังงานของประเทศไทย 2567 (Energy Statistics of Thailand 2024)</t>
  </si>
  <si>
    <t>MJ/kg</t>
  </si>
  <si>
    <t>Defaults, 2006 IPCC Guidelines, volume 2, chapter 1, p.1.18 - 1.19</t>
  </si>
  <si>
    <t>MJ/litre</t>
  </si>
  <si>
    <t>PTT</t>
  </si>
  <si>
    <t>MJ/m3</t>
  </si>
  <si>
    <t>Density</t>
  </si>
  <si>
    <t>kg/litre</t>
  </si>
  <si>
    <t xml:space="preserve">Diesel: </t>
  </si>
  <si>
    <t>ประกาศกรมธุรกิจพลังงาน, กำหนดคุณลักษณะและคุณภาพของน้ำมันดีเซล</t>
  </si>
  <si>
    <t>ประกาศกรมธุรกิจพลังงาน, กำหนดคุณลักษณะและคุณภาพของไบโอดีเซลประเภทเมทิลเอสเตอร์ของกรดไขมัน</t>
  </si>
  <si>
    <t>Specification of gasoline, IRPC</t>
  </si>
  <si>
    <t>Ethanol</t>
  </si>
  <si>
    <t>Thermodyamics Tables</t>
  </si>
  <si>
    <t>Converstion Factor</t>
  </si>
  <si>
    <t>Factor</t>
  </si>
  <si>
    <t>MMBTU to MJ</t>
  </si>
  <si>
    <t>MJ/MMBTU</t>
  </si>
  <si>
    <t>* Heating value = Net Calorific Value (NCV)</t>
  </si>
  <si>
    <r>
      <t>Global Warming Potential (GWP</t>
    </r>
    <r>
      <rPr>
        <b/>
        <i/>
        <vertAlign val="subscript"/>
        <sz val="18"/>
        <color rgb="FF002060"/>
        <rFont val="Tahoma"/>
        <family val="2"/>
      </rPr>
      <t>100a</t>
    </r>
    <r>
      <rPr>
        <b/>
        <i/>
        <sz val="18"/>
        <color rgb="FF002060"/>
        <rFont val="Tahoma"/>
        <family val="2"/>
      </rPr>
      <t>)</t>
    </r>
  </si>
  <si>
    <r>
      <t>CO</t>
    </r>
    <r>
      <rPr>
        <vertAlign val="subscript"/>
        <sz val="16"/>
        <color theme="1"/>
        <rFont val="Tahoma"/>
        <family val="2"/>
      </rPr>
      <t>2</t>
    </r>
  </si>
  <si>
    <r>
      <t>Fossil CH</t>
    </r>
    <r>
      <rPr>
        <vertAlign val="subscript"/>
        <sz val="16"/>
        <color theme="1"/>
        <rFont val="Tahoma"/>
        <family val="2"/>
      </rPr>
      <t>4</t>
    </r>
  </si>
  <si>
    <r>
      <t>CH</t>
    </r>
    <r>
      <rPr>
        <vertAlign val="subscript"/>
        <sz val="16"/>
        <color theme="1"/>
        <rFont val="Tahoma"/>
        <family val="2"/>
      </rPr>
      <t>4</t>
    </r>
  </si>
  <si>
    <r>
      <t>N</t>
    </r>
    <r>
      <rPr>
        <vertAlign val="subscript"/>
        <sz val="16"/>
        <color theme="1"/>
        <rFont val="Tahoma"/>
        <family val="2"/>
      </rPr>
      <t>2</t>
    </r>
    <r>
      <rPr>
        <sz val="16"/>
        <color theme="1"/>
        <rFont val="Tahoma"/>
        <family val="2"/>
      </rPr>
      <t>O</t>
    </r>
  </si>
  <si>
    <r>
      <t>2C2H2+502 → 4CO2+2H2O (MW</t>
    </r>
    <r>
      <rPr>
        <vertAlign val="subscript"/>
        <sz val="16"/>
        <rFont val="Tahoma"/>
        <family val="2"/>
      </rPr>
      <t>C2H2</t>
    </r>
    <r>
      <rPr>
        <sz val="16"/>
        <rFont val="Tahoma"/>
        <family val="2"/>
      </rPr>
      <t xml:space="preserve"> =26, MW</t>
    </r>
    <r>
      <rPr>
        <vertAlign val="subscript"/>
        <sz val="16"/>
        <rFont val="Tahoma"/>
        <family val="2"/>
      </rPr>
      <t>CO2</t>
    </r>
    <r>
      <rPr>
        <sz val="16"/>
        <rFont val="Tahoma"/>
        <family val="2"/>
      </rPr>
      <t xml:space="preserve"> =44)</t>
    </r>
  </si>
  <si>
    <r>
      <t>C3H8+5O2→3CO2+4H2O (MW</t>
    </r>
    <r>
      <rPr>
        <vertAlign val="subscript"/>
        <sz val="16"/>
        <color theme="1"/>
        <rFont val="Tahoma"/>
        <family val="2"/>
      </rPr>
      <t>C3H8</t>
    </r>
    <r>
      <rPr>
        <sz val="16"/>
        <color theme="1"/>
        <rFont val="Tahoma"/>
        <family val="2"/>
      </rPr>
      <t xml:space="preserve"> =44, MW</t>
    </r>
    <r>
      <rPr>
        <vertAlign val="subscript"/>
        <sz val="16"/>
        <color theme="1"/>
        <rFont val="Tahoma"/>
        <family val="2"/>
      </rPr>
      <t>CO2</t>
    </r>
    <r>
      <rPr>
        <sz val="16"/>
        <color theme="1"/>
        <rFont val="Tahoma"/>
        <family val="2"/>
      </rPr>
      <t xml:space="preserve"> =44)</t>
    </r>
  </si>
  <si>
    <r>
      <t>2C4H10+ 1302 → 8CO2+10H2O (MW</t>
    </r>
    <r>
      <rPr>
        <vertAlign val="subscript"/>
        <sz val="16"/>
        <rFont val="Tahoma"/>
        <family val="2"/>
      </rPr>
      <t>C4H10</t>
    </r>
    <r>
      <rPr>
        <sz val="16"/>
        <rFont val="Tahoma"/>
        <family val="2"/>
      </rPr>
      <t xml:space="preserve"> =58, MW</t>
    </r>
    <r>
      <rPr>
        <vertAlign val="subscript"/>
        <sz val="16"/>
        <rFont val="Tahoma"/>
        <family val="2"/>
      </rPr>
      <t>CO2</t>
    </r>
    <r>
      <rPr>
        <sz val="16"/>
        <rFont val="Tahoma"/>
        <family val="2"/>
      </rPr>
      <t xml:space="preserve"> =44)</t>
    </r>
  </si>
  <si>
    <r>
      <t>For CO</t>
    </r>
    <r>
      <rPr>
        <vertAlign val="subscript"/>
        <sz val="16"/>
        <rFont val="Tahoma"/>
        <family val="2"/>
      </rPr>
      <t>2</t>
    </r>
    <r>
      <rPr>
        <sz val="16"/>
        <rFont val="Tahoma"/>
        <family val="2"/>
      </rPr>
      <t>: IPCC defaults (2006), volume 2, chapter 2, p.2.18 - 2.19, For CH</t>
    </r>
    <r>
      <rPr>
        <vertAlign val="subscript"/>
        <sz val="16"/>
        <rFont val="Tahoma"/>
        <family val="2"/>
      </rPr>
      <t>4</t>
    </r>
    <r>
      <rPr>
        <sz val="16"/>
        <rFont val="Tahoma"/>
        <family val="2"/>
      </rPr>
      <t xml:space="preserve"> and N</t>
    </r>
    <r>
      <rPr>
        <vertAlign val="subscript"/>
        <sz val="16"/>
        <rFont val="Tahoma"/>
        <family val="2"/>
      </rPr>
      <t>2</t>
    </r>
    <r>
      <rPr>
        <sz val="16"/>
        <rFont val="Tahoma"/>
        <family val="2"/>
      </rPr>
      <t>O:  non-road vehicles assumed equal to other gasoline sources, referred from US EPA</t>
    </r>
  </si>
  <si>
    <r>
      <t>CO</t>
    </r>
    <r>
      <rPr>
        <b/>
        <vertAlign val="subscript"/>
        <sz val="16"/>
        <color theme="0"/>
        <rFont val="Calibri"/>
        <family val="2"/>
        <scheme val="minor"/>
      </rPr>
      <t>2</t>
    </r>
  </si>
  <si>
    <r>
      <t>Fossil CH</t>
    </r>
    <r>
      <rPr>
        <b/>
        <vertAlign val="subscript"/>
        <sz val="16"/>
        <color theme="0"/>
        <rFont val="Calibri"/>
        <family val="2"/>
        <scheme val="minor"/>
      </rPr>
      <t>4</t>
    </r>
  </si>
  <si>
    <r>
      <t>CH</t>
    </r>
    <r>
      <rPr>
        <b/>
        <vertAlign val="subscript"/>
        <sz val="16"/>
        <color theme="0"/>
        <rFont val="Calibri"/>
        <family val="2"/>
        <scheme val="minor"/>
      </rPr>
      <t>4</t>
    </r>
  </si>
  <si>
    <r>
      <t>N</t>
    </r>
    <r>
      <rPr>
        <b/>
        <vertAlign val="subscript"/>
        <sz val="16"/>
        <color theme="0"/>
        <rFont val="Calibri"/>
        <family val="2"/>
        <scheme val="minor"/>
      </rPr>
      <t>2</t>
    </r>
    <r>
      <rPr>
        <b/>
        <sz val="16"/>
        <color theme="0"/>
        <rFont val="Calibri"/>
        <family val="2"/>
        <scheme val="minor"/>
      </rPr>
      <t>O</t>
    </r>
  </si>
  <si>
    <r>
      <t>(kgCO</t>
    </r>
    <r>
      <rPr>
        <b/>
        <vertAlign val="subscript"/>
        <sz val="16"/>
        <color theme="0"/>
        <rFont val="Calibri"/>
        <family val="2"/>
        <scheme val="minor"/>
      </rPr>
      <t>2</t>
    </r>
    <r>
      <rPr>
        <b/>
        <sz val="16"/>
        <color theme="0"/>
        <rFont val="Calibri"/>
        <family val="2"/>
        <scheme val="minor"/>
      </rPr>
      <t>/unit)</t>
    </r>
  </si>
  <si>
    <r>
      <t>(kgCH</t>
    </r>
    <r>
      <rPr>
        <b/>
        <vertAlign val="subscript"/>
        <sz val="16"/>
        <color theme="0"/>
        <rFont val="Calibri"/>
        <family val="2"/>
        <scheme val="minor"/>
      </rPr>
      <t>4</t>
    </r>
    <r>
      <rPr>
        <b/>
        <sz val="16"/>
        <color theme="0"/>
        <rFont val="Calibri"/>
        <family val="2"/>
        <scheme val="minor"/>
      </rPr>
      <t>/unit)</t>
    </r>
  </si>
  <si>
    <r>
      <t>(kgN</t>
    </r>
    <r>
      <rPr>
        <b/>
        <vertAlign val="subscript"/>
        <sz val="16"/>
        <color theme="0"/>
        <rFont val="Calibri"/>
        <family val="2"/>
        <scheme val="minor"/>
      </rPr>
      <t>2</t>
    </r>
    <r>
      <rPr>
        <b/>
        <sz val="16"/>
        <color theme="0"/>
        <rFont val="Calibri"/>
        <family val="2"/>
        <scheme val="minor"/>
      </rPr>
      <t>O/unit)</t>
    </r>
  </si>
  <si>
    <r>
      <t>(kgCO</t>
    </r>
    <r>
      <rPr>
        <b/>
        <vertAlign val="subscript"/>
        <sz val="16"/>
        <color theme="0"/>
        <rFont val="Calibri"/>
        <family val="2"/>
        <scheme val="minor"/>
      </rPr>
      <t>2</t>
    </r>
    <r>
      <rPr>
        <b/>
        <sz val="16"/>
        <color theme="0"/>
        <rFont val="Calibri"/>
        <family val="2"/>
        <scheme val="minor"/>
      </rPr>
      <t>-eq/unit)</t>
    </r>
  </si>
  <si>
    <r>
      <t>GWP</t>
    </r>
    <r>
      <rPr>
        <b/>
        <vertAlign val="subscript"/>
        <sz val="18"/>
        <color theme="0"/>
        <rFont val="Tahoma"/>
        <family val="2"/>
      </rPr>
      <t>100a</t>
    </r>
  </si>
  <si>
    <t>SCF</t>
  </si>
  <si>
    <t>MMBTU</t>
  </si>
  <si>
    <t>Liter</t>
  </si>
  <si>
    <r>
      <t>CO</t>
    </r>
    <r>
      <rPr>
        <b/>
        <vertAlign val="subscript"/>
        <sz val="16"/>
        <color theme="0"/>
        <rFont val="Tahoma"/>
        <family val="2"/>
      </rPr>
      <t>2</t>
    </r>
  </si>
  <si>
    <r>
      <t>Fossil CH</t>
    </r>
    <r>
      <rPr>
        <b/>
        <vertAlign val="subscript"/>
        <sz val="16"/>
        <color theme="0"/>
        <rFont val="Tahoma"/>
        <family val="2"/>
      </rPr>
      <t>4</t>
    </r>
  </si>
  <si>
    <r>
      <t>CH</t>
    </r>
    <r>
      <rPr>
        <b/>
        <vertAlign val="subscript"/>
        <sz val="16"/>
        <color theme="0"/>
        <rFont val="Tahoma"/>
        <family val="2"/>
      </rPr>
      <t>4</t>
    </r>
  </si>
  <si>
    <r>
      <t>N</t>
    </r>
    <r>
      <rPr>
        <b/>
        <vertAlign val="subscript"/>
        <sz val="16"/>
        <color theme="0"/>
        <rFont val="Tahoma"/>
        <family val="2"/>
      </rPr>
      <t>2</t>
    </r>
    <r>
      <rPr>
        <b/>
        <sz val="16"/>
        <color theme="0"/>
        <rFont val="Tahoma"/>
        <family val="2"/>
      </rPr>
      <t>O</t>
    </r>
  </si>
  <si>
    <r>
      <t>(kgCO</t>
    </r>
    <r>
      <rPr>
        <b/>
        <vertAlign val="subscript"/>
        <sz val="16"/>
        <color theme="0"/>
        <rFont val="Tahoma"/>
        <family val="2"/>
      </rPr>
      <t>2</t>
    </r>
    <r>
      <rPr>
        <b/>
        <sz val="16"/>
        <color theme="0"/>
        <rFont val="Tahoma"/>
        <family val="2"/>
      </rPr>
      <t>/TJ)</t>
    </r>
  </si>
  <si>
    <r>
      <t>(kgCH</t>
    </r>
    <r>
      <rPr>
        <b/>
        <vertAlign val="subscript"/>
        <sz val="16"/>
        <color theme="0"/>
        <rFont val="Tahoma"/>
        <family val="2"/>
      </rPr>
      <t>4</t>
    </r>
    <r>
      <rPr>
        <b/>
        <sz val="16"/>
        <color theme="0"/>
        <rFont val="Tahoma"/>
        <family val="2"/>
      </rPr>
      <t>/TJ)</t>
    </r>
  </si>
  <si>
    <r>
      <t>(kgN</t>
    </r>
    <r>
      <rPr>
        <b/>
        <vertAlign val="subscript"/>
        <sz val="16"/>
        <color theme="0"/>
        <rFont val="Tahoma"/>
        <family val="2"/>
      </rPr>
      <t>2</t>
    </r>
    <r>
      <rPr>
        <b/>
        <sz val="16"/>
        <color theme="0"/>
        <rFont val="Tahoma"/>
        <family val="2"/>
      </rPr>
      <t>O/TJ)</t>
    </r>
  </si>
  <si>
    <r>
      <t>(kgCO</t>
    </r>
    <r>
      <rPr>
        <b/>
        <vertAlign val="subscript"/>
        <sz val="16"/>
        <color theme="0"/>
        <rFont val="Tahoma"/>
        <family val="2"/>
      </rPr>
      <t>2</t>
    </r>
    <r>
      <rPr>
        <b/>
        <sz val="16"/>
        <color theme="0"/>
        <rFont val="Tahoma"/>
        <family val="2"/>
      </rPr>
      <t>-eq/TJ)</t>
    </r>
  </si>
  <si>
    <t>Refrigerants 
(สารทำความเย็น)</t>
  </si>
  <si>
    <t>R-404a</t>
  </si>
  <si>
    <t>R-407a</t>
  </si>
  <si>
    <t>R-407C</t>
  </si>
  <si>
    <t>R-410a</t>
  </si>
  <si>
    <t>IPCC defaults (2006), volume 3, chapter 7, table 7.8,  p.7.44 (HFC-125/HFC-143a/HFC-134a)(44.0%/52.0%/4.0%)</t>
  </si>
  <si>
    <t>IPCC defaults (2006), volume 3, chapter 7, table 7.8,  p.7.44 (HFC-32/HFC-125/HFC-134a)(20.0%/40.0%/40.0%)</t>
  </si>
  <si>
    <t>IPCC defaults (2006), volume 3, chapter 7, table 7.8,  p.7.44 (HFC-32/HFC-125/HFC-134a)(23.0%/25.0%/52.0%)</t>
  </si>
  <si>
    <t>IPCC defaults (2006), volume 3, chapter 7, table 7.8,  p.7.44 (HFC-32/HFC-125)(50.0%/50.0%)</t>
  </si>
  <si>
    <t>ไฟฟ้าแบบ grid mix ปี 2016-2018; LCIA method IPCC 2013 GWP 100a V1.03 (CFO Scope2)</t>
  </si>
  <si>
    <t>ไฟฟ้าแบบ grid mix ปี 2022-2024; LCIA method IPCC 2013 GWP 100a V1.03 (CFO Scope2)</t>
  </si>
  <si>
    <t>ไฟฟ้าแบบ grid mix ปี 2022-2024; LCIA method IPCC 2013 GWP 100a V1.03 (CFP)</t>
  </si>
  <si>
    <t>ไฟฟ้าแบบ grid mix ปี 2022-2024; การได้มาซึ่งเชื้อเพลิงรวมถึงการขนส่ง
เชื้อเพลิงที่ใช้ในการผลิตไฟฟ้า
สำหรับ SCOPE 3)</t>
  </si>
  <si>
    <t>ไฟฟ้าแบบ grid mix ปี 2016-2018; การได้มาซึ่งเชื้อเพลิงรวมถึงการขนส่งเชื้อเพลิงที่ใช้ในการผลิตไฟฟ้าสำหรับ SCOPE 3)</t>
  </si>
  <si>
    <t>ไฟฟ้าแบบ grid mix ปี 2016-2018; LCIA method IPCC 2013 GWP 100a V1.03 (CFP)</t>
  </si>
  <si>
    <t>Thai National LCI Database, TIISMTEC-NSTDA, AR5 (with TGO electricity 2022-2024)</t>
  </si>
  <si>
    <t>Global warming potential :GWP</t>
  </si>
  <si>
    <t>(kgCO2-eq/unit)</t>
  </si>
  <si>
    <t>Common chemical name</t>
  </si>
  <si>
    <t>Other Kerosene</t>
  </si>
  <si>
    <t>Other Kerosene: L</t>
  </si>
  <si>
    <t>Diesel B7: L (แบบคิด EF ของ Biofuel ด้วย)</t>
  </si>
  <si>
    <t xml:space="preserve">แก้ไขสูตรการคำนวณจากเดิมใช้ Fossil CH4 เป็น CH4 </t>
  </si>
  <si>
    <t>ผศ.ดร.ณัฐนี วรยศ, มนต์ชัย จิตติปัญญากุล</t>
  </si>
  <si>
    <t>เพิ่ม EF การเผาไหม้เชื้อเพลิง และ GWP สารทำความเย็น</t>
  </si>
  <si>
    <t>Password: 12345678</t>
  </si>
  <si>
    <t>ชื่อผู้จัดทำ</t>
  </si>
  <si>
    <t>Electricity</t>
  </si>
  <si>
    <r>
      <rPr>
        <b/>
        <sz val="10"/>
        <rFont val="Tahoma"/>
        <family val="2"/>
      </rPr>
      <t>TCFO_R_01</t>
    </r>
    <r>
      <rPr>
        <sz val="10"/>
        <rFont val="Tahoma"/>
        <family val="2"/>
      </rPr>
      <t xml:space="preserve">
Version 05 : 01/01/2026</t>
    </r>
  </si>
  <si>
    <r>
      <rPr>
        <b/>
        <sz val="12"/>
        <rFont val="Tahoma"/>
        <family val="2"/>
      </rPr>
      <t>TCFO_R_01</t>
    </r>
    <r>
      <rPr>
        <sz val="11"/>
        <rFont val="Tahoma"/>
        <family val="2"/>
      </rPr>
      <t xml:space="preserve">
</t>
    </r>
    <r>
      <rPr>
        <sz val="8"/>
        <rFont val="Tahoma"/>
        <family val="2"/>
      </rPr>
      <t>Version 05 : 01/01/2026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</si>
</sst>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.0000_);_(* \(#,##0.0000\);_(* &quot;-&quot;??_);_(@_)"/>
    <numFmt numFmtId="166" formatCode="&quot;True&quot;;&quot;True&quot;;&quot;False&quot;"/>
    <numFmt numFmtId="167" formatCode="_(* #,##0_);_(* \(#,##0\);_(* &quot;-&quot;??_);_(@_)"/>
    <numFmt numFmtId="168" formatCode="\t&quot;฿&quot;#,##0_);[Red]\(\t&quot;฿&quot;#,##0\)"/>
    <numFmt numFmtId="169" formatCode="\t&quot;$&quot;#,##0.00_);[Red]\(\t&quot;$&quot;#,##0.00\)"/>
    <numFmt numFmtId="170" formatCode="_-* #,##0.0000_-;\-* #,##0.0000_-;_-* &quot;-&quot;??_-;_-@_-"/>
    <numFmt numFmtId="171" formatCode="0.000000"/>
    <numFmt numFmtId="172" formatCode="_-* #,##0.00\ &quot;F&quot;_-;\-* #,##0.00\ &quot;F&quot;_-;_-* &quot;-&quot;??\ &quot;F&quot;_-;_-@_-"/>
    <numFmt numFmtId="173" formatCode="0.00_)"/>
    <numFmt numFmtId="174" formatCode="#,##0\ &quot;F&quot;;[Red]\-#,##0\ &quot;F&quot;"/>
    <numFmt numFmtId="175" formatCode="#,##0\ &quot;FB&quot;;\-#,##0\ &quot;FB&quot;"/>
    <numFmt numFmtId="176" formatCode="0.0000000000000000"/>
    <numFmt numFmtId="177" formatCode="0.0000"/>
    <numFmt numFmtId="178" formatCode="_(* #,##0.000000_);_(* \(#,##0.000000\);_(* &quot;-&quot;??_);_(@_)"/>
    <numFmt numFmtId="179" formatCode="0.0%"/>
    <numFmt numFmtId="180" formatCode="_(* #,##0.0_);_(* \(#,##0.0\);_(* &quot;-&quot;??_);_(@_)"/>
    <numFmt numFmtId="181" formatCode="0.000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theme="0"/>
      <name val="Tahoma"/>
      <family val="2"/>
    </font>
    <font>
      <b/>
      <vertAlign val="subscript"/>
      <sz val="11"/>
      <color theme="0"/>
      <name val="Calibri"/>
      <family val="2"/>
      <scheme val="minor"/>
    </font>
    <font>
      <b/>
      <vertAlign val="subscript"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sz val="8"/>
      <color theme="1"/>
      <name val="Calibri"/>
      <family val="2"/>
      <scheme val="minor"/>
    </font>
    <font>
      <sz val="9"/>
      <name val="Tahoma"/>
      <family val="2"/>
    </font>
    <font>
      <b/>
      <u/>
      <sz val="8"/>
      <name val="Tahoma"/>
      <family val="2"/>
    </font>
    <font>
      <sz val="14"/>
      <color theme="1"/>
      <name val="FreesiaUPC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1"/>
      <color indexed="8"/>
      <name val="Calibri"/>
      <family val="2"/>
      <charset val="222"/>
    </font>
    <font>
      <sz val="11"/>
      <color theme="1"/>
      <name val="Calibri"/>
      <family val="2"/>
      <charset val="222"/>
      <scheme val="minor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charset val="222"/>
      <scheme val="minor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indexed="8"/>
      <name val="Tahoma"/>
      <family val="2"/>
      <charset val="222"/>
    </font>
    <font>
      <sz val="14"/>
      <name val="CordiaUPC"/>
      <family val="2"/>
    </font>
    <font>
      <b/>
      <sz val="12"/>
      <color indexed="63"/>
      <name val="Arial"/>
      <family val="2"/>
    </font>
    <font>
      <sz val="8"/>
      <name val="Arial"/>
      <family val="2"/>
    </font>
    <font>
      <sz val="10"/>
      <name val="MS Sans Serif"/>
      <family val="2"/>
      <charset val="222"/>
    </font>
    <font>
      <b/>
      <sz val="18"/>
      <color indexed="56"/>
      <name val="Cambria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charset val="222"/>
    </font>
    <font>
      <sz val="11"/>
      <color indexed="62"/>
      <name val="Tahoma"/>
      <family val="2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color indexed="12"/>
      <name val="Tahoma"/>
      <family val="2"/>
    </font>
    <font>
      <sz val="10"/>
      <color theme="1"/>
      <name val="Tahoma"/>
      <family val="2"/>
    </font>
    <font>
      <sz val="10"/>
      <color theme="0"/>
      <name val="Tahoma"/>
      <family val="2"/>
    </font>
    <font>
      <b/>
      <sz val="9"/>
      <name val="Tahoma"/>
      <family val="2"/>
    </font>
    <font>
      <i/>
      <sz val="9"/>
      <color indexed="12"/>
      <name val="Tahoma"/>
      <family val="2"/>
    </font>
    <font>
      <b/>
      <sz val="9"/>
      <color theme="0"/>
      <name val="Tahoma"/>
      <family val="2"/>
    </font>
    <font>
      <b/>
      <i/>
      <sz val="9"/>
      <color theme="0"/>
      <name val="Tahoma"/>
      <family val="2"/>
    </font>
    <font>
      <sz val="11"/>
      <color theme="0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b/>
      <vertAlign val="subscript"/>
      <sz val="10"/>
      <color theme="0"/>
      <name val="Arial"/>
      <family val="2"/>
    </font>
    <font>
      <b/>
      <sz val="11"/>
      <name val="Calibri"/>
      <family val="2"/>
      <scheme val="minor"/>
    </font>
    <font>
      <sz val="10"/>
      <name val="Letter Gothic"/>
      <family val="3"/>
    </font>
    <font>
      <sz val="14"/>
      <name val="AngsanaUPC"/>
      <family val="1"/>
    </font>
    <font>
      <b/>
      <sz val="11"/>
      <color indexed="16"/>
      <name val="Arial Narrow"/>
      <family val="2"/>
    </font>
    <font>
      <b/>
      <sz val="10"/>
      <color indexed="18"/>
      <name val="Arial"/>
      <family val="2"/>
      <charset val="222"/>
    </font>
    <font>
      <sz val="7"/>
      <name val="Small Fonts"/>
      <family val="2"/>
    </font>
    <font>
      <sz val="10"/>
      <name val="Arial"/>
      <family val="2"/>
    </font>
    <font>
      <b/>
      <sz val="10"/>
      <color rgb="FFFFFF00"/>
      <name val="Tahoma"/>
      <family val="2"/>
    </font>
    <font>
      <b/>
      <sz val="10"/>
      <color rgb="FFFFFF00"/>
      <name val="Arial"/>
      <family val="2"/>
    </font>
    <font>
      <sz val="10"/>
      <color theme="0" tint="-0.14999847407452621"/>
      <name val="Tahoma"/>
      <family val="2"/>
    </font>
    <font>
      <b/>
      <sz val="10"/>
      <color rgb="FF3333FF"/>
      <name val="Tahoma"/>
      <family val="2"/>
    </font>
    <font>
      <sz val="11"/>
      <name val="Tahoma"/>
      <family val="2"/>
    </font>
    <font>
      <sz val="8"/>
      <name val="Calibri"/>
      <family val="2"/>
      <scheme val="minor"/>
    </font>
    <font>
      <b/>
      <i/>
      <sz val="8"/>
      <color rgb="FF3333FF"/>
      <name val="Tahoma"/>
      <family val="2"/>
    </font>
    <font>
      <u/>
      <sz val="11"/>
      <color theme="10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8"/>
      <name val="Tahoma"/>
      <family val="2"/>
    </font>
    <font>
      <b/>
      <sz val="12"/>
      <name val="Tahoma"/>
      <family val="2"/>
    </font>
    <font>
      <b/>
      <sz val="10"/>
      <color rgb="FF0070C0"/>
      <name val="Tahoma"/>
      <family val="2"/>
    </font>
    <font>
      <sz val="10"/>
      <color rgb="FF0070C0"/>
      <name val="Tahoma"/>
      <family val="2"/>
    </font>
    <font>
      <sz val="18"/>
      <name val="Tahoma"/>
      <family val="2"/>
    </font>
    <font>
      <b/>
      <sz val="16"/>
      <name val="Tahoma"/>
      <family val="2"/>
    </font>
    <font>
      <b/>
      <sz val="14"/>
      <name val="Tahoma"/>
      <family val="2"/>
    </font>
    <font>
      <i/>
      <sz val="10"/>
      <color rgb="FF0000FF"/>
      <name val="Tahoma"/>
      <family val="2"/>
    </font>
    <font>
      <sz val="11"/>
      <color theme="1"/>
      <name val="Tahoma"/>
      <family val="2"/>
    </font>
    <font>
      <b/>
      <i/>
      <sz val="10"/>
      <color theme="3" tint="0.3999755851924192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Wingdings 2"/>
      <family val="1"/>
      <charset val="2"/>
    </font>
    <font>
      <sz val="16"/>
      <color theme="1"/>
      <name val="Tahoma"/>
      <family val="2"/>
    </font>
    <font>
      <b/>
      <i/>
      <sz val="18"/>
      <color rgb="FF002060"/>
      <name val="Tahoma"/>
      <family val="2"/>
    </font>
    <font>
      <b/>
      <i/>
      <vertAlign val="subscript"/>
      <sz val="18"/>
      <color rgb="FF002060"/>
      <name val="Tahoma"/>
      <family val="2"/>
    </font>
    <font>
      <b/>
      <i/>
      <sz val="12"/>
      <color theme="3" tint="0.39997558519241921"/>
      <name val="Tahoma"/>
      <family val="2"/>
    </font>
    <font>
      <vertAlign val="subscript"/>
      <sz val="16"/>
      <color theme="1"/>
      <name val="Tahoma"/>
      <family val="2"/>
    </font>
    <font>
      <sz val="16"/>
      <name val="Tahoma"/>
      <family val="2"/>
    </font>
    <font>
      <vertAlign val="subscript"/>
      <sz val="16"/>
      <name val="Tahoma"/>
      <family val="2"/>
    </font>
    <font>
      <b/>
      <sz val="16"/>
      <color theme="1"/>
      <name val="Tahoma"/>
      <family val="2"/>
    </font>
    <font>
      <b/>
      <i/>
      <sz val="16"/>
      <color rgb="FF002060"/>
      <name val="Tahoma"/>
      <family val="2"/>
    </font>
    <font>
      <sz val="14"/>
      <color theme="1"/>
      <name val="Tahoma"/>
      <family val="2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vertAlign val="subscript"/>
      <sz val="16"/>
      <color theme="0"/>
      <name val="Calibri"/>
      <family val="2"/>
      <scheme val="minor"/>
    </font>
    <font>
      <b/>
      <sz val="18"/>
      <color theme="0"/>
      <name val="Tahoma"/>
      <family val="2"/>
    </font>
    <font>
      <b/>
      <vertAlign val="subscript"/>
      <sz val="18"/>
      <color theme="0"/>
      <name val="Tahoma"/>
      <family val="2"/>
    </font>
    <font>
      <b/>
      <i/>
      <u/>
      <sz val="22"/>
      <color theme="0"/>
      <name val="Tahoma"/>
      <family val="2"/>
    </font>
    <font>
      <sz val="16"/>
      <color rgb="FF000000"/>
      <name val="Calibri"/>
      <family val="2"/>
      <scheme val="minor"/>
    </font>
    <font>
      <b/>
      <sz val="16"/>
      <color theme="0"/>
      <name val="Tahoma"/>
      <family val="2"/>
    </font>
    <font>
      <b/>
      <vertAlign val="subscript"/>
      <sz val="16"/>
      <color theme="0"/>
      <name val="Tahoma"/>
      <family val="2"/>
    </font>
    <font>
      <sz val="16"/>
      <color theme="0"/>
      <name val="Tahoma"/>
      <family val="2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249977111117893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82">
    <xf numFmtId="0" fontId="0" fillId="0" borderId="0"/>
    <xf numFmtId="43" fontId="1" fillId="0" borderId="0" applyFont="0" applyFill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33" borderId="0" applyNumberFormat="0" applyBorder="0" applyAlignment="0" applyProtection="0"/>
    <xf numFmtId="0" fontId="23" fillId="17" borderId="0" applyNumberFormat="0" applyBorder="0" applyAlignment="0" applyProtection="0"/>
    <xf numFmtId="0" fontId="24" fillId="34" borderId="39" applyNumberFormat="0" applyAlignment="0" applyProtection="0"/>
    <xf numFmtId="0" fontId="25" fillId="35" borderId="40" applyNumberFormat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6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7" fillId="36" borderId="0" applyNumberFormat="0" applyFont="0" applyBorder="0" applyAlignment="0"/>
    <xf numFmtId="0" fontId="2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18" borderId="0" applyNumberFormat="0" applyBorder="0" applyAlignment="0" applyProtection="0"/>
    <xf numFmtId="0" fontId="32" fillId="0" borderId="41" applyNumberFormat="0" applyFill="0" applyAlignment="0" applyProtection="0"/>
    <xf numFmtId="0" fontId="33" fillId="0" borderId="42" applyNumberFormat="0" applyFill="0" applyAlignment="0" applyProtection="0"/>
    <xf numFmtId="0" fontId="34" fillId="0" borderId="43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37" fillId="21" borderId="39" applyNumberFormat="0" applyAlignment="0" applyProtection="0"/>
    <xf numFmtId="0" fontId="38" fillId="21" borderId="39" applyNumberFormat="0" applyAlignment="0" applyProtection="0"/>
    <xf numFmtId="0" fontId="39" fillId="0" borderId="44" applyNumberFormat="0" applyFill="0" applyAlignment="0" applyProtection="0"/>
    <xf numFmtId="0" fontId="27" fillId="37" borderId="0" applyNumberFormat="0" applyFont="0" applyBorder="0" applyAlignment="0"/>
    <xf numFmtId="0" fontId="40" fillId="38" borderId="0" applyNumberFormat="0" applyBorder="0" applyAlignment="0" applyProtection="0"/>
    <xf numFmtId="0" fontId="41" fillId="0" borderId="0"/>
    <xf numFmtId="0" fontId="27" fillId="0" borderId="0"/>
    <xf numFmtId="0" fontId="42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6" fillId="0" borderId="0"/>
    <xf numFmtId="0" fontId="27" fillId="0" borderId="0"/>
    <xf numFmtId="0" fontId="27" fillId="0" borderId="0"/>
    <xf numFmtId="0" fontId="29" fillId="0" borderId="0"/>
    <xf numFmtId="0" fontId="44" fillId="0" borderId="0"/>
    <xf numFmtId="0" fontId="29" fillId="0" borderId="0"/>
    <xf numFmtId="0" fontId="28" fillId="0" borderId="0"/>
    <xf numFmtId="0" fontId="29" fillId="0" borderId="0"/>
    <xf numFmtId="0" fontId="26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29" fillId="0" borderId="0"/>
    <xf numFmtId="0" fontId="21" fillId="39" borderId="45" applyNumberFormat="0" applyFont="0" applyAlignment="0" applyProtection="0"/>
    <xf numFmtId="0" fontId="45" fillId="34" borderId="46" applyNumberFormat="0" applyAlignment="0" applyProtection="0"/>
    <xf numFmtId="9" fontId="27" fillId="0" borderId="0" applyFont="0" applyFill="0" applyBorder="0" applyAlignment="0" applyProtection="0"/>
    <xf numFmtId="4" fontId="46" fillId="38" borderId="47" applyNumberFormat="0" applyProtection="0">
      <alignment vertical="center"/>
    </xf>
    <xf numFmtId="4" fontId="46" fillId="36" borderId="47" applyNumberFormat="0" applyProtection="0">
      <alignment horizontal="left" vertical="center" indent="1"/>
    </xf>
    <xf numFmtId="4" fontId="46" fillId="28" borderId="47" applyNumberFormat="0" applyProtection="0">
      <alignment horizontal="left" vertical="center" indent="1"/>
    </xf>
    <xf numFmtId="4" fontId="46" fillId="40" borderId="47" applyNumberFormat="0" applyProtection="0">
      <alignment horizontal="right" vertical="center"/>
    </xf>
    <xf numFmtId="4" fontId="46" fillId="0" borderId="47" applyNumberFormat="0" applyProtection="0">
      <alignment horizontal="right" vertical="center"/>
    </xf>
    <xf numFmtId="4" fontId="46" fillId="28" borderId="47" applyNumberFormat="0" applyProtection="0">
      <alignment horizontal="left" vertical="center" indent="1"/>
    </xf>
    <xf numFmtId="0" fontId="47" fillId="0" borderId="0"/>
    <xf numFmtId="0" fontId="48" fillId="0" borderId="0" applyNumberFormat="0" applyFill="0" applyBorder="0" applyAlignment="0" applyProtection="0"/>
    <xf numFmtId="0" fontId="49" fillId="0" borderId="48" applyNumberFormat="0" applyFill="0" applyAlignment="0" applyProtection="0"/>
    <xf numFmtId="0" fontId="50" fillId="0" borderId="0" applyNumberFormat="0" applyFill="0" applyBorder="0" applyAlignment="0" applyProtection="0"/>
    <xf numFmtId="0" fontId="51" fillId="36" borderId="0">
      <alignment horizontal="left" vertical="center" indent="1"/>
    </xf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7" fillId="0" borderId="0"/>
    <xf numFmtId="0" fontId="26" fillId="0" borderId="0"/>
    <xf numFmtId="0" fontId="27" fillId="0" borderId="0"/>
    <xf numFmtId="0" fontId="52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3" fillId="21" borderId="39" applyNumberFormat="0" applyAlignment="0" applyProtection="0"/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5" fillId="0" borderId="0"/>
    <xf numFmtId="168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2" fontId="69" fillId="0" borderId="0"/>
    <xf numFmtId="173" fontId="70" fillId="0" borderId="0"/>
    <xf numFmtId="174" fontId="70" fillId="0" borderId="0"/>
    <xf numFmtId="38" fontId="46" fillId="46" borderId="0" applyNumberFormat="0" applyBorder="0" applyAlignment="0" applyProtection="0"/>
    <xf numFmtId="0" fontId="71" fillId="0" borderId="0"/>
    <xf numFmtId="0" fontId="72" fillId="0" borderId="0"/>
    <xf numFmtId="10" fontId="46" fillId="47" borderId="2" applyNumberFormat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37" fontId="73" fillId="0" borderId="0"/>
    <xf numFmtId="175" fontId="70" fillId="0" borderId="0"/>
    <xf numFmtId="0" fontId="27" fillId="0" borderId="0"/>
    <xf numFmtId="10" fontId="27" fillId="0" borderId="0" applyFont="0" applyFill="0" applyBorder="0" applyAlignment="0" applyProtection="0"/>
    <xf numFmtId="1" fontId="27" fillId="0" borderId="7" applyNumberFormat="0" applyFill="0" applyAlignment="0" applyProtection="0">
      <alignment horizontal="center" vertical="center"/>
    </xf>
    <xf numFmtId="176" fontId="70" fillId="0" borderId="4"/>
    <xf numFmtId="8" fontId="4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7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5">
    <xf numFmtId="0" fontId="0" fillId="0" borderId="0" xfId="0"/>
    <xf numFmtId="165" fontId="5" fillId="0" borderId="0" xfId="0" applyNumberFormat="1" applyFont="1" applyAlignment="1">
      <alignment horizontal="center"/>
    </xf>
    <xf numFmtId="0" fontId="0" fillId="0" borderId="2" xfId="0" applyBorder="1"/>
    <xf numFmtId="0" fontId="9" fillId="10" borderId="2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43" fontId="9" fillId="8" borderId="4" xfId="1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 wrapText="1"/>
    </xf>
    <xf numFmtId="0" fontId="9" fillId="9" borderId="31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10" borderId="34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vertical="center" wrapText="1"/>
    </xf>
    <xf numFmtId="0" fontId="12" fillId="0" borderId="11" xfId="0" applyFont="1" applyBorder="1"/>
    <xf numFmtId="0" fontId="13" fillId="0" borderId="11" xfId="0" applyFont="1" applyBorder="1" applyAlignment="1">
      <alignment horizontal="center"/>
    </xf>
    <xf numFmtId="43" fontId="13" fillId="0" borderId="1" xfId="1" applyFont="1" applyBorder="1"/>
    <xf numFmtId="165" fontId="13" fillId="0" borderId="1" xfId="1" applyNumberFormat="1" applyFont="1" applyBorder="1"/>
    <xf numFmtId="165" fontId="13" fillId="0" borderId="0" xfId="1" applyNumberFormat="1" applyFont="1"/>
    <xf numFmtId="165" fontId="13" fillId="0" borderId="11" xfId="1" applyNumberFormat="1" applyFont="1" applyBorder="1"/>
    <xf numFmtId="165" fontId="13" fillId="12" borderId="1" xfId="1" applyNumberFormat="1" applyFont="1" applyFill="1" applyBorder="1"/>
    <xf numFmtId="165" fontId="13" fillId="12" borderId="0" xfId="1" applyNumberFormat="1" applyFont="1" applyFill="1"/>
    <xf numFmtId="165" fontId="13" fillId="13" borderId="2" xfId="1" applyNumberFormat="1" applyFont="1" applyFill="1" applyBorder="1"/>
    <xf numFmtId="43" fontId="13" fillId="13" borderId="1" xfId="1" applyFont="1" applyFill="1" applyBorder="1"/>
    <xf numFmtId="43" fontId="13" fillId="12" borderId="1" xfId="1" applyFont="1" applyFill="1" applyBorder="1"/>
    <xf numFmtId="0" fontId="13" fillId="0" borderId="2" xfId="0" applyFont="1" applyBorder="1"/>
    <xf numFmtId="0" fontId="13" fillId="0" borderId="11" xfId="0" applyFont="1" applyBorder="1"/>
    <xf numFmtId="43" fontId="13" fillId="0" borderId="7" xfId="1" applyFont="1" applyBorder="1"/>
    <xf numFmtId="165" fontId="13" fillId="0" borderId="7" xfId="1" applyNumberFormat="1" applyFont="1" applyBorder="1"/>
    <xf numFmtId="165" fontId="13" fillId="12" borderId="7" xfId="1" applyNumberFormat="1" applyFont="1" applyFill="1" applyBorder="1"/>
    <xf numFmtId="43" fontId="14" fillId="0" borderId="2" xfId="0" applyNumberFormat="1" applyFont="1" applyBorder="1"/>
    <xf numFmtId="165" fontId="6" fillId="0" borderId="0" xfId="0" applyNumberFormat="1" applyFont="1"/>
    <xf numFmtId="43" fontId="14" fillId="0" borderId="2" xfId="1" applyFont="1" applyBorder="1"/>
    <xf numFmtId="43" fontId="13" fillId="0" borderId="7" xfId="1" applyFont="1" applyBorder="1" applyAlignment="1">
      <alignment vertical="center" wrapText="1"/>
    </xf>
    <xf numFmtId="165" fontId="13" fillId="12" borderId="11" xfId="1" applyNumberFormat="1" applyFont="1" applyFill="1" applyBorder="1"/>
    <xf numFmtId="0" fontId="14" fillId="0" borderId="2" xfId="0" applyFont="1" applyBorder="1"/>
    <xf numFmtId="43" fontId="13" fillId="0" borderId="8" xfId="1" applyFont="1" applyBorder="1" applyAlignment="1">
      <alignment vertical="center" wrapText="1"/>
    </xf>
    <xf numFmtId="165" fontId="13" fillId="0" borderId="8" xfId="1" applyNumberFormat="1" applyFont="1" applyBorder="1"/>
    <xf numFmtId="165" fontId="13" fillId="0" borderId="23" xfId="1" applyNumberFormat="1" applyFont="1" applyBorder="1"/>
    <xf numFmtId="0" fontId="13" fillId="14" borderId="3" xfId="0" applyFont="1" applyFill="1" applyBorder="1"/>
    <xf numFmtId="0" fontId="12" fillId="14" borderId="2" xfId="0" applyFont="1" applyFill="1" applyBorder="1" applyAlignment="1">
      <alignment horizontal="center"/>
    </xf>
    <xf numFmtId="43" fontId="13" fillId="14" borderId="10" xfId="1" applyFont="1" applyFill="1" applyBorder="1"/>
    <xf numFmtId="43" fontId="9" fillId="14" borderId="1" xfId="1" applyFont="1" applyFill="1" applyBorder="1"/>
    <xf numFmtId="43" fontId="15" fillId="14" borderId="2" xfId="0" applyNumberFormat="1" applyFont="1" applyFill="1" applyBorder="1"/>
    <xf numFmtId="0" fontId="13" fillId="0" borderId="1" xfId="0" applyFont="1" applyBorder="1"/>
    <xf numFmtId="0" fontId="16" fillId="0" borderId="1" xfId="0" applyFont="1" applyBorder="1" applyAlignment="1">
      <alignment horizontal="center"/>
    </xf>
    <xf numFmtId="43" fontId="17" fillId="0" borderId="1" xfId="1" applyFont="1" applyBorder="1"/>
    <xf numFmtId="165" fontId="13" fillId="12" borderId="6" xfId="1" applyNumberFormat="1" applyFont="1" applyFill="1" applyBorder="1"/>
    <xf numFmtId="165" fontId="13" fillId="12" borderId="9" xfId="1" applyNumberFormat="1" applyFont="1" applyFill="1" applyBorder="1"/>
    <xf numFmtId="165" fontId="13" fillId="12" borderId="10" xfId="1" applyNumberFormat="1" applyFont="1" applyFill="1" applyBorder="1"/>
    <xf numFmtId="43" fontId="13" fillId="12" borderId="6" xfId="1" applyFont="1" applyFill="1" applyBorder="1"/>
    <xf numFmtId="43" fontId="13" fillId="12" borderId="9" xfId="1" applyFont="1" applyFill="1" applyBorder="1"/>
    <xf numFmtId="0" fontId="13" fillId="0" borderId="7" xfId="0" applyFont="1" applyBorder="1"/>
    <xf numFmtId="0" fontId="16" fillId="0" borderId="7" xfId="0" applyFont="1" applyBorder="1" applyAlignment="1">
      <alignment horizontal="center"/>
    </xf>
    <xf numFmtId="43" fontId="17" fillId="0" borderId="7" xfId="1" applyFont="1" applyBorder="1"/>
    <xf numFmtId="165" fontId="13" fillId="12" borderId="35" xfId="1" applyNumberFormat="1" applyFont="1" applyFill="1" applyBorder="1"/>
    <xf numFmtId="43" fontId="13" fillId="12" borderId="11" xfId="1" applyFont="1" applyFill="1" applyBorder="1"/>
    <xf numFmtId="43" fontId="13" fillId="12" borderId="0" xfId="1" applyFont="1" applyFill="1"/>
    <xf numFmtId="43" fontId="14" fillId="0" borderId="5" xfId="0" applyNumberFormat="1" applyFont="1" applyBorder="1"/>
    <xf numFmtId="0" fontId="17" fillId="0" borderId="7" xfId="0" applyFont="1" applyBorder="1" applyAlignment="1">
      <alignment horizontal="center"/>
    </xf>
    <xf numFmtId="43" fontId="17" fillId="0" borderId="11" xfId="1" applyFont="1" applyBorder="1"/>
    <xf numFmtId="43" fontId="17" fillId="12" borderId="0" xfId="1" applyFont="1" applyFill="1"/>
    <xf numFmtId="0" fontId="13" fillId="0" borderId="5" xfId="0" applyFont="1" applyBorder="1"/>
    <xf numFmtId="165" fontId="6" fillId="0" borderId="0" xfId="1" applyNumberFormat="1" applyFont="1"/>
    <xf numFmtId="165" fontId="13" fillId="12" borderId="23" xfId="1" applyNumberFormat="1" applyFont="1" applyFill="1" applyBorder="1"/>
    <xf numFmtId="165" fontId="13" fillId="12" borderId="12" xfId="1" applyNumberFormat="1" applyFont="1" applyFill="1" applyBorder="1"/>
    <xf numFmtId="43" fontId="17" fillId="12" borderId="12" xfId="1" applyFont="1" applyFill="1" applyBorder="1"/>
    <xf numFmtId="165" fontId="13" fillId="12" borderId="13" xfId="1" applyNumberFormat="1" applyFont="1" applyFill="1" applyBorder="1"/>
    <xf numFmtId="43" fontId="17" fillId="0" borderId="8" xfId="1" applyFont="1" applyBorder="1"/>
    <xf numFmtId="43" fontId="13" fillId="12" borderId="23" xfId="1" applyFont="1" applyFill="1" applyBorder="1"/>
    <xf numFmtId="43" fontId="13" fillId="12" borderId="12" xfId="1" applyFont="1" applyFill="1" applyBorder="1"/>
    <xf numFmtId="43" fontId="9" fillId="14" borderId="2" xfId="1" applyFont="1" applyFill="1" applyBorder="1"/>
    <xf numFmtId="43" fontId="9" fillId="14" borderId="8" xfId="1" applyFont="1" applyFill="1" applyBorder="1"/>
    <xf numFmtId="0" fontId="15" fillId="14" borderId="5" xfId="0" applyFont="1" applyFill="1" applyBorder="1"/>
    <xf numFmtId="0" fontId="13" fillId="0" borderId="0" xfId="0" applyFont="1"/>
    <xf numFmtId="43" fontId="16" fillId="0" borderId="1" xfId="1" applyFont="1" applyBorder="1"/>
    <xf numFmtId="165" fontId="13" fillId="0" borderId="36" xfId="0" applyNumberFormat="1" applyFont="1" applyBorder="1"/>
    <xf numFmtId="0" fontId="6" fillId="0" borderId="0" xfId="0" applyFont="1" applyAlignment="1">
      <alignment vertical="center" wrapText="1"/>
    </xf>
    <xf numFmtId="165" fontId="13" fillId="0" borderId="37" xfId="1" applyNumberFormat="1" applyFont="1" applyBorder="1"/>
    <xf numFmtId="43" fontId="6" fillId="0" borderId="0" xfId="0" applyNumberFormat="1" applyFont="1"/>
    <xf numFmtId="43" fontId="13" fillId="0" borderId="8" xfId="1" applyFont="1" applyBorder="1"/>
    <xf numFmtId="165" fontId="13" fillId="0" borderId="38" xfId="0" applyNumberFormat="1" applyFont="1" applyBorder="1"/>
    <xf numFmtId="0" fontId="5" fillId="0" borderId="0" xfId="0" applyFont="1" applyAlignment="1">
      <alignment horizontal="center" vertical="center"/>
    </xf>
    <xf numFmtId="0" fontId="15" fillId="14" borderId="2" xfId="0" applyFont="1" applyFill="1" applyBorder="1"/>
    <xf numFmtId="0" fontId="13" fillId="0" borderId="9" xfId="0" applyFont="1" applyBorder="1"/>
    <xf numFmtId="0" fontId="13" fillId="0" borderId="1" xfId="0" applyFont="1" applyBorder="1" applyAlignment="1">
      <alignment horizontal="center"/>
    </xf>
    <xf numFmtId="43" fontId="13" fillId="0" borderId="9" xfId="1" applyFont="1" applyBorder="1"/>
    <xf numFmtId="0" fontId="13" fillId="0" borderId="7" xfId="0" applyFont="1" applyBorder="1" applyAlignment="1">
      <alignment horizontal="center"/>
    </xf>
    <xf numFmtId="43" fontId="13" fillId="0" borderId="0" xfId="1" applyFont="1"/>
    <xf numFmtId="0" fontId="6" fillId="0" borderId="0" xfId="0" applyFont="1"/>
    <xf numFmtId="0" fontId="13" fillId="0" borderId="8" xfId="0" applyFont="1" applyBorder="1"/>
    <xf numFmtId="0" fontId="12" fillId="0" borderId="11" xfId="0" applyFont="1" applyBorder="1" applyAlignment="1">
      <alignment horizontal="center" vertical="center" textRotation="90"/>
    </xf>
    <xf numFmtId="0" fontId="13" fillId="0" borderId="0" xfId="0" applyFont="1" applyAlignment="1">
      <alignment horizontal="center"/>
    </xf>
    <xf numFmtId="43" fontId="19" fillId="3" borderId="5" xfId="1" applyFont="1" applyFill="1" applyBorder="1" applyAlignment="1">
      <alignment horizontal="right" vertical="center"/>
    </xf>
    <xf numFmtId="0" fontId="12" fillId="0" borderId="5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0" fillId="15" borderId="5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3" fontId="6" fillId="0" borderId="0" xfId="1" applyFont="1"/>
    <xf numFmtId="165" fontId="6" fillId="0" borderId="0" xfId="0" applyNumberFormat="1" applyFont="1" applyAlignment="1">
      <alignment horizontal="center" vertical="center"/>
    </xf>
    <xf numFmtId="0" fontId="20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61" fillId="43" borderId="3" xfId="0" applyFont="1" applyFill="1" applyBorder="1" applyAlignment="1">
      <alignment horizontal="center" vertical="center" wrapText="1"/>
    </xf>
    <xf numFmtId="43" fontId="62" fillId="0" borderId="5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1" fillId="43" borderId="3" xfId="0" applyFont="1" applyFill="1" applyBorder="1" applyAlignment="1">
      <alignment horizontal="center" vertical="center"/>
    </xf>
    <xf numFmtId="0" fontId="61" fillId="43" borderId="2" xfId="0" applyFont="1" applyFill="1" applyBorder="1" applyAlignment="1">
      <alignment horizontal="center" vertical="center"/>
    </xf>
    <xf numFmtId="43" fontId="62" fillId="0" borderId="2" xfId="1" applyFont="1" applyBorder="1" applyAlignment="1">
      <alignment horizontal="center" vertical="center"/>
    </xf>
    <xf numFmtId="43" fontId="64" fillId="14" borderId="2" xfId="1" applyFont="1" applyFill="1" applyBorder="1" applyAlignment="1">
      <alignment horizontal="center" vertical="center"/>
    </xf>
    <xf numFmtId="0" fontId="60" fillId="2" borderId="0" xfId="0" applyFont="1" applyFill="1" applyAlignment="1">
      <alignment vertical="center"/>
    </xf>
    <xf numFmtId="0" fontId="13" fillId="14" borderId="10" xfId="0" applyFont="1" applyFill="1" applyBorder="1"/>
    <xf numFmtId="0" fontId="13" fillId="14" borderId="13" xfId="0" applyFont="1" applyFill="1" applyBorder="1"/>
    <xf numFmtId="0" fontId="4" fillId="15" borderId="4" xfId="0" applyFont="1" applyFill="1" applyBorder="1" applyAlignment="1">
      <alignment horizontal="center" vertical="center"/>
    </xf>
    <xf numFmtId="0" fontId="13" fillId="14" borderId="5" xfId="0" applyFont="1" applyFill="1" applyBorder="1"/>
    <xf numFmtId="165" fontId="13" fillId="0" borderId="49" xfId="1" applyNumberFormat="1" applyFont="1" applyBorder="1"/>
    <xf numFmtId="165" fontId="13" fillId="0" borderId="50" xfId="1" applyNumberFormat="1" applyFont="1" applyBorder="1"/>
    <xf numFmtId="0" fontId="27" fillId="0" borderId="0" xfId="161"/>
    <xf numFmtId="0" fontId="6" fillId="0" borderId="0" xfId="161" applyFont="1"/>
    <xf numFmtId="0" fontId="6" fillId="0" borderId="0" xfId="161" applyFont="1" applyAlignment="1">
      <alignment vertical="center"/>
    </xf>
    <xf numFmtId="0" fontId="6" fillId="0" borderId="0" xfId="161" applyFont="1" applyAlignment="1">
      <alignment horizontal="left" vertical="center"/>
    </xf>
    <xf numFmtId="0" fontId="6" fillId="5" borderId="11" xfId="161" applyFont="1" applyFill="1" applyBorder="1"/>
    <xf numFmtId="0" fontId="6" fillId="5" borderId="35" xfId="161" applyFont="1" applyFill="1" applyBorder="1"/>
    <xf numFmtId="0" fontId="6" fillId="5" borderId="11" xfId="161" applyFont="1" applyFill="1" applyBorder="1" applyAlignment="1">
      <alignment vertical="center"/>
    </xf>
    <xf numFmtId="0" fontId="6" fillId="5" borderId="35" xfId="161" applyFont="1" applyFill="1" applyBorder="1" applyAlignment="1">
      <alignment vertical="center"/>
    </xf>
    <xf numFmtId="0" fontId="6" fillId="13" borderId="2" xfId="161" applyFont="1" applyFill="1" applyBorder="1" applyAlignment="1">
      <alignment horizontal="center"/>
    </xf>
    <xf numFmtId="0" fontId="6" fillId="5" borderId="3" xfId="169" applyFont="1" applyFill="1" applyBorder="1"/>
    <xf numFmtId="0" fontId="6" fillId="5" borderId="4" xfId="169" applyFont="1" applyFill="1" applyBorder="1"/>
    <xf numFmtId="0" fontId="6" fillId="5" borderId="5" xfId="169" applyFont="1" applyFill="1" applyBorder="1"/>
    <xf numFmtId="0" fontId="79" fillId="0" borderId="0" xfId="175" applyFont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60" fillId="2" borderId="23" xfId="0" applyFont="1" applyFill="1" applyBorder="1" applyAlignment="1">
      <alignment horizontal="center" vertical="center"/>
    </xf>
    <xf numFmtId="167" fontId="64" fillId="14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6" fillId="45" borderId="0" xfId="0" applyFont="1" applyFill="1"/>
    <xf numFmtId="0" fontId="66" fillId="45" borderId="2" xfId="0" applyFont="1" applyFill="1" applyBorder="1"/>
    <xf numFmtId="0" fontId="66" fillId="45" borderId="2" xfId="0" applyFont="1" applyFill="1" applyBorder="1" applyAlignment="1">
      <alignment horizontal="center" vertical="top"/>
    </xf>
    <xf numFmtId="0" fontId="66" fillId="45" borderId="2" xfId="0" applyFont="1" applyFill="1" applyBorder="1" applyAlignment="1">
      <alignment vertical="top"/>
    </xf>
    <xf numFmtId="0" fontId="66" fillId="45" borderId="2" xfId="0" applyFont="1" applyFill="1" applyBorder="1" applyAlignment="1">
      <alignment horizontal="center" vertical="center"/>
    </xf>
    <xf numFmtId="0" fontId="66" fillId="45" borderId="2" xfId="0" applyFont="1" applyFill="1" applyBorder="1" applyAlignment="1">
      <alignment horizontal="center"/>
    </xf>
    <xf numFmtId="0" fontId="68" fillId="45" borderId="2" xfId="0" applyFont="1" applyFill="1" applyBorder="1" applyAlignment="1">
      <alignment vertical="top"/>
    </xf>
    <xf numFmtId="49" fontId="66" fillId="45" borderId="2" xfId="0" applyNumberFormat="1" applyFont="1" applyFill="1" applyBorder="1" applyAlignment="1">
      <alignment vertical="top"/>
    </xf>
    <xf numFmtId="0" fontId="2" fillId="4" borderId="0" xfId="0" applyFont="1" applyFill="1"/>
    <xf numFmtId="0" fontId="66" fillId="4" borderId="0" xfId="0" applyFont="1" applyFill="1"/>
    <xf numFmtId="170" fontId="66" fillId="45" borderId="0" xfId="1" applyNumberFormat="1" applyFont="1" applyFill="1"/>
    <xf numFmtId="170" fontId="66" fillId="45" borderId="0" xfId="1" applyNumberFormat="1" applyFont="1" applyFill="1" applyAlignment="1">
      <alignment horizontal="center"/>
    </xf>
    <xf numFmtId="170" fontId="66" fillId="45" borderId="2" xfId="1" applyNumberFormat="1" applyFont="1" applyFill="1" applyBorder="1" applyAlignment="1">
      <alignment horizontal="center"/>
    </xf>
    <xf numFmtId="0" fontId="66" fillId="45" borderId="2" xfId="1" applyNumberFormat="1" applyFont="1" applyFill="1" applyBorder="1" applyAlignment="1">
      <alignment horizontal="center" vertical="top"/>
    </xf>
    <xf numFmtId="0" fontId="66" fillId="45" borderId="2" xfId="1" applyNumberFormat="1" applyFont="1" applyFill="1" applyBorder="1" applyAlignment="1">
      <alignment horizontal="center"/>
    </xf>
    <xf numFmtId="0" fontId="66" fillId="45" borderId="0" xfId="1" applyNumberFormat="1" applyFont="1" applyFill="1" applyAlignment="1">
      <alignment horizontal="center"/>
    </xf>
    <xf numFmtId="170" fontId="66" fillId="45" borderId="2" xfId="1" applyNumberFormat="1" applyFont="1" applyFill="1" applyBorder="1"/>
    <xf numFmtId="43" fontId="13" fillId="13" borderId="10" xfId="1" applyFont="1" applyFill="1" applyBorder="1"/>
    <xf numFmtId="43" fontId="9" fillId="14" borderId="5" xfId="1" applyFont="1" applyFill="1" applyBorder="1"/>
    <xf numFmtId="171" fontId="66" fillId="45" borderId="2" xfId="1" applyNumberFormat="1" applyFont="1" applyFill="1" applyBorder="1" applyAlignment="1">
      <alignment horizontal="center" vertical="top"/>
    </xf>
    <xf numFmtId="0" fontId="7" fillId="44" borderId="2" xfId="0" applyFont="1" applyFill="1" applyBorder="1" applyAlignment="1">
      <alignment horizontal="center" vertical="center"/>
    </xf>
    <xf numFmtId="0" fontId="57" fillId="45" borderId="2" xfId="0" applyFont="1" applyFill="1" applyBorder="1" applyAlignment="1">
      <alignment horizontal="left" vertical="center"/>
    </xf>
    <xf numFmtId="0" fontId="57" fillId="45" borderId="2" xfId="0" applyFont="1" applyFill="1" applyBorder="1" applyAlignment="1">
      <alignment horizontal="center" vertical="center"/>
    </xf>
    <xf numFmtId="11" fontId="57" fillId="45" borderId="2" xfId="0" applyNumberFormat="1" applyFont="1" applyFill="1" applyBorder="1" applyAlignment="1">
      <alignment horizontal="center" vertical="center"/>
    </xf>
    <xf numFmtId="177" fontId="57" fillId="45" borderId="2" xfId="0" applyNumberFormat="1" applyFont="1" applyFill="1" applyBorder="1" applyAlignment="1">
      <alignment horizontal="center" vertical="center"/>
    </xf>
    <xf numFmtId="0" fontId="66" fillId="45" borderId="0" xfId="0" applyFont="1" applyFill="1" applyAlignment="1">
      <alignment horizontal="left" vertical="top"/>
    </xf>
    <xf numFmtId="170" fontId="66" fillId="45" borderId="0" xfId="1" applyNumberFormat="1" applyFont="1" applyFill="1" applyAlignment="1">
      <alignment horizontal="left" vertical="top"/>
    </xf>
    <xf numFmtId="0" fontId="66" fillId="4" borderId="0" xfId="0" applyFont="1" applyFill="1" applyAlignment="1">
      <alignment horizontal="left" vertical="top"/>
    </xf>
    <xf numFmtId="170" fontId="66" fillId="4" borderId="0" xfId="1" applyNumberFormat="1" applyFont="1" applyFill="1" applyAlignment="1">
      <alignment horizontal="left" vertical="top"/>
    </xf>
    <xf numFmtId="170" fontId="66" fillId="4" borderId="0" xfId="1" applyNumberFormat="1" applyFont="1" applyFill="1" applyAlignment="1">
      <alignment horizontal="left" vertical="top" wrapText="1"/>
    </xf>
    <xf numFmtId="170" fontId="66" fillId="4" borderId="0" xfId="1" applyNumberFormat="1" applyFont="1" applyFill="1"/>
    <xf numFmtId="165" fontId="66" fillId="45" borderId="0" xfId="1" applyNumberFormat="1" applyFont="1" applyFill="1"/>
    <xf numFmtId="43" fontId="66" fillId="45" borderId="0" xfId="1" applyFont="1" applyFill="1"/>
    <xf numFmtId="177" fontId="66" fillId="45" borderId="0" xfId="0" applyNumberFormat="1" applyFont="1" applyFill="1"/>
    <xf numFmtId="0" fontId="66" fillId="45" borderId="0" xfId="0" applyFont="1" applyFill="1" applyAlignment="1">
      <alignment horizontal="center"/>
    </xf>
    <xf numFmtId="2" fontId="66" fillId="45" borderId="2" xfId="1" applyNumberFormat="1" applyFont="1" applyFill="1" applyBorder="1" applyAlignment="1">
      <alignment horizontal="center"/>
    </xf>
    <xf numFmtId="167" fontId="0" fillId="0" borderId="2" xfId="1" applyNumberFormat="1" applyFont="1" applyBorder="1"/>
    <xf numFmtId="43" fontId="62" fillId="0" borderId="2" xfId="0" applyNumberFormat="1" applyFont="1" applyBorder="1" applyAlignment="1">
      <alignment horizontal="center" vertical="center"/>
    </xf>
    <xf numFmtId="0" fontId="8" fillId="8" borderId="4" xfId="161" applyFont="1" applyFill="1" applyBorder="1" applyAlignment="1">
      <alignment horizontal="left" vertical="center"/>
    </xf>
    <xf numFmtId="0" fontId="66" fillId="45" borderId="2" xfId="0" applyFont="1" applyFill="1" applyBorder="1" applyAlignment="1">
      <alignment horizontal="center" vertical="center" wrapText="1"/>
    </xf>
    <xf numFmtId="0" fontId="66" fillId="45" borderId="2" xfId="0" applyFont="1" applyFill="1" applyBorder="1" applyAlignment="1">
      <alignment vertical="center"/>
    </xf>
    <xf numFmtId="0" fontId="66" fillId="45" borderId="2" xfId="0" applyFont="1" applyFill="1" applyBorder="1" applyAlignment="1">
      <alignment vertical="center" wrapText="1"/>
    </xf>
    <xf numFmtId="165" fontId="7" fillId="44" borderId="2" xfId="1" applyNumberFormat="1" applyFont="1" applyFill="1" applyBorder="1" applyAlignment="1">
      <alignment horizontal="center" vertical="center"/>
    </xf>
    <xf numFmtId="165" fontId="57" fillId="45" borderId="2" xfId="1" applyNumberFormat="1" applyFont="1" applyFill="1" applyBorder="1" applyAlignment="1">
      <alignment horizontal="center" vertical="center"/>
    </xf>
    <xf numFmtId="165" fontId="57" fillId="45" borderId="0" xfId="1" applyNumberFormat="1" applyFont="1" applyFill="1" applyBorder="1" applyAlignment="1">
      <alignment horizontal="center" vertical="center"/>
    </xf>
    <xf numFmtId="165" fontId="66" fillId="4" borderId="0" xfId="1" applyNumberFormat="1" applyFont="1" applyFill="1"/>
    <xf numFmtId="165" fontId="66" fillId="45" borderId="0" xfId="1" applyNumberFormat="1" applyFont="1" applyFill="1" applyAlignment="1">
      <alignment horizontal="center"/>
    </xf>
    <xf numFmtId="165" fontId="66" fillId="45" borderId="2" xfId="1" applyNumberFormat="1" applyFont="1" applyFill="1" applyBorder="1" applyAlignment="1">
      <alignment horizontal="center"/>
    </xf>
    <xf numFmtId="165" fontId="66" fillId="45" borderId="2" xfId="1" applyNumberFormat="1" applyFont="1" applyFill="1" applyBorder="1"/>
    <xf numFmtId="0" fontId="68" fillId="45" borderId="2" xfId="0" applyFont="1" applyFill="1" applyBorder="1" applyAlignment="1">
      <alignment vertical="center"/>
    </xf>
    <xf numFmtId="0" fontId="6" fillId="45" borderId="23" xfId="0" applyFont="1" applyFill="1" applyBorder="1"/>
    <xf numFmtId="0" fontId="6" fillId="45" borderId="12" xfId="0" applyFont="1" applyFill="1" applyBorder="1"/>
    <xf numFmtId="0" fontId="6" fillId="45" borderId="13" xfId="0" applyFont="1" applyFill="1" applyBorder="1"/>
    <xf numFmtId="0" fontId="6" fillId="45" borderId="0" xfId="0" applyFont="1" applyFill="1"/>
    <xf numFmtId="0" fontId="63" fillId="42" borderId="2" xfId="0" applyFont="1" applyFill="1" applyBorder="1" applyAlignment="1">
      <alignment horizontal="center" vertical="center" wrapText="1"/>
    </xf>
    <xf numFmtId="0" fontId="6" fillId="45" borderId="11" xfId="0" applyFont="1" applyFill="1" applyBorder="1"/>
    <xf numFmtId="0" fontId="6" fillId="45" borderId="35" xfId="0" applyFont="1" applyFill="1" applyBorder="1"/>
    <xf numFmtId="0" fontId="6" fillId="5" borderId="0" xfId="161" applyFont="1" applyFill="1"/>
    <xf numFmtId="0" fontId="81" fillId="13" borderId="2" xfId="161" applyFont="1" applyFill="1" applyBorder="1" applyAlignment="1">
      <alignment horizontal="center" vertical="center"/>
    </xf>
    <xf numFmtId="0" fontId="6" fillId="13" borderId="3" xfId="0" applyFont="1" applyFill="1" applyBorder="1"/>
    <xf numFmtId="0" fontId="6" fillId="13" borderId="2" xfId="0" applyFont="1" applyFill="1" applyBorder="1"/>
    <xf numFmtId="0" fontId="6" fillId="13" borderId="3" xfId="0" applyFont="1" applyFill="1" applyBorder="1" applyAlignment="1">
      <alignment horizontal="right"/>
    </xf>
    <xf numFmtId="0" fontId="6" fillId="13" borderId="5" xfId="0" applyFont="1" applyFill="1" applyBorder="1"/>
    <xf numFmtId="0" fontId="59" fillId="13" borderId="3" xfId="161" applyFont="1" applyFill="1" applyBorder="1" applyAlignment="1">
      <alignment horizontal="center"/>
    </xf>
    <xf numFmtId="0" fontId="59" fillId="13" borderId="4" xfId="161" applyFont="1" applyFill="1" applyBorder="1" applyAlignment="1">
      <alignment horizontal="center"/>
    </xf>
    <xf numFmtId="0" fontId="59" fillId="13" borderId="5" xfId="161" applyFont="1" applyFill="1" applyBorder="1" applyAlignment="1">
      <alignment horizontal="center"/>
    </xf>
    <xf numFmtId="0" fontId="66" fillId="45" borderId="0" xfId="0" applyFont="1" applyFill="1" applyAlignment="1">
      <alignment vertical="center"/>
    </xf>
    <xf numFmtId="0" fontId="66" fillId="45" borderId="0" xfId="0" applyFont="1" applyFill="1" applyAlignment="1">
      <alignment vertical="center" wrapText="1"/>
    </xf>
    <xf numFmtId="0" fontId="66" fillId="45" borderId="0" xfId="0" applyFont="1" applyFill="1" applyAlignment="1">
      <alignment horizontal="center" vertical="center"/>
    </xf>
    <xf numFmtId="11" fontId="57" fillId="45" borderId="0" xfId="0" applyNumberFormat="1" applyFont="1" applyFill="1" applyAlignment="1">
      <alignment horizontal="center" vertical="center"/>
    </xf>
    <xf numFmtId="0" fontId="66" fillId="45" borderId="0" xfId="0" applyFont="1" applyFill="1" applyAlignment="1">
      <alignment horizontal="center" vertical="center" wrapText="1"/>
    </xf>
    <xf numFmtId="49" fontId="66" fillId="45" borderId="0" xfId="0" applyNumberFormat="1" applyFont="1" applyFill="1" applyAlignment="1">
      <alignment vertical="top"/>
    </xf>
    <xf numFmtId="11" fontId="82" fillId="45" borderId="0" xfId="176" applyNumberFormat="1" applyFill="1" applyBorder="1" applyAlignment="1">
      <alignment horizontal="left" vertical="center"/>
    </xf>
    <xf numFmtId="0" fontId="66" fillId="0" borderId="2" xfId="1" applyNumberFormat="1" applyFont="1" applyFill="1" applyBorder="1" applyAlignment="1">
      <alignment horizontal="center" vertical="top"/>
    </xf>
    <xf numFmtId="0" fontId="66" fillId="0" borderId="2" xfId="0" applyFont="1" applyBorder="1" applyAlignment="1">
      <alignment horizontal="center" vertical="top"/>
    </xf>
    <xf numFmtId="0" fontId="66" fillId="0" borderId="2" xfId="0" applyFont="1" applyBorder="1" applyAlignment="1">
      <alignment vertical="top"/>
    </xf>
    <xf numFmtId="165" fontId="66" fillId="45" borderId="0" xfId="0" applyNumberFormat="1" applyFont="1" applyFill="1"/>
    <xf numFmtId="0" fontId="0" fillId="0" borderId="2" xfId="0" applyBorder="1" applyAlignment="1">
      <alignment horizontal="center" vertical="center"/>
    </xf>
    <xf numFmtId="0" fontId="6" fillId="45" borderId="0" xfId="0" applyFont="1" applyFill="1" applyAlignment="1">
      <alignment horizontal="center"/>
    </xf>
    <xf numFmtId="0" fontId="6" fillId="45" borderId="35" xfId="0" applyFont="1" applyFill="1" applyBorder="1" applyAlignment="1">
      <alignment horizontal="center"/>
    </xf>
    <xf numFmtId="0" fontId="6" fillId="45" borderId="11" xfId="0" applyFont="1" applyFill="1" applyBorder="1" applyAlignment="1">
      <alignment horizontal="center"/>
    </xf>
    <xf numFmtId="0" fontId="6" fillId="45" borderId="11" xfId="0" applyFont="1" applyFill="1" applyBorder="1" applyAlignment="1">
      <alignment horizontal="left"/>
    </xf>
    <xf numFmtId="0" fontId="6" fillId="45" borderId="6" xfId="0" applyFont="1" applyFill="1" applyBorder="1"/>
    <xf numFmtId="0" fontId="6" fillId="45" borderId="9" xfId="0" applyFont="1" applyFill="1" applyBorder="1"/>
    <xf numFmtId="0" fontId="6" fillId="45" borderId="10" xfId="0" applyFont="1" applyFill="1" applyBorder="1"/>
    <xf numFmtId="178" fontId="13" fillId="0" borderId="1" xfId="1" applyNumberFormat="1" applyFont="1" applyBorder="1"/>
    <xf numFmtId="165" fontId="13" fillId="12" borderId="0" xfId="1" applyNumberFormat="1" applyFont="1" applyFill="1" applyBorder="1"/>
    <xf numFmtId="43" fontId="13" fillId="12" borderId="0" xfId="1" applyFont="1" applyFill="1" applyBorder="1"/>
    <xf numFmtId="0" fontId="5" fillId="0" borderId="2" xfId="161" applyFont="1" applyBorder="1" applyAlignment="1">
      <alignment horizontal="left" vertical="center"/>
    </xf>
    <xf numFmtId="0" fontId="5" fillId="0" borderId="2" xfId="161" applyFont="1" applyBorder="1" applyAlignment="1">
      <alignment horizontal="center" vertical="center"/>
    </xf>
    <xf numFmtId="0" fontId="87" fillId="0" borderId="2" xfId="161" applyFont="1" applyBorder="1" applyAlignment="1">
      <alignment horizontal="center" vertical="center"/>
    </xf>
    <xf numFmtId="0" fontId="5" fillId="0" borderId="2" xfId="175" applyFont="1" applyBorder="1" applyAlignment="1">
      <alignment horizontal="left" vertical="center"/>
    </xf>
    <xf numFmtId="0" fontId="5" fillId="0" borderId="2" xfId="175" applyFont="1" applyBorder="1" applyAlignment="1">
      <alignment horizontal="center" vertical="center"/>
    </xf>
    <xf numFmtId="0" fontId="87" fillId="0" borderId="2" xfId="175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0" fontId="91" fillId="15" borderId="4" xfId="0" applyFont="1" applyFill="1" applyBorder="1"/>
    <xf numFmtId="0" fontId="92" fillId="0" borderId="0" xfId="0" applyFont="1"/>
    <xf numFmtId="0" fontId="59" fillId="15" borderId="4" xfId="0" applyFont="1" applyFill="1" applyBorder="1"/>
    <xf numFmtId="0" fontId="59" fillId="15" borderId="5" xfId="0" applyFont="1" applyFill="1" applyBorder="1"/>
    <xf numFmtId="0" fontId="59" fillId="0" borderId="0" xfId="0" applyFont="1"/>
    <xf numFmtId="0" fontId="6" fillId="0" borderId="0" xfId="175" applyFont="1"/>
    <xf numFmtId="0" fontId="92" fillId="45" borderId="11" xfId="0" applyFont="1" applyFill="1" applyBorder="1"/>
    <xf numFmtId="0" fontId="92" fillId="45" borderId="0" xfId="0" applyFont="1" applyFill="1"/>
    <xf numFmtId="0" fontId="92" fillId="45" borderId="35" xfId="0" applyFont="1" applyFill="1" applyBorder="1"/>
    <xf numFmtId="0" fontId="92" fillId="45" borderId="23" xfId="0" applyFont="1" applyFill="1" applyBorder="1"/>
    <xf numFmtId="0" fontId="92" fillId="45" borderId="12" xfId="0" applyFont="1" applyFill="1" applyBorder="1"/>
    <xf numFmtId="0" fontId="92" fillId="45" borderId="13" xfId="0" applyFont="1" applyFill="1" applyBorder="1"/>
    <xf numFmtId="0" fontId="6" fillId="0" borderId="0" xfId="174" applyFont="1"/>
    <xf numFmtId="0" fontId="5" fillId="0" borderId="2" xfId="174" applyFont="1" applyBorder="1" applyAlignment="1">
      <alignment horizontal="left" vertical="center"/>
    </xf>
    <xf numFmtId="0" fontId="5" fillId="0" borderId="2" xfId="174" applyFont="1" applyBorder="1" applyAlignment="1">
      <alignment horizontal="center" vertical="center"/>
    </xf>
    <xf numFmtId="0" fontId="86" fillId="45" borderId="3" xfId="174" applyFont="1" applyFill="1" applyBorder="1" applyAlignment="1">
      <alignment vertical="center"/>
    </xf>
    <xf numFmtId="0" fontId="86" fillId="45" borderId="5" xfId="174" applyFont="1" applyFill="1" applyBorder="1" applyAlignment="1">
      <alignment vertical="center"/>
    </xf>
    <xf numFmtId="0" fontId="86" fillId="45" borderId="4" xfId="174" applyFont="1" applyFill="1" applyBorder="1" applyAlignment="1">
      <alignment vertical="center"/>
    </xf>
    <xf numFmtId="0" fontId="86" fillId="0" borderId="5" xfId="174" applyFont="1" applyBorder="1" applyAlignment="1">
      <alignment horizontal="left" vertical="center"/>
    </xf>
    <xf numFmtId="0" fontId="5" fillId="0" borderId="2" xfId="169" applyFont="1" applyBorder="1" applyAlignment="1">
      <alignment horizontal="left" vertical="center"/>
    </xf>
    <xf numFmtId="0" fontId="5" fillId="0" borderId="2" xfId="169" applyFont="1" applyBorder="1" applyAlignment="1">
      <alignment vertical="center"/>
    </xf>
    <xf numFmtId="0" fontId="5" fillId="0" borderId="2" xfId="169" applyFont="1" applyBorder="1" applyAlignment="1">
      <alignment horizontal="center" vertical="center"/>
    </xf>
    <xf numFmtId="0" fontId="87" fillId="0" borderId="2" xfId="169" applyFont="1" applyBorder="1" applyAlignment="1">
      <alignment horizontal="center" vertical="center"/>
    </xf>
    <xf numFmtId="0" fontId="5" fillId="0" borderId="2" xfId="173" applyFont="1" applyBorder="1" applyAlignment="1">
      <alignment horizontal="center" vertical="center"/>
    </xf>
    <xf numFmtId="0" fontId="5" fillId="0" borderId="2" xfId="173" applyFont="1" applyBorder="1" applyAlignment="1">
      <alignment vertical="center"/>
    </xf>
    <xf numFmtId="0" fontId="87" fillId="0" borderId="2" xfId="173" applyFont="1" applyBorder="1" applyAlignment="1">
      <alignment horizontal="center" vertical="center"/>
    </xf>
    <xf numFmtId="0" fontId="5" fillId="49" borderId="6" xfId="173" applyFont="1" applyFill="1" applyBorder="1" applyAlignment="1">
      <alignment horizontal="center"/>
    </xf>
    <xf numFmtId="0" fontId="59" fillId="45" borderId="11" xfId="0" applyFont="1" applyFill="1" applyBorder="1"/>
    <xf numFmtId="0" fontId="59" fillId="45" borderId="0" xfId="0" applyFont="1" applyFill="1"/>
    <xf numFmtId="0" fontId="4" fillId="12" borderId="2" xfId="0" applyFont="1" applyFill="1" applyBorder="1" applyAlignment="1">
      <alignment horizontal="center" vertical="center" wrapText="1"/>
    </xf>
    <xf numFmtId="0" fontId="4" fillId="51" borderId="2" xfId="0" applyFont="1" applyFill="1" applyBorder="1" applyAlignment="1">
      <alignment horizontal="center" vertical="center" wrapText="1"/>
    </xf>
    <xf numFmtId="0" fontId="95" fillId="52" borderId="2" xfId="0" applyFont="1" applyFill="1" applyBorder="1" applyAlignment="1">
      <alignment horizontal="center" vertical="center" wrapText="1"/>
    </xf>
    <xf numFmtId="0" fontId="95" fillId="53" borderId="2" xfId="0" applyFont="1" applyFill="1" applyBorder="1" applyAlignment="1">
      <alignment horizontal="center" vertical="center" wrapText="1"/>
    </xf>
    <xf numFmtId="0" fontId="95" fillId="54" borderId="2" xfId="0" applyFont="1" applyFill="1" applyBorder="1" applyAlignment="1">
      <alignment horizontal="center" vertical="center" wrapText="1"/>
    </xf>
    <xf numFmtId="0" fontId="59" fillId="0" borderId="2" xfId="0" applyFont="1" applyBorder="1" applyAlignment="1">
      <alignment horizontal="center"/>
    </xf>
    <xf numFmtId="0" fontId="59" fillId="0" borderId="2" xfId="0" applyFont="1" applyBorder="1"/>
    <xf numFmtId="0" fontId="96" fillId="55" borderId="2" xfId="0" applyFont="1" applyFill="1" applyBorder="1" applyAlignment="1">
      <alignment horizontal="center"/>
    </xf>
    <xf numFmtId="10" fontId="94" fillId="56" borderId="8" xfId="177" applyNumberFormat="1" applyFont="1" applyFill="1" applyBorder="1" applyAlignment="1">
      <alignment horizontal="center"/>
    </xf>
    <xf numFmtId="0" fontId="96" fillId="57" borderId="2" xfId="0" applyFont="1" applyFill="1" applyBorder="1" applyAlignment="1">
      <alignment horizontal="center"/>
    </xf>
    <xf numFmtId="10" fontId="94" fillId="56" borderId="2" xfId="177" applyNumberFormat="1" applyFont="1" applyFill="1" applyBorder="1" applyAlignment="1">
      <alignment horizontal="center"/>
    </xf>
    <xf numFmtId="0" fontId="97" fillId="0" borderId="0" xfId="178" applyFont="1"/>
    <xf numFmtId="49" fontId="98" fillId="0" borderId="0" xfId="178" applyNumberFormat="1" applyFont="1" applyAlignment="1">
      <alignment vertical="center"/>
    </xf>
    <xf numFmtId="2" fontId="97" fillId="0" borderId="0" xfId="178" applyNumberFormat="1" applyFont="1" applyAlignment="1">
      <alignment horizontal="center" vertical="center"/>
    </xf>
    <xf numFmtId="170" fontId="97" fillId="0" borderId="0" xfId="179" applyNumberFormat="1" applyFont="1" applyAlignment="1">
      <alignment horizontal="center" vertical="center"/>
    </xf>
    <xf numFmtId="170" fontId="97" fillId="0" borderId="0" xfId="179" applyNumberFormat="1" applyFont="1"/>
    <xf numFmtId="49" fontId="100" fillId="0" borderId="0" xfId="178" applyNumberFormat="1" applyFont="1" applyAlignment="1">
      <alignment vertical="center"/>
    </xf>
    <xf numFmtId="0" fontId="97" fillId="0" borderId="2" xfId="178" applyFont="1" applyBorder="1" applyAlignment="1">
      <alignment horizontal="center"/>
    </xf>
    <xf numFmtId="170" fontId="97" fillId="0" borderId="2" xfId="179" applyNumberFormat="1" applyFont="1" applyBorder="1" applyAlignment="1">
      <alignment horizontal="center"/>
    </xf>
    <xf numFmtId="167" fontId="97" fillId="0" borderId="2" xfId="180" applyNumberFormat="1" applyFont="1" applyBorder="1" applyAlignment="1">
      <alignment horizontal="center" vertical="center"/>
    </xf>
    <xf numFmtId="170" fontId="97" fillId="0" borderId="2" xfId="179" applyNumberFormat="1" applyFont="1" applyBorder="1" applyAlignment="1">
      <alignment horizontal="center" vertical="center"/>
    </xf>
    <xf numFmtId="170" fontId="97" fillId="0" borderId="0" xfId="179" applyNumberFormat="1" applyFont="1" applyAlignment="1">
      <alignment horizontal="center" vertical="center" wrapText="1"/>
    </xf>
    <xf numFmtId="49" fontId="59" fillId="0" borderId="0" xfId="178" applyNumberFormat="1" applyFont="1" applyAlignment="1">
      <alignment vertical="center"/>
    </xf>
    <xf numFmtId="0" fontId="59" fillId="0" borderId="0" xfId="178" applyFont="1"/>
    <xf numFmtId="170" fontId="59" fillId="0" borderId="0" xfId="179" applyNumberFormat="1" applyFont="1"/>
    <xf numFmtId="170" fontId="59" fillId="0" borderId="0" xfId="179" applyNumberFormat="1" applyFont="1" applyAlignment="1">
      <alignment horizontal="center"/>
    </xf>
    <xf numFmtId="0" fontId="92" fillId="0" borderId="0" xfId="178" applyFont="1"/>
    <xf numFmtId="0" fontId="97" fillId="0" borderId="12" xfId="178" applyFont="1" applyBorder="1" applyAlignment="1">
      <alignment vertical="center"/>
    </xf>
    <xf numFmtId="0" fontId="102" fillId="0" borderId="58" xfId="178" applyFont="1" applyBorder="1" applyAlignment="1">
      <alignment vertical="center"/>
    </xf>
    <xf numFmtId="0" fontId="102" fillId="0" borderId="4" xfId="178" applyFont="1" applyBorder="1" applyAlignment="1">
      <alignment vertical="center" wrapText="1"/>
    </xf>
    <xf numFmtId="0" fontId="102" fillId="0" borderId="59" xfId="178" applyFont="1" applyBorder="1" applyAlignment="1">
      <alignment vertical="center" wrapText="1"/>
    </xf>
    <xf numFmtId="0" fontId="97" fillId="0" borderId="0" xfId="178" applyFont="1" applyAlignment="1">
      <alignment vertical="center"/>
    </xf>
    <xf numFmtId="0" fontId="97" fillId="0" borderId="12" xfId="178" applyFont="1" applyBorder="1" applyAlignment="1">
      <alignment horizontal="left" vertical="center"/>
    </xf>
    <xf numFmtId="0" fontId="97" fillId="0" borderId="60" xfId="178" applyFont="1" applyBorder="1" applyAlignment="1">
      <alignment vertical="center"/>
    </xf>
    <xf numFmtId="0" fontId="102" fillId="0" borderId="61" xfId="178" applyFont="1" applyBorder="1" applyAlignment="1">
      <alignment vertical="center" wrapText="1"/>
    </xf>
    <xf numFmtId="0" fontId="97" fillId="0" borderId="12" xfId="178" applyFont="1" applyBorder="1" applyAlignment="1">
      <alignment horizontal="center" vertical="center"/>
    </xf>
    <xf numFmtId="0" fontId="97" fillId="0" borderId="0" xfId="178" applyFont="1" applyAlignment="1">
      <alignment horizontal="center" vertical="center"/>
    </xf>
    <xf numFmtId="0" fontId="102" fillId="0" borderId="60" xfId="178" applyFont="1" applyBorder="1" applyAlignment="1">
      <alignment vertical="center"/>
    </xf>
    <xf numFmtId="0" fontId="102" fillId="0" borderId="12" xfId="178" applyFont="1" applyBorder="1" applyAlignment="1">
      <alignment vertical="center" wrapText="1"/>
    </xf>
    <xf numFmtId="179" fontId="102" fillId="58" borderId="2" xfId="181" applyNumberFormat="1" applyFont="1" applyFill="1" applyBorder="1" applyAlignment="1">
      <alignment horizontal="center" vertical="center" wrapText="1"/>
    </xf>
    <xf numFmtId="43" fontId="102" fillId="0" borderId="58" xfId="180" applyFont="1" applyBorder="1" applyAlignment="1">
      <alignment vertical="center"/>
    </xf>
    <xf numFmtId="43" fontId="102" fillId="0" borderId="4" xfId="180" applyFont="1" applyBorder="1" applyAlignment="1">
      <alignment vertical="center" wrapText="1"/>
    </xf>
    <xf numFmtId="43" fontId="102" fillId="0" borderId="59" xfId="180" applyFont="1" applyBorder="1" applyAlignment="1">
      <alignment vertical="center" wrapText="1"/>
    </xf>
    <xf numFmtId="9" fontId="102" fillId="58" borderId="2" xfId="181" applyFont="1" applyFill="1" applyBorder="1" applyAlignment="1">
      <alignment horizontal="center" vertical="center" wrapText="1"/>
    </xf>
    <xf numFmtId="0" fontId="97" fillId="0" borderId="4" xfId="178" applyFont="1" applyBorder="1" applyAlignment="1">
      <alignment horizontal="left" vertical="center"/>
    </xf>
    <xf numFmtId="43" fontId="102" fillId="0" borderId="5" xfId="180" applyFont="1" applyBorder="1" applyAlignment="1">
      <alignment vertical="center" wrapText="1"/>
    </xf>
    <xf numFmtId="0" fontId="102" fillId="0" borderId="58" xfId="180" applyNumberFormat="1" applyFont="1" applyBorder="1" applyAlignment="1">
      <alignment vertical="center"/>
    </xf>
    <xf numFmtId="43" fontId="102" fillId="0" borderId="12" xfId="180" applyFont="1" applyBorder="1" applyAlignment="1">
      <alignment horizontal="left" vertical="center" wrapText="1"/>
    </xf>
    <xf numFmtId="43" fontId="102" fillId="0" borderId="61" xfId="180" applyFont="1" applyBorder="1" applyAlignment="1">
      <alignment horizontal="left" vertical="center" wrapText="1"/>
    </xf>
    <xf numFmtId="49" fontId="104" fillId="59" borderId="5" xfId="178" applyNumberFormat="1" applyFont="1" applyFill="1" applyBorder="1" applyAlignment="1">
      <alignment horizontal="left" vertical="center"/>
    </xf>
    <xf numFmtId="0" fontId="97" fillId="59" borderId="4" xfId="178" applyFont="1" applyFill="1" applyBorder="1"/>
    <xf numFmtId="170" fontId="97" fillId="59" borderId="2" xfId="179" applyNumberFormat="1" applyFont="1" applyFill="1" applyBorder="1" applyAlignment="1">
      <alignment horizontal="center"/>
    </xf>
    <xf numFmtId="0" fontId="102" fillId="59" borderId="58" xfId="178" applyFont="1" applyFill="1" applyBorder="1" applyAlignment="1">
      <alignment vertical="center"/>
    </xf>
    <xf numFmtId="0" fontId="102" fillId="59" borderId="4" xfId="178" applyFont="1" applyFill="1" applyBorder="1" applyAlignment="1">
      <alignment vertical="center" wrapText="1"/>
    </xf>
    <xf numFmtId="0" fontId="102" fillId="59" borderId="59" xfId="178" applyFont="1" applyFill="1" applyBorder="1" applyAlignment="1">
      <alignment vertical="center" wrapText="1"/>
    </xf>
    <xf numFmtId="0" fontId="97" fillId="0" borderId="9" xfId="178" applyFont="1" applyBorder="1" applyAlignment="1">
      <alignment horizontal="left" vertical="center"/>
    </xf>
    <xf numFmtId="0" fontId="97" fillId="0" borderId="9" xfId="178" applyFont="1" applyBorder="1" applyAlignment="1">
      <alignment horizontal="center" vertical="center"/>
    </xf>
    <xf numFmtId="0" fontId="102" fillId="0" borderId="3" xfId="157" applyFont="1" applyBorder="1" applyAlignment="1">
      <alignment vertical="center"/>
    </xf>
    <xf numFmtId="0" fontId="97" fillId="0" borderId="3" xfId="178" applyFont="1" applyBorder="1" applyAlignment="1">
      <alignment horizontal="left" vertical="center"/>
    </xf>
    <xf numFmtId="49" fontId="104" fillId="59" borderId="4" xfId="178" applyNumberFormat="1" applyFont="1" applyFill="1" applyBorder="1" applyAlignment="1">
      <alignment horizontal="left" vertical="center"/>
    </xf>
    <xf numFmtId="170" fontId="97" fillId="59" borderId="4" xfId="179" applyNumberFormat="1" applyFont="1" applyFill="1" applyBorder="1" applyAlignment="1">
      <alignment horizontal="center"/>
    </xf>
    <xf numFmtId="0" fontId="102" fillId="59" borderId="58" xfId="178" applyFont="1" applyFill="1" applyBorder="1" applyAlignment="1">
      <alignment horizontal="center" vertical="center"/>
    </xf>
    <xf numFmtId="0" fontId="102" fillId="59" borderId="4" xfId="178" applyFont="1" applyFill="1" applyBorder="1" applyAlignment="1">
      <alignment horizontal="center" vertical="center" wrapText="1"/>
    </xf>
    <xf numFmtId="0" fontId="102" fillId="59" borderId="59" xfId="178" applyFont="1" applyFill="1" applyBorder="1" applyAlignment="1">
      <alignment horizontal="center" vertical="center" wrapText="1"/>
    </xf>
    <xf numFmtId="0" fontId="97" fillId="0" borderId="4" xfId="157" applyFont="1" applyBorder="1" applyAlignment="1">
      <alignment horizontal="left"/>
    </xf>
    <xf numFmtId="0" fontId="97" fillId="0" borderId="3" xfId="157" applyFont="1" applyBorder="1" applyAlignment="1">
      <alignment vertical="center"/>
    </xf>
    <xf numFmtId="0" fontId="102" fillId="0" borderId="60" xfId="178" applyFont="1" applyBorder="1" applyAlignment="1">
      <alignment horizontal="left" vertical="center"/>
    </xf>
    <xf numFmtId="0" fontId="102" fillId="0" borderId="12" xfId="178" applyFont="1" applyBorder="1" applyAlignment="1">
      <alignment horizontal="center" vertical="center" wrapText="1"/>
    </xf>
    <xf numFmtId="0" fontId="102" fillId="0" borderId="61" xfId="178" applyFont="1" applyBorder="1" applyAlignment="1">
      <alignment horizontal="left" vertical="center" wrapText="1"/>
    </xf>
    <xf numFmtId="0" fontId="97" fillId="0" borderId="4" xfId="178" applyFont="1" applyBorder="1" applyAlignment="1">
      <alignment horizontal="center" vertical="center"/>
    </xf>
    <xf numFmtId="0" fontId="102" fillId="0" borderId="58" xfId="178" applyFont="1" applyBorder="1" applyAlignment="1">
      <alignment horizontal="left" vertical="center"/>
    </xf>
    <xf numFmtId="43" fontId="102" fillId="0" borderId="58" xfId="180" applyFont="1" applyBorder="1" applyAlignment="1">
      <alignment horizontal="left" vertical="center"/>
    </xf>
    <xf numFmtId="0" fontId="102" fillId="0" borderId="0" xfId="178" applyFont="1" applyAlignment="1">
      <alignment horizontal="center" vertical="center" wrapText="1"/>
    </xf>
    <xf numFmtId="0" fontId="59" fillId="0" borderId="0" xfId="178" applyFont="1" applyAlignment="1">
      <alignment vertical="center" textRotation="90"/>
    </xf>
    <xf numFmtId="0" fontId="59" fillId="0" borderId="0" xfId="178" applyFont="1" applyAlignment="1">
      <alignment horizontal="left"/>
    </xf>
    <xf numFmtId="0" fontId="59" fillId="0" borderId="0" xfId="178" applyFont="1" applyAlignment="1">
      <alignment horizontal="center"/>
    </xf>
    <xf numFmtId="180" fontId="6" fillId="0" borderId="0" xfId="180" applyNumberFormat="1" applyFont="1" applyBorder="1" applyAlignment="1">
      <alignment horizontal="center"/>
    </xf>
    <xf numFmtId="0" fontId="6" fillId="0" borderId="0" xfId="178" applyFont="1" applyAlignment="1">
      <alignment horizontal="center" vertical="center" wrapText="1"/>
    </xf>
    <xf numFmtId="49" fontId="105" fillId="0" borderId="0" xfId="157" applyNumberFormat="1" applyFont="1" applyAlignment="1">
      <alignment vertical="center"/>
    </xf>
    <xf numFmtId="49" fontId="97" fillId="0" borderId="0" xfId="157" applyNumberFormat="1" applyFont="1" applyAlignment="1">
      <alignment vertical="center"/>
    </xf>
    <xf numFmtId="0" fontId="97" fillId="0" borderId="0" xfId="157" applyFont="1"/>
    <xf numFmtId="170" fontId="97" fillId="0" borderId="0" xfId="179" applyNumberFormat="1" applyFont="1" applyAlignment="1">
      <alignment horizontal="center"/>
    </xf>
    <xf numFmtId="49" fontId="104" fillId="0" borderId="4" xfId="157" applyNumberFormat="1" applyFont="1" applyBorder="1" applyAlignment="1">
      <alignment vertical="center"/>
    </xf>
    <xf numFmtId="0" fontId="97" fillId="0" borderId="4" xfId="157" applyFont="1" applyBorder="1"/>
    <xf numFmtId="0" fontId="97" fillId="0" borderId="5" xfId="157" applyFont="1" applyBorder="1" applyAlignment="1">
      <alignment vertical="center" wrapText="1"/>
    </xf>
    <xf numFmtId="0" fontId="97" fillId="0" borderId="0" xfId="157" applyFont="1" applyAlignment="1">
      <alignment vertical="center"/>
    </xf>
    <xf numFmtId="0" fontId="97" fillId="0" borderId="4" xfId="157" applyFont="1" applyBorder="1" applyAlignment="1">
      <alignment horizontal="left" vertical="top"/>
    </xf>
    <xf numFmtId="0" fontId="97" fillId="0" borderId="0" xfId="157" applyFont="1" applyAlignment="1">
      <alignment vertical="top"/>
    </xf>
    <xf numFmtId="49" fontId="97" fillId="0" borderId="0" xfId="157" applyNumberFormat="1" applyFont="1" applyAlignment="1">
      <alignment horizontal="center" vertical="center"/>
    </xf>
    <xf numFmtId="0" fontId="97" fillId="0" borderId="0" xfId="157" applyFont="1" applyAlignment="1">
      <alignment horizontal="left"/>
    </xf>
    <xf numFmtId="0" fontId="97" fillId="0" borderId="0" xfId="157" applyFont="1" applyAlignment="1">
      <alignment horizontal="center"/>
    </xf>
    <xf numFmtId="180" fontId="102" fillId="0" borderId="0" xfId="180" applyNumberFormat="1" applyFont="1" applyBorder="1" applyAlignment="1">
      <alignment horizontal="center"/>
    </xf>
    <xf numFmtId="0" fontId="102" fillId="0" borderId="0" xfId="157" applyFont="1" applyAlignment="1">
      <alignment horizontal="center" vertical="center" wrapText="1"/>
    </xf>
    <xf numFmtId="0" fontId="97" fillId="0" borderId="2" xfId="178" applyFont="1" applyBorder="1" applyAlignment="1">
      <alignment horizontal="center" vertical="center"/>
    </xf>
    <xf numFmtId="0" fontId="97" fillId="0" borderId="0" xfId="178" applyFont="1" applyAlignment="1">
      <alignment horizontal="left"/>
    </xf>
    <xf numFmtId="0" fontId="97" fillId="0" borderId="0" xfId="178" applyFont="1" applyAlignment="1">
      <alignment horizontal="center" vertical="center" wrapText="1"/>
    </xf>
    <xf numFmtId="0" fontId="106" fillId="0" borderId="0" xfId="178" applyFont="1"/>
    <xf numFmtId="170" fontId="108" fillId="44" borderId="63" xfId="179" applyNumberFormat="1" applyFont="1" applyFill="1" applyBorder="1" applyAlignment="1">
      <alignment horizontal="center" vertical="center"/>
    </xf>
    <xf numFmtId="170" fontId="108" fillId="44" borderId="55" xfId="179" applyNumberFormat="1" applyFont="1" applyFill="1" applyBorder="1" applyAlignment="1">
      <alignment horizontal="center" vertical="center"/>
    </xf>
    <xf numFmtId="170" fontId="108" fillId="44" borderId="55" xfId="179" applyNumberFormat="1" applyFont="1" applyFill="1" applyBorder="1" applyAlignment="1">
      <alignment horizontal="center" vertical="center" wrapText="1"/>
    </xf>
    <xf numFmtId="0" fontId="110" fillId="44" borderId="51" xfId="178" applyFont="1" applyFill="1" applyBorder="1" applyAlignment="1">
      <alignment horizontal="center"/>
    </xf>
    <xf numFmtId="0" fontId="110" fillId="44" borderId="52" xfId="178" applyFont="1" applyFill="1" applyBorder="1" applyAlignment="1">
      <alignment horizontal="center"/>
    </xf>
    <xf numFmtId="0" fontId="97" fillId="0" borderId="5" xfId="157" applyFont="1" applyBorder="1" applyAlignment="1">
      <alignment horizontal="center"/>
    </xf>
    <xf numFmtId="0" fontId="97" fillId="0" borderId="4" xfId="157" applyFont="1" applyBorder="1" applyAlignment="1">
      <alignment horizontal="center"/>
    </xf>
    <xf numFmtId="0" fontId="97" fillId="0" borderId="3" xfId="157" applyFont="1" applyBorder="1"/>
    <xf numFmtId="49" fontId="104" fillId="0" borderId="5" xfId="157" applyNumberFormat="1" applyFont="1" applyBorder="1" applyAlignment="1">
      <alignment horizontal="center" vertical="center"/>
    </xf>
    <xf numFmtId="49" fontId="104" fillId="0" borderId="3" xfId="157" applyNumberFormat="1" applyFont="1" applyBorder="1" applyAlignment="1">
      <alignment vertical="center"/>
    </xf>
    <xf numFmtId="0" fontId="97" fillId="0" borderId="12" xfId="157" applyFont="1" applyBorder="1" applyAlignment="1">
      <alignment horizontal="center"/>
    </xf>
    <xf numFmtId="0" fontId="97" fillId="0" borderId="0" xfId="178" applyFont="1" applyAlignment="1">
      <alignment horizontal="center"/>
    </xf>
    <xf numFmtId="0" fontId="114" fillId="44" borderId="2" xfId="178" applyFont="1" applyFill="1" applyBorder="1" applyAlignment="1">
      <alignment horizontal="center"/>
    </xf>
    <xf numFmtId="170" fontId="114" fillId="44" borderId="2" xfId="179" applyNumberFormat="1" applyFont="1" applyFill="1" applyBorder="1" applyAlignment="1">
      <alignment horizontal="center"/>
    </xf>
    <xf numFmtId="181" fontId="97" fillId="0" borderId="2" xfId="178" applyNumberFormat="1" applyFont="1" applyBorder="1" applyAlignment="1">
      <alignment horizontal="center" vertical="center"/>
    </xf>
    <xf numFmtId="0" fontId="114" fillId="44" borderId="65" xfId="178" applyFont="1" applyFill="1" applyBorder="1" applyAlignment="1">
      <alignment horizontal="center"/>
    </xf>
    <xf numFmtId="170" fontId="114" fillId="44" borderId="65" xfId="179" applyNumberFormat="1" applyFont="1" applyFill="1" applyBorder="1" applyAlignment="1">
      <alignment horizontal="center"/>
    </xf>
    <xf numFmtId="49" fontId="97" fillId="0" borderId="69" xfId="178" applyNumberFormat="1" applyFont="1" applyBorder="1" applyAlignment="1">
      <alignment horizontal="left"/>
    </xf>
    <xf numFmtId="0" fontId="97" fillId="0" borderId="70" xfId="178" applyFont="1" applyBorder="1" applyAlignment="1">
      <alignment horizontal="left"/>
    </xf>
    <xf numFmtId="2" fontId="97" fillId="0" borderId="70" xfId="178" applyNumberFormat="1" applyFont="1" applyBorder="1" applyAlignment="1">
      <alignment horizontal="center" vertical="center"/>
    </xf>
    <xf numFmtId="170" fontId="97" fillId="0" borderId="70" xfId="179" applyNumberFormat="1" applyFont="1" applyBorder="1" applyAlignment="1">
      <alignment horizontal="center" vertical="center"/>
    </xf>
    <xf numFmtId="49" fontId="97" fillId="0" borderId="72" xfId="178" applyNumberFormat="1" applyFont="1" applyBorder="1" applyAlignment="1">
      <alignment horizontal="left"/>
    </xf>
    <xf numFmtId="49" fontId="97" fillId="0" borderId="5" xfId="178" applyNumberFormat="1" applyFont="1" applyBorder="1" applyAlignment="1">
      <alignment horizontal="left"/>
    </xf>
    <xf numFmtId="170" fontId="108" fillId="44" borderId="20" xfId="179" applyNumberFormat="1" applyFont="1" applyFill="1" applyBorder="1" applyAlignment="1">
      <alignment horizontal="center"/>
    </xf>
    <xf numFmtId="170" fontId="108" fillId="44" borderId="18" xfId="179" applyNumberFormat="1" applyFont="1" applyFill="1" applyBorder="1" applyAlignment="1">
      <alignment horizontal="center"/>
    </xf>
    <xf numFmtId="170" fontId="114" fillId="44" borderId="2" xfId="179" applyNumberFormat="1" applyFont="1" applyFill="1" applyBorder="1" applyAlignment="1">
      <alignment horizontal="center" vertical="center"/>
    </xf>
    <xf numFmtId="170" fontId="114" fillId="44" borderId="55" xfId="179" applyNumberFormat="1" applyFont="1" applyFill="1" applyBorder="1" applyAlignment="1">
      <alignment horizontal="center" vertical="center"/>
    </xf>
    <xf numFmtId="170" fontId="114" fillId="44" borderId="2" xfId="179" applyNumberFormat="1" applyFont="1" applyFill="1" applyBorder="1" applyAlignment="1">
      <alignment horizontal="center" vertical="center" wrapText="1"/>
    </xf>
    <xf numFmtId="0" fontId="97" fillId="0" borderId="8" xfId="178" applyFont="1" applyBorder="1" applyAlignment="1">
      <alignment horizontal="center" vertical="center"/>
    </xf>
    <xf numFmtId="0" fontId="97" fillId="59" borderId="2" xfId="178" applyFont="1" applyFill="1" applyBorder="1" applyAlignment="1">
      <alignment horizontal="center"/>
    </xf>
    <xf numFmtId="0" fontId="113" fillId="0" borderId="2" xfId="0" applyFont="1" applyBorder="1" applyAlignment="1">
      <alignment horizontal="center" vertical="center"/>
    </xf>
    <xf numFmtId="0" fontId="97" fillId="0" borderId="4" xfId="157" applyFont="1" applyBorder="1" applyAlignment="1">
      <alignment horizontal="center" vertical="center" wrapText="1"/>
    </xf>
    <xf numFmtId="0" fontId="97" fillId="0" borderId="4" xfId="157" applyFont="1" applyBorder="1" applyAlignment="1">
      <alignment horizontal="center" vertical="top"/>
    </xf>
    <xf numFmtId="165" fontId="97" fillId="0" borderId="0" xfId="1" applyNumberFormat="1" applyFont="1"/>
    <xf numFmtId="165" fontId="59" fillId="0" borderId="0" xfId="1" applyNumberFormat="1" applyFont="1"/>
    <xf numFmtId="165" fontId="108" fillId="44" borderId="28" xfId="1" applyNumberFormat="1" applyFont="1" applyFill="1" applyBorder="1" applyAlignment="1">
      <alignment horizontal="center" vertical="center" wrapText="1"/>
    </xf>
    <xf numFmtId="165" fontId="108" fillId="44" borderId="74" xfId="1" applyNumberFormat="1" applyFont="1" applyFill="1" applyBorder="1" applyAlignment="1">
      <alignment horizontal="center"/>
    </xf>
    <xf numFmtId="165" fontId="102" fillId="59" borderId="3" xfId="1" applyNumberFormat="1" applyFont="1" applyFill="1" applyBorder="1" applyAlignment="1">
      <alignment horizontal="center"/>
    </xf>
    <xf numFmtId="165" fontId="59" fillId="0" borderId="0" xfId="1" applyNumberFormat="1" applyFont="1" applyAlignment="1">
      <alignment horizontal="center"/>
    </xf>
    <xf numFmtId="165" fontId="114" fillId="44" borderId="2" xfId="1" applyNumberFormat="1" applyFont="1" applyFill="1" applyBorder="1" applyAlignment="1">
      <alignment horizontal="center" vertical="center" wrapText="1"/>
    </xf>
    <xf numFmtId="165" fontId="114" fillId="44" borderId="2" xfId="1" applyNumberFormat="1" applyFont="1" applyFill="1" applyBorder="1" applyAlignment="1">
      <alignment horizontal="center"/>
    </xf>
    <xf numFmtId="165" fontId="97" fillId="0" borderId="0" xfId="1" applyNumberFormat="1" applyFont="1" applyAlignment="1">
      <alignment horizontal="center"/>
    </xf>
    <xf numFmtId="165" fontId="97" fillId="0" borderId="0" xfId="1" applyNumberFormat="1" applyFont="1" applyAlignment="1">
      <alignment horizontal="center" vertical="center" wrapText="1"/>
    </xf>
    <xf numFmtId="0" fontId="102" fillId="45" borderId="2" xfId="0" applyFont="1" applyFill="1" applyBorder="1" applyAlignment="1">
      <alignment horizontal="center" vertical="center"/>
    </xf>
    <xf numFmtId="11" fontId="89" fillId="45" borderId="2" xfId="0" applyNumberFormat="1" applyFont="1" applyFill="1" applyBorder="1" applyAlignment="1">
      <alignment horizontal="center" vertical="center"/>
    </xf>
    <xf numFmtId="9" fontId="102" fillId="0" borderId="4" xfId="178" applyNumberFormat="1" applyFont="1" applyBorder="1" applyAlignment="1">
      <alignment vertical="center" wrapText="1"/>
    </xf>
    <xf numFmtId="11" fontId="89" fillId="45" borderId="6" xfId="0" applyNumberFormat="1" applyFont="1" applyFill="1" applyBorder="1" applyAlignment="1">
      <alignment vertical="center"/>
    </xf>
    <xf numFmtId="11" fontId="89" fillId="45" borderId="9" xfId="0" applyNumberFormat="1" applyFont="1" applyFill="1" applyBorder="1" applyAlignment="1">
      <alignment vertical="center"/>
    </xf>
    <xf numFmtId="11" fontId="89" fillId="45" borderId="10" xfId="0" applyNumberFormat="1" applyFont="1" applyFill="1" applyBorder="1" applyAlignment="1">
      <alignment vertical="center"/>
    </xf>
    <xf numFmtId="11" fontId="89" fillId="45" borderId="11" xfId="0" applyNumberFormat="1" applyFont="1" applyFill="1" applyBorder="1" applyAlignment="1">
      <alignment vertical="center"/>
    </xf>
    <xf numFmtId="11" fontId="89" fillId="45" borderId="0" xfId="0" applyNumberFormat="1" applyFont="1" applyFill="1" applyAlignment="1">
      <alignment vertical="center"/>
    </xf>
    <xf numFmtId="11" fontId="89" fillId="45" borderId="35" xfId="0" applyNumberFormat="1" applyFont="1" applyFill="1" applyBorder="1" applyAlignment="1">
      <alignment vertical="center"/>
    </xf>
    <xf numFmtId="11" fontId="89" fillId="45" borderId="23" xfId="0" applyNumberFormat="1" applyFont="1" applyFill="1" applyBorder="1" applyAlignment="1">
      <alignment vertical="center"/>
    </xf>
    <xf numFmtId="11" fontId="89" fillId="45" borderId="12" xfId="0" applyNumberFormat="1" applyFont="1" applyFill="1" applyBorder="1" applyAlignment="1">
      <alignment vertical="center"/>
    </xf>
    <xf numFmtId="11" fontId="89" fillId="45" borderId="13" xfId="0" applyNumberFormat="1" applyFont="1" applyFill="1" applyBorder="1" applyAlignment="1">
      <alignment vertical="center"/>
    </xf>
    <xf numFmtId="0" fontId="102" fillId="45" borderId="1" xfId="0" applyFont="1" applyFill="1" applyBorder="1" applyAlignment="1">
      <alignment horizontal="center" vertical="center"/>
    </xf>
    <xf numFmtId="11" fontId="89" fillId="45" borderId="1" xfId="0" applyNumberFormat="1" applyFont="1" applyFill="1" applyBorder="1" applyAlignment="1">
      <alignment horizontal="center" vertical="center"/>
    </xf>
    <xf numFmtId="49" fontId="104" fillId="59" borderId="12" xfId="178" applyNumberFormat="1" applyFont="1" applyFill="1" applyBorder="1" applyAlignment="1">
      <alignment horizontal="left" vertical="center"/>
    </xf>
    <xf numFmtId="11" fontId="114" fillId="60" borderId="74" xfId="0" applyNumberFormat="1" applyFont="1" applyFill="1" applyBorder="1" applyAlignment="1">
      <alignment horizontal="center" vertical="center"/>
    </xf>
    <xf numFmtId="0" fontId="97" fillId="59" borderId="76" xfId="178" applyFont="1" applyFill="1" applyBorder="1"/>
    <xf numFmtId="0" fontId="97" fillId="59" borderId="77" xfId="178" applyFont="1" applyFill="1" applyBorder="1"/>
    <xf numFmtId="165" fontId="102" fillId="45" borderId="3" xfId="1" applyNumberFormat="1" applyFont="1" applyFill="1" applyBorder="1" applyAlignment="1">
      <alignment horizontal="center" vertical="center"/>
    </xf>
    <xf numFmtId="165" fontId="102" fillId="45" borderId="6" xfId="1" applyNumberFormat="1" applyFont="1" applyFill="1" applyBorder="1" applyAlignment="1">
      <alignment horizontal="center" vertical="center"/>
    </xf>
    <xf numFmtId="165" fontId="102" fillId="45" borderId="2" xfId="1" applyNumberFormat="1" applyFont="1" applyFill="1" applyBorder="1" applyAlignment="1">
      <alignment horizontal="center" vertical="center"/>
    </xf>
    <xf numFmtId="170" fontId="97" fillId="0" borderId="3" xfId="179" applyNumberFormat="1" applyFont="1" applyFill="1" applyBorder="1" applyAlignment="1">
      <alignment horizontal="center" vertical="top"/>
    </xf>
    <xf numFmtId="43" fontId="66" fillId="45" borderId="0" xfId="0" applyNumberFormat="1" applyFont="1" applyFill="1"/>
    <xf numFmtId="177" fontId="97" fillId="0" borderId="2" xfId="178" applyNumberFormat="1" applyFont="1" applyBorder="1" applyAlignment="1">
      <alignment horizontal="center"/>
    </xf>
    <xf numFmtId="177" fontId="97" fillId="0" borderId="2" xfId="178" applyNumberFormat="1" applyFont="1" applyBorder="1" applyAlignment="1">
      <alignment horizontal="center" vertical="center"/>
    </xf>
    <xf numFmtId="177" fontId="114" fillId="44" borderId="2" xfId="178" applyNumberFormat="1" applyFont="1" applyFill="1" applyBorder="1" applyAlignment="1">
      <alignment horizontal="center"/>
    </xf>
    <xf numFmtId="170" fontId="102" fillId="0" borderId="2" xfId="179" applyNumberFormat="1" applyFont="1" applyFill="1" applyBorder="1" applyAlignment="1">
      <alignment horizontal="center"/>
    </xf>
    <xf numFmtId="170" fontId="102" fillId="0" borderId="12" xfId="179" applyNumberFormat="1" applyFont="1" applyFill="1" applyBorder="1" applyAlignment="1">
      <alignment horizontal="center"/>
    </xf>
    <xf numFmtId="170" fontId="102" fillId="0" borderId="8" xfId="179" applyNumberFormat="1" applyFont="1" applyFill="1" applyBorder="1" applyAlignment="1">
      <alignment horizontal="center"/>
    </xf>
    <xf numFmtId="165" fontId="102" fillId="0" borderId="3" xfId="1" applyNumberFormat="1" applyFont="1" applyFill="1" applyBorder="1" applyAlignment="1">
      <alignment horizontal="center" vertical="center"/>
    </xf>
    <xf numFmtId="170" fontId="102" fillId="0" borderId="3" xfId="179" applyNumberFormat="1" applyFont="1" applyFill="1" applyBorder="1" applyAlignment="1">
      <alignment horizontal="center"/>
    </xf>
    <xf numFmtId="170" fontId="102" fillId="0" borderId="23" xfId="179" applyNumberFormat="1" applyFont="1" applyFill="1" applyBorder="1" applyAlignment="1">
      <alignment horizontal="center"/>
    </xf>
    <xf numFmtId="170" fontId="97" fillId="0" borderId="62" xfId="179" applyNumberFormat="1" applyFont="1" applyFill="1" applyBorder="1" applyAlignment="1">
      <alignment horizontal="center"/>
    </xf>
    <xf numFmtId="170" fontId="97" fillId="0" borderId="8" xfId="179" applyNumberFormat="1" applyFont="1" applyFill="1" applyBorder="1" applyAlignment="1">
      <alignment horizontal="center"/>
    </xf>
    <xf numFmtId="165" fontId="102" fillId="0" borderId="3" xfId="1" applyNumberFormat="1" applyFont="1" applyFill="1" applyBorder="1" applyAlignment="1">
      <alignment horizontal="center"/>
    </xf>
    <xf numFmtId="170" fontId="97" fillId="0" borderId="3" xfId="179" applyNumberFormat="1" applyFont="1" applyFill="1" applyBorder="1" applyAlignment="1">
      <alignment horizontal="center"/>
    </xf>
    <xf numFmtId="170" fontId="97" fillId="0" borderId="3" xfId="179" applyNumberFormat="1" applyFont="1" applyFill="1" applyBorder="1" applyAlignment="1">
      <alignment horizontal="center" vertical="center"/>
    </xf>
    <xf numFmtId="170" fontId="102" fillId="0" borderId="4" xfId="179" applyNumberFormat="1" applyFont="1" applyFill="1" applyBorder="1" applyAlignment="1">
      <alignment horizontal="center" vertical="center"/>
    </xf>
    <xf numFmtId="170" fontId="102" fillId="0" borderId="3" xfId="179" applyNumberFormat="1" applyFont="1" applyFill="1" applyBorder="1" applyAlignment="1">
      <alignment horizontal="center" vertical="center"/>
    </xf>
    <xf numFmtId="170" fontId="97" fillId="0" borderId="5" xfId="179" applyNumberFormat="1" applyFont="1" applyFill="1" applyBorder="1" applyAlignment="1">
      <alignment horizontal="center" vertical="center"/>
    </xf>
    <xf numFmtId="170" fontId="97" fillId="0" borderId="2" xfId="179" applyNumberFormat="1" applyFont="1" applyFill="1" applyBorder="1" applyAlignment="1">
      <alignment horizontal="center" vertical="center"/>
    </xf>
    <xf numFmtId="170" fontId="102" fillId="0" borderId="12" xfId="179" applyNumberFormat="1" applyFont="1" applyFill="1" applyBorder="1" applyAlignment="1">
      <alignment horizontal="center" vertical="center"/>
    </xf>
    <xf numFmtId="170" fontId="102" fillId="0" borderId="23" xfId="179" applyNumberFormat="1" applyFont="1" applyFill="1" applyBorder="1" applyAlignment="1">
      <alignment horizontal="center" vertical="center"/>
    </xf>
    <xf numFmtId="165" fontId="102" fillId="0" borderId="23" xfId="1" applyNumberFormat="1" applyFont="1" applyFill="1" applyBorder="1" applyAlignment="1">
      <alignment horizontal="center" vertical="center"/>
    </xf>
    <xf numFmtId="170" fontId="102" fillId="0" borderId="5" xfId="179" applyNumberFormat="1" applyFont="1" applyFill="1" applyBorder="1" applyAlignment="1">
      <alignment horizontal="center"/>
    </xf>
    <xf numFmtId="0" fontId="3" fillId="8" borderId="23" xfId="161" applyFont="1" applyFill="1" applyBorder="1" applyAlignment="1">
      <alignment vertical="center"/>
    </xf>
    <xf numFmtId="0" fontId="3" fillId="8" borderId="12" xfId="161" applyFont="1" applyFill="1" applyBorder="1" applyAlignment="1">
      <alignment vertical="center"/>
    </xf>
    <xf numFmtId="0" fontId="3" fillId="8" borderId="13" xfId="161" applyFont="1" applyFill="1" applyBorder="1" applyAlignment="1">
      <alignment vertical="center"/>
    </xf>
    <xf numFmtId="0" fontId="59" fillId="13" borderId="3" xfId="161" applyFont="1" applyFill="1" applyBorder="1"/>
    <xf numFmtId="0" fontId="59" fillId="13" borderId="4" xfId="161" applyFont="1" applyFill="1" applyBorder="1"/>
    <xf numFmtId="0" fontId="59" fillId="13" borderId="5" xfId="161" applyFont="1" applyFill="1" applyBorder="1"/>
    <xf numFmtId="0" fontId="59" fillId="13" borderId="2" xfId="161" applyFont="1" applyFill="1" applyBorder="1"/>
    <xf numFmtId="0" fontId="56" fillId="13" borderId="2" xfId="161" applyFont="1" applyFill="1" applyBorder="1"/>
    <xf numFmtId="0" fontId="6" fillId="5" borderId="7" xfId="161" applyFont="1" applyFill="1" applyBorder="1"/>
    <xf numFmtId="0" fontId="6" fillId="5" borderId="8" xfId="161" applyFont="1" applyFill="1" applyBorder="1"/>
    <xf numFmtId="0" fontId="77" fillId="5" borderId="11" xfId="161" applyFont="1" applyFill="1" applyBorder="1"/>
    <xf numFmtId="0" fontId="77" fillId="5" borderId="0" xfId="161" applyFont="1" applyFill="1"/>
    <xf numFmtId="0" fontId="77" fillId="5" borderId="35" xfId="161" applyFont="1" applyFill="1" applyBorder="1"/>
    <xf numFmtId="0" fontId="6" fillId="5" borderId="7" xfId="161" applyFont="1" applyFill="1" applyBorder="1" applyAlignment="1">
      <alignment horizontal="left" vertical="center"/>
    </xf>
    <xf numFmtId="0" fontId="27" fillId="5" borderId="11" xfId="161" applyFill="1" applyBorder="1"/>
    <xf numFmtId="0" fontId="27" fillId="5" borderId="7" xfId="161" applyFill="1" applyBorder="1"/>
    <xf numFmtId="0" fontId="3" fillId="8" borderId="3" xfId="161" applyFont="1" applyFill="1" applyBorder="1" applyAlignment="1">
      <alignment horizontal="left" vertical="center"/>
    </xf>
    <xf numFmtId="0" fontId="3" fillId="8" borderId="4" xfId="161" applyFont="1" applyFill="1" applyBorder="1" applyAlignment="1">
      <alignment horizontal="left" vertical="center"/>
    </xf>
    <xf numFmtId="0" fontId="3" fillId="8" borderId="5" xfId="161" applyFont="1" applyFill="1" applyBorder="1" applyAlignment="1">
      <alignment horizontal="left" vertical="center"/>
    </xf>
    <xf numFmtId="0" fontId="6" fillId="0" borderId="11" xfId="161" applyFont="1" applyBorder="1" applyAlignment="1">
      <alignment horizontal="left" vertical="center"/>
    </xf>
    <xf numFmtId="0" fontId="27" fillId="0" borderId="0" xfId="161"/>
    <xf numFmtId="0" fontId="27" fillId="0" borderId="35" xfId="161" applyBorder="1"/>
    <xf numFmtId="0" fontId="27" fillId="0" borderId="11" xfId="161" applyBorder="1"/>
    <xf numFmtId="0" fontId="27" fillId="0" borderId="23" xfId="161" applyBorder="1"/>
    <xf numFmtId="0" fontId="27" fillId="0" borderId="12" xfId="161" applyBorder="1"/>
    <xf numFmtId="0" fontId="27" fillId="0" borderId="13" xfId="161" applyBorder="1"/>
    <xf numFmtId="0" fontId="6" fillId="0" borderId="0" xfId="161" applyFont="1" applyAlignment="1">
      <alignment horizontal="left" vertical="center"/>
    </xf>
    <xf numFmtId="0" fontId="6" fillId="0" borderId="35" xfId="161" applyFont="1" applyBorder="1" applyAlignment="1">
      <alignment horizontal="left" vertical="center"/>
    </xf>
    <xf numFmtId="0" fontId="6" fillId="0" borderId="23" xfId="161" applyFont="1" applyBorder="1" applyAlignment="1">
      <alignment horizontal="left" vertical="center"/>
    </xf>
    <xf numFmtId="0" fontId="6" fillId="0" borderId="12" xfId="161" applyFont="1" applyBorder="1" applyAlignment="1">
      <alignment horizontal="left" vertical="center"/>
    </xf>
    <xf numFmtId="0" fontId="6" fillId="0" borderId="13" xfId="161" applyFont="1" applyBorder="1" applyAlignment="1">
      <alignment horizontal="left" vertical="center"/>
    </xf>
    <xf numFmtId="0" fontId="58" fillId="0" borderId="6" xfId="161" applyFont="1" applyBorder="1" applyAlignment="1">
      <alignment horizontal="center" vertical="center"/>
    </xf>
    <xf numFmtId="0" fontId="27" fillId="0" borderId="9" xfId="161" applyBorder="1" applyAlignment="1">
      <alignment horizontal="center"/>
    </xf>
    <xf numFmtId="0" fontId="27" fillId="0" borderId="10" xfId="161" applyBorder="1" applyAlignment="1">
      <alignment horizontal="center"/>
    </xf>
    <xf numFmtId="0" fontId="27" fillId="0" borderId="11" xfId="161" applyBorder="1" applyAlignment="1">
      <alignment horizontal="center"/>
    </xf>
    <xf numFmtId="0" fontId="27" fillId="0" borderId="0" xfId="161" applyAlignment="1">
      <alignment horizontal="center"/>
    </xf>
    <xf numFmtId="0" fontId="27" fillId="0" borderId="35" xfId="161" applyBorder="1" applyAlignment="1">
      <alignment horizontal="center"/>
    </xf>
    <xf numFmtId="0" fontId="27" fillId="0" borderId="23" xfId="161" applyBorder="1" applyAlignment="1">
      <alignment horizontal="center"/>
    </xf>
    <xf numFmtId="0" fontId="27" fillId="0" borderId="12" xfId="161" applyBorder="1" applyAlignment="1">
      <alignment horizontal="center"/>
    </xf>
    <xf numFmtId="0" fontId="27" fillId="0" borderId="13" xfId="161" applyBorder="1" applyAlignment="1">
      <alignment horizontal="center"/>
    </xf>
    <xf numFmtId="0" fontId="75" fillId="4" borderId="6" xfId="161" applyFont="1" applyFill="1" applyBorder="1" applyAlignment="1">
      <alignment horizontal="center" vertical="center"/>
    </xf>
    <xf numFmtId="0" fontId="76" fillId="4" borderId="9" xfId="161" applyFont="1" applyFill="1" applyBorder="1" applyAlignment="1">
      <alignment horizontal="center" vertical="center"/>
    </xf>
    <xf numFmtId="0" fontId="76" fillId="4" borderId="10" xfId="161" applyFont="1" applyFill="1" applyBorder="1" applyAlignment="1">
      <alignment horizontal="center" vertical="center"/>
    </xf>
    <xf numFmtId="43" fontId="78" fillId="13" borderId="3" xfId="1" applyFont="1" applyFill="1" applyBorder="1" applyAlignment="1">
      <alignment horizontal="center" vertical="center"/>
    </xf>
    <xf numFmtId="43" fontId="78" fillId="13" borderId="5" xfId="1" applyFont="1" applyFill="1" applyBorder="1" applyAlignment="1">
      <alignment horizontal="center" vertical="center"/>
    </xf>
    <xf numFmtId="0" fontId="59" fillId="13" borderId="4" xfId="161" applyFont="1" applyFill="1" applyBorder="1" applyAlignment="1">
      <alignment horizontal="left" vertical="center"/>
    </xf>
    <xf numFmtId="0" fontId="56" fillId="13" borderId="5" xfId="161" applyFont="1" applyFill="1" applyBorder="1" applyAlignment="1">
      <alignment horizontal="left" vertical="center"/>
    </xf>
    <xf numFmtId="0" fontId="8" fillId="8" borderId="4" xfId="161" applyFont="1" applyFill="1" applyBorder="1" applyAlignment="1">
      <alignment horizontal="left" vertical="center"/>
    </xf>
    <xf numFmtId="0" fontId="6" fillId="0" borderId="6" xfId="161" applyFont="1" applyBorder="1" applyAlignment="1">
      <alignment horizontal="center" vertical="center" wrapText="1"/>
    </xf>
    <xf numFmtId="0" fontId="6" fillId="0" borderId="10" xfId="161" applyFont="1" applyBorder="1" applyAlignment="1">
      <alignment horizontal="center" vertical="center" wrapText="1"/>
    </xf>
    <xf numFmtId="0" fontId="6" fillId="0" borderId="23" xfId="161" applyFont="1" applyBorder="1" applyAlignment="1">
      <alignment horizontal="center" vertical="center" wrapText="1"/>
    </xf>
    <xf numFmtId="0" fontId="6" fillId="0" borderId="13" xfId="161" applyFont="1" applyBorder="1" applyAlignment="1">
      <alignment horizontal="center" vertical="center" wrapText="1"/>
    </xf>
    <xf numFmtId="0" fontId="3" fillId="8" borderId="2" xfId="161" applyFont="1" applyFill="1" applyBorder="1" applyAlignment="1">
      <alignment horizontal="left" vertical="center"/>
    </xf>
    <xf numFmtId="0" fontId="58" fillId="0" borderId="3" xfId="161" applyFont="1" applyBorder="1" applyAlignment="1">
      <alignment horizontal="center" vertical="center"/>
    </xf>
    <xf numFmtId="0" fontId="58" fillId="0" borderId="4" xfId="161" applyFont="1" applyBorder="1" applyAlignment="1">
      <alignment horizontal="center" vertical="center"/>
    </xf>
    <xf numFmtId="0" fontId="58" fillId="0" borderId="5" xfId="161" applyFont="1" applyBorder="1" applyAlignment="1">
      <alignment horizontal="center" vertical="center"/>
    </xf>
    <xf numFmtId="0" fontId="59" fillId="13" borderId="3" xfId="161" applyFont="1" applyFill="1" applyBorder="1" applyAlignment="1">
      <alignment horizontal="center"/>
    </xf>
    <xf numFmtId="0" fontId="59" fillId="13" borderId="4" xfId="161" applyFont="1" applyFill="1" applyBorder="1" applyAlignment="1">
      <alignment horizontal="center"/>
    </xf>
    <xf numFmtId="0" fontId="59" fillId="13" borderId="5" xfId="161" applyFont="1" applyFill="1" applyBorder="1" applyAlignment="1">
      <alignment horizontal="center"/>
    </xf>
    <xf numFmtId="0" fontId="81" fillId="13" borderId="3" xfId="161" applyFont="1" applyFill="1" applyBorder="1" applyAlignment="1">
      <alignment horizontal="center" vertical="center"/>
    </xf>
    <xf numFmtId="0" fontId="81" fillId="13" borderId="4" xfId="161" applyFont="1" applyFill="1" applyBorder="1" applyAlignment="1">
      <alignment horizontal="center" vertical="center"/>
    </xf>
    <xf numFmtId="0" fontId="81" fillId="13" borderId="5" xfId="161" applyFont="1" applyFill="1" applyBorder="1" applyAlignment="1">
      <alignment horizontal="center" vertical="center"/>
    </xf>
    <xf numFmtId="0" fontId="3" fillId="8" borderId="6" xfId="161" applyFont="1" applyFill="1" applyBorder="1" applyAlignment="1">
      <alignment horizontal="left" vertical="center"/>
    </xf>
    <xf numFmtId="0" fontId="3" fillId="8" borderId="10" xfId="161" applyFont="1" applyFill="1" applyBorder="1" applyAlignment="1">
      <alignment horizontal="left" vertical="center"/>
    </xf>
    <xf numFmtId="0" fontId="3" fillId="8" borderId="11" xfId="161" applyFont="1" applyFill="1" applyBorder="1" applyAlignment="1">
      <alignment horizontal="left" vertical="center"/>
    </xf>
    <xf numFmtId="0" fontId="3" fillId="8" borderId="35" xfId="161" applyFont="1" applyFill="1" applyBorder="1" applyAlignment="1">
      <alignment horizontal="left" vertical="center"/>
    </xf>
    <xf numFmtId="0" fontId="3" fillId="8" borderId="23" xfId="161" applyFont="1" applyFill="1" applyBorder="1" applyAlignment="1">
      <alignment horizontal="left" vertical="center"/>
    </xf>
    <xf numFmtId="0" fontId="3" fillId="8" borderId="13" xfId="161" applyFont="1" applyFill="1" applyBorder="1" applyAlignment="1">
      <alignment horizontal="left" vertical="center"/>
    </xf>
    <xf numFmtId="0" fontId="6" fillId="0" borderId="1" xfId="161" applyFont="1" applyBorder="1" applyAlignment="1">
      <alignment horizontal="center" vertical="center"/>
    </xf>
    <xf numFmtId="0" fontId="6" fillId="0" borderId="7" xfId="161" applyFont="1" applyBorder="1" applyAlignment="1">
      <alignment horizontal="center" vertical="center"/>
    </xf>
    <xf numFmtId="0" fontId="6" fillId="0" borderId="8" xfId="161" applyFont="1" applyBorder="1" applyAlignment="1">
      <alignment horizontal="center" vertical="center"/>
    </xf>
    <xf numFmtId="0" fontId="90" fillId="0" borderId="6" xfId="161" applyFont="1" applyBorder="1" applyAlignment="1">
      <alignment horizontal="center" vertical="center"/>
    </xf>
    <xf numFmtId="0" fontId="90" fillId="0" borderId="9" xfId="161" applyFont="1" applyBorder="1" applyAlignment="1">
      <alignment horizontal="center" vertical="center"/>
    </xf>
    <xf numFmtId="0" fontId="90" fillId="0" borderId="10" xfId="161" applyFont="1" applyBorder="1" applyAlignment="1">
      <alignment horizontal="center" vertical="center"/>
    </xf>
    <xf numFmtId="0" fontId="90" fillId="0" borderId="23" xfId="161" applyFont="1" applyBorder="1" applyAlignment="1">
      <alignment horizontal="center" vertical="center"/>
    </xf>
    <xf numFmtId="0" fontId="90" fillId="0" borderId="12" xfId="161" applyFont="1" applyBorder="1" applyAlignment="1">
      <alignment horizontal="center" vertical="center"/>
    </xf>
    <xf numFmtId="0" fontId="90" fillId="0" borderId="13" xfId="161" applyFont="1" applyBorder="1" applyAlignment="1">
      <alignment horizontal="center" vertical="center"/>
    </xf>
    <xf numFmtId="0" fontId="86" fillId="0" borderId="3" xfId="173" applyFont="1" applyBorder="1" applyAlignment="1">
      <alignment horizontal="left" vertical="center"/>
    </xf>
    <xf numFmtId="0" fontId="86" fillId="0" borderId="4" xfId="173" applyFont="1" applyBorder="1" applyAlignment="1">
      <alignment horizontal="left" vertical="center"/>
    </xf>
    <xf numFmtId="0" fontId="5" fillId="0" borderId="3" xfId="161" applyFont="1" applyBorder="1" applyAlignment="1">
      <alignment horizontal="center" vertical="center"/>
    </xf>
    <xf numFmtId="0" fontId="5" fillId="0" borderId="5" xfId="161" applyFont="1" applyBorder="1" applyAlignment="1">
      <alignment horizontal="center" vertical="center"/>
    </xf>
    <xf numFmtId="0" fontId="6" fillId="0" borderId="1" xfId="169" applyFont="1" applyBorder="1" applyAlignment="1">
      <alignment horizontal="center" vertical="center"/>
    </xf>
    <xf numFmtId="0" fontId="6" fillId="0" borderId="7" xfId="169" applyFont="1" applyBorder="1" applyAlignment="1">
      <alignment horizontal="center" vertical="center"/>
    </xf>
    <xf numFmtId="0" fontId="6" fillId="0" borderId="8" xfId="169" applyFont="1" applyBorder="1" applyAlignment="1">
      <alignment horizontal="center" vertical="center"/>
    </xf>
    <xf numFmtId="0" fontId="6" fillId="0" borderId="6" xfId="162" applyFont="1" applyBorder="1"/>
    <xf numFmtId="0" fontId="6" fillId="0" borderId="9" xfId="162" applyFont="1" applyBorder="1"/>
    <xf numFmtId="0" fontId="6" fillId="0" borderId="10" xfId="162" applyFont="1" applyBorder="1"/>
    <xf numFmtId="0" fontId="6" fillId="0" borderId="11" xfId="162" applyFont="1" applyBorder="1"/>
    <xf numFmtId="0" fontId="6" fillId="0" borderId="0" xfId="162" applyFont="1"/>
    <xf numFmtId="0" fontId="6" fillId="0" borderId="35" xfId="162" applyFont="1" applyBorder="1"/>
    <xf numFmtId="0" fontId="6" fillId="0" borderId="23" xfId="162" applyFont="1" applyBorder="1"/>
    <xf numFmtId="0" fontId="6" fillId="0" borderId="12" xfId="162" applyFont="1" applyBorder="1"/>
    <xf numFmtId="0" fontId="6" fillId="0" borderId="13" xfId="162" applyFont="1" applyBorder="1"/>
    <xf numFmtId="0" fontId="90" fillId="0" borderId="6" xfId="169" applyFont="1" applyBorder="1" applyAlignment="1">
      <alignment horizontal="center" vertical="center"/>
    </xf>
    <xf numFmtId="0" fontId="90" fillId="0" borderId="9" xfId="169" applyFont="1" applyBorder="1" applyAlignment="1">
      <alignment horizontal="center" vertical="center"/>
    </xf>
    <xf numFmtId="0" fontId="90" fillId="0" borderId="10" xfId="169" applyFont="1" applyBorder="1" applyAlignment="1">
      <alignment horizontal="center" vertical="center"/>
    </xf>
    <xf numFmtId="0" fontId="90" fillId="0" borderId="23" xfId="169" applyFont="1" applyBorder="1" applyAlignment="1">
      <alignment horizontal="center" vertical="center"/>
    </xf>
    <xf numFmtId="0" fontId="90" fillId="0" borderId="12" xfId="169" applyFont="1" applyBorder="1" applyAlignment="1">
      <alignment horizontal="center" vertical="center"/>
    </xf>
    <xf numFmtId="0" fontId="90" fillId="0" borderId="13" xfId="169" applyFont="1" applyBorder="1" applyAlignment="1">
      <alignment horizontal="center" vertical="center"/>
    </xf>
    <xf numFmtId="0" fontId="86" fillId="0" borderId="5" xfId="173" applyFont="1" applyBorder="1" applyAlignment="1">
      <alignment horizontal="left" vertical="center"/>
    </xf>
    <xf numFmtId="0" fontId="86" fillId="0" borderId="3" xfId="169" applyFont="1" applyBorder="1" applyAlignment="1">
      <alignment horizontal="left" vertical="center"/>
    </xf>
    <xf numFmtId="0" fontId="86" fillId="0" borderId="4" xfId="169" applyFont="1" applyBorder="1" applyAlignment="1">
      <alignment horizontal="left"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5" borderId="6" xfId="0" applyFont="1" applyFill="1" applyBorder="1"/>
    <xf numFmtId="0" fontId="0" fillId="5" borderId="9" xfId="0" applyFill="1" applyBorder="1"/>
    <xf numFmtId="0" fontId="0" fillId="5" borderId="10" xfId="0" applyFill="1" applyBorder="1"/>
    <xf numFmtId="0" fontId="6" fillId="0" borderId="9" xfId="0" applyFont="1" applyBorder="1"/>
    <xf numFmtId="0" fontId="6" fillId="0" borderId="10" xfId="0" applyFont="1" applyBorder="1"/>
    <xf numFmtId="0" fontId="6" fillId="0" borderId="0" xfId="0" applyFont="1"/>
    <xf numFmtId="0" fontId="6" fillId="0" borderId="35" xfId="0" applyFont="1" applyBorder="1"/>
    <xf numFmtId="0" fontId="6" fillId="0" borderId="12" xfId="0" applyFont="1" applyBorder="1"/>
    <xf numFmtId="0" fontId="6" fillId="0" borderId="13" xfId="0" applyFont="1" applyBorder="1"/>
    <xf numFmtId="0" fontId="6" fillId="5" borderId="6" xfId="173" applyFont="1" applyFill="1" applyBorder="1"/>
    <xf numFmtId="0" fontId="27" fillId="5" borderId="9" xfId="173" applyFill="1" applyBorder="1"/>
    <xf numFmtId="0" fontId="27" fillId="5" borderId="10" xfId="173" applyFill="1" applyBorder="1"/>
    <xf numFmtId="0" fontId="89" fillId="0" borderId="6" xfId="173" applyFont="1" applyBorder="1" applyAlignment="1">
      <alignment horizontal="center" vertical="center"/>
    </xf>
    <xf numFmtId="0" fontId="89" fillId="0" borderId="9" xfId="173" applyFont="1" applyBorder="1" applyAlignment="1">
      <alignment horizontal="center" vertical="center"/>
    </xf>
    <xf numFmtId="0" fontId="89" fillId="0" borderId="10" xfId="173" applyFont="1" applyBorder="1" applyAlignment="1">
      <alignment horizontal="center" vertical="center"/>
    </xf>
    <xf numFmtId="0" fontId="89" fillId="0" borderId="23" xfId="173" applyFont="1" applyBorder="1" applyAlignment="1">
      <alignment horizontal="center" vertical="center"/>
    </xf>
    <xf numFmtId="0" fontId="89" fillId="0" borderId="12" xfId="173" applyFont="1" applyBorder="1" applyAlignment="1">
      <alignment horizontal="center" vertical="center"/>
    </xf>
    <xf numFmtId="0" fontId="89" fillId="0" borderId="13" xfId="173" applyFont="1" applyBorder="1" applyAlignment="1">
      <alignment horizontal="center" vertical="center"/>
    </xf>
    <xf numFmtId="0" fontId="86" fillId="0" borderId="3" xfId="173" applyFont="1" applyBorder="1" applyAlignment="1">
      <alignment horizontal="center" vertical="center"/>
    </xf>
    <xf numFmtId="0" fontId="86" fillId="0" borderId="4" xfId="173" applyFont="1" applyBorder="1" applyAlignment="1">
      <alignment horizontal="center" vertical="center"/>
    </xf>
    <xf numFmtId="0" fontId="86" fillId="0" borderId="5" xfId="173" applyFont="1" applyBorder="1" applyAlignment="1">
      <alignment horizontal="center" vertical="center"/>
    </xf>
    <xf numFmtId="0" fontId="6" fillId="0" borderId="1" xfId="173" applyFont="1" applyBorder="1" applyAlignment="1">
      <alignment horizontal="center" vertical="center"/>
    </xf>
    <xf numFmtId="0" fontId="6" fillId="0" borderId="7" xfId="173" applyFont="1" applyBorder="1" applyAlignment="1">
      <alignment horizontal="center" vertical="center"/>
    </xf>
    <xf numFmtId="0" fontId="6" fillId="0" borderId="8" xfId="173" applyFont="1" applyBorder="1" applyAlignment="1">
      <alignment horizontal="center" vertical="center"/>
    </xf>
    <xf numFmtId="10" fontId="94" fillId="56" borderId="2" xfId="177" applyNumberFormat="1" applyFont="1" applyFill="1" applyBorder="1" applyAlignment="1">
      <alignment horizontal="center"/>
    </xf>
    <xf numFmtId="10" fontId="94" fillId="56" borderId="3" xfId="177" applyNumberFormat="1" applyFont="1" applyFill="1" applyBorder="1" applyAlignment="1">
      <alignment horizontal="center"/>
    </xf>
    <xf numFmtId="10" fontId="94" fillId="56" borderId="4" xfId="177" applyNumberFormat="1" applyFont="1" applyFill="1" applyBorder="1" applyAlignment="1">
      <alignment horizontal="center"/>
    </xf>
    <xf numFmtId="10" fontId="94" fillId="56" borderId="5" xfId="177" applyNumberFormat="1" applyFont="1" applyFill="1" applyBorder="1" applyAlignment="1">
      <alignment horizontal="center"/>
    </xf>
    <xf numFmtId="0" fontId="96" fillId="57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5" fillId="53" borderId="2" xfId="0" applyFont="1" applyFill="1" applyBorder="1" applyAlignment="1">
      <alignment horizontal="center" vertical="center" wrapText="1"/>
    </xf>
    <xf numFmtId="0" fontId="95" fillId="53" borderId="3" xfId="0" applyFont="1" applyFill="1" applyBorder="1" applyAlignment="1">
      <alignment horizontal="center" vertical="center" wrapText="1"/>
    </xf>
    <xf numFmtId="0" fontId="95" fillId="53" borderId="4" xfId="0" applyFont="1" applyFill="1" applyBorder="1" applyAlignment="1">
      <alignment horizontal="center" vertical="center" wrapText="1"/>
    </xf>
    <xf numFmtId="0" fontId="95" fillId="53" borderId="5" xfId="0" applyFont="1" applyFill="1" applyBorder="1" applyAlignment="1">
      <alignment horizontal="center" vertical="center" wrapText="1"/>
    </xf>
    <xf numFmtId="0" fontId="95" fillId="54" borderId="2" xfId="0" applyFont="1" applyFill="1" applyBorder="1" applyAlignment="1">
      <alignment horizontal="center" vertical="center" wrapText="1"/>
    </xf>
    <xf numFmtId="0" fontId="94" fillId="50" borderId="2" xfId="0" applyFont="1" applyFill="1" applyBorder="1" applyAlignment="1">
      <alignment horizontal="left" vertical="center" wrapText="1"/>
    </xf>
    <xf numFmtId="0" fontId="59" fillId="13" borderId="2" xfId="0" applyFont="1" applyFill="1" applyBorder="1" applyAlignment="1">
      <alignment horizontal="left" vertical="center" wrapText="1"/>
    </xf>
    <xf numFmtId="0" fontId="6" fillId="50" borderId="2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6" fillId="13" borderId="5" xfId="0" applyFont="1" applyFill="1" applyBorder="1" applyAlignment="1">
      <alignment horizontal="left" vertical="center" wrapText="1"/>
    </xf>
    <xf numFmtId="0" fontId="90" fillId="0" borderId="2" xfId="173" applyFont="1" applyBorder="1" applyAlignment="1">
      <alignment horizontal="center" vertical="center"/>
    </xf>
    <xf numFmtId="0" fontId="6" fillId="0" borderId="9" xfId="161" applyFont="1" applyBorder="1" applyAlignment="1">
      <alignment horizontal="center" vertical="center" wrapText="1"/>
    </xf>
    <xf numFmtId="0" fontId="6" fillId="0" borderId="12" xfId="161" applyFont="1" applyBorder="1" applyAlignment="1">
      <alignment horizontal="center" vertical="center" wrapText="1"/>
    </xf>
    <xf numFmtId="0" fontId="86" fillId="0" borderId="2" xfId="173" applyFont="1" applyBorder="1" applyAlignment="1">
      <alignment horizontal="left" vertical="center"/>
    </xf>
    <xf numFmtId="0" fontId="86" fillId="0" borderId="2" xfId="173" applyFont="1" applyBorder="1" applyAlignment="1">
      <alignment horizontal="center" vertical="center"/>
    </xf>
    <xf numFmtId="0" fontId="6" fillId="5" borderId="3" xfId="173" applyFont="1" applyFill="1" applyBorder="1" applyAlignment="1">
      <alignment horizontal="center"/>
    </xf>
    <xf numFmtId="0" fontId="6" fillId="5" borderId="4" xfId="173" applyFont="1" applyFill="1" applyBorder="1" applyAlignment="1">
      <alignment horizontal="center"/>
    </xf>
    <xf numFmtId="0" fontId="6" fillId="5" borderId="5" xfId="173" applyFont="1" applyFill="1" applyBorder="1" applyAlignment="1">
      <alignment horizontal="center"/>
    </xf>
    <xf numFmtId="0" fontId="6" fillId="49" borderId="9" xfId="173" applyFont="1" applyFill="1" applyBorder="1" applyAlignment="1">
      <alignment horizontal="left"/>
    </xf>
    <xf numFmtId="0" fontId="6" fillId="49" borderId="10" xfId="173" applyFont="1" applyFill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4" fillId="48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2" fontId="9" fillId="10" borderId="1" xfId="0" applyNumberFormat="1" applyFont="1" applyFill="1" applyBorder="1" applyAlignment="1">
      <alignment horizontal="center" vertical="center" wrapText="1"/>
    </xf>
    <xf numFmtId="2" fontId="9" fillId="10" borderId="7" xfId="0" applyNumberFormat="1" applyFont="1" applyFill="1" applyBorder="1" applyAlignment="1">
      <alignment horizontal="center" vertical="center" wrapText="1"/>
    </xf>
    <xf numFmtId="2" fontId="9" fillId="10" borderId="8" xfId="0" applyNumberFormat="1" applyFont="1" applyFill="1" applyBorder="1" applyAlignment="1">
      <alignment horizontal="center" vertical="center" wrapText="1"/>
    </xf>
    <xf numFmtId="43" fontId="5" fillId="0" borderId="3" xfId="31" applyFont="1" applyBorder="1" applyAlignment="1">
      <alignment horizontal="center" vertical="center"/>
    </xf>
    <xf numFmtId="43" fontId="5" fillId="0" borderId="4" xfId="31" applyFont="1" applyBorder="1" applyAlignment="1">
      <alignment horizontal="center" vertical="center"/>
    </xf>
    <xf numFmtId="43" fontId="5" fillId="0" borderId="5" xfId="31" applyFont="1" applyBorder="1" applyAlignment="1">
      <alignment horizontal="center" vertical="center"/>
    </xf>
    <xf numFmtId="0" fontId="87" fillId="0" borderId="3" xfId="174" applyFont="1" applyBorder="1" applyAlignment="1">
      <alignment horizontal="center" vertical="center"/>
    </xf>
    <xf numFmtId="0" fontId="87" fillId="0" borderId="5" xfId="174" applyFont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 vertical="center"/>
    </xf>
    <xf numFmtId="0" fontId="86" fillId="0" borderId="3" xfId="174" applyFont="1" applyBorder="1" applyAlignment="1">
      <alignment horizontal="left" vertical="center"/>
    </xf>
    <xf numFmtId="0" fontId="86" fillId="0" borderId="4" xfId="174" applyFont="1" applyBorder="1" applyAlignment="1">
      <alignment horizontal="left" vertical="center"/>
    </xf>
    <xf numFmtId="0" fontId="86" fillId="0" borderId="5" xfId="174" applyFont="1" applyBorder="1" applyAlignment="1">
      <alignment horizontal="left" vertical="center"/>
    </xf>
    <xf numFmtId="0" fontId="84" fillId="0" borderId="6" xfId="174" applyFont="1" applyBorder="1" applyAlignment="1">
      <alignment horizontal="center" vertical="center"/>
    </xf>
    <xf numFmtId="0" fontId="84" fillId="0" borderId="9" xfId="174" applyFont="1" applyBorder="1" applyAlignment="1">
      <alignment horizontal="center" vertical="center"/>
    </xf>
    <xf numFmtId="0" fontId="84" fillId="0" borderId="10" xfId="174" applyFont="1" applyBorder="1" applyAlignment="1">
      <alignment horizontal="center" vertical="center"/>
    </xf>
    <xf numFmtId="0" fontId="84" fillId="0" borderId="23" xfId="174" applyFont="1" applyBorder="1" applyAlignment="1">
      <alignment horizontal="center" vertical="center"/>
    </xf>
    <xf numFmtId="0" fontId="84" fillId="0" borderId="12" xfId="174" applyFont="1" applyBorder="1" applyAlignment="1">
      <alignment horizontal="center" vertical="center"/>
    </xf>
    <xf numFmtId="0" fontId="84" fillId="0" borderId="13" xfId="174" applyFont="1" applyBorder="1" applyAlignment="1">
      <alignment horizontal="center" vertical="center"/>
    </xf>
    <xf numFmtId="0" fontId="6" fillId="0" borderId="6" xfId="174" applyFont="1" applyBorder="1" applyAlignment="1">
      <alignment horizontal="center" vertical="center" wrapText="1"/>
    </xf>
    <xf numFmtId="0" fontId="6" fillId="0" borderId="9" xfId="174" applyFont="1" applyBorder="1" applyAlignment="1">
      <alignment horizontal="center" vertical="center" wrapText="1"/>
    </xf>
    <xf numFmtId="0" fontId="6" fillId="0" borderId="10" xfId="174" applyFont="1" applyBorder="1" applyAlignment="1">
      <alignment horizontal="center" vertical="center" wrapText="1"/>
    </xf>
    <xf numFmtId="0" fontId="6" fillId="0" borderId="23" xfId="174" applyFont="1" applyBorder="1" applyAlignment="1">
      <alignment horizontal="center" vertical="center" wrapText="1"/>
    </xf>
    <xf numFmtId="0" fontId="6" fillId="0" borderId="12" xfId="174" applyFont="1" applyBorder="1" applyAlignment="1">
      <alignment horizontal="center" vertical="center" wrapText="1"/>
    </xf>
    <xf numFmtId="0" fontId="6" fillId="0" borderId="13" xfId="174" applyFont="1" applyBorder="1" applyAlignment="1">
      <alignment horizontal="center" vertical="center" wrapText="1"/>
    </xf>
    <xf numFmtId="0" fontId="86" fillId="45" borderId="3" xfId="174" applyFont="1" applyFill="1" applyBorder="1" applyAlignment="1">
      <alignment horizontal="center" vertical="center"/>
    </xf>
    <xf numFmtId="0" fontId="86" fillId="45" borderId="4" xfId="174" applyFont="1" applyFill="1" applyBorder="1" applyAlignment="1">
      <alignment horizontal="center" vertical="center"/>
    </xf>
    <xf numFmtId="0" fontId="86" fillId="45" borderId="5" xfId="174" applyFont="1" applyFill="1" applyBorder="1" applyAlignment="1">
      <alignment horizontal="center" vertical="center"/>
    </xf>
    <xf numFmtId="0" fontId="93" fillId="0" borderId="3" xfId="174" applyFont="1" applyBorder="1" applyAlignment="1">
      <alignment horizontal="center" vertical="center"/>
    </xf>
    <xf numFmtId="0" fontId="93" fillId="0" borderId="4" xfId="174" applyFont="1" applyBorder="1" applyAlignment="1">
      <alignment horizontal="center" vertical="center"/>
    </xf>
    <xf numFmtId="0" fontId="93" fillId="0" borderId="5" xfId="174" applyFont="1" applyBorder="1" applyAlignment="1">
      <alignment horizontal="center" vertical="center"/>
    </xf>
    <xf numFmtId="0" fontId="5" fillId="45" borderId="3" xfId="174" applyFont="1" applyFill="1" applyBorder="1" applyAlignment="1">
      <alignment horizontal="center" vertical="center"/>
    </xf>
    <xf numFmtId="0" fontId="5" fillId="45" borderId="4" xfId="174" applyFont="1" applyFill="1" applyBorder="1" applyAlignment="1">
      <alignment horizontal="center" vertical="center"/>
    </xf>
    <xf numFmtId="0" fontId="5" fillId="45" borderId="5" xfId="174" applyFont="1" applyFill="1" applyBorder="1" applyAlignment="1">
      <alignment horizontal="center" vertical="center"/>
    </xf>
    <xf numFmtId="0" fontId="6" fillId="0" borderId="1" xfId="174" applyFont="1" applyBorder="1" applyAlignment="1">
      <alignment horizontal="center" vertical="center"/>
    </xf>
    <xf numFmtId="0" fontId="6" fillId="0" borderId="7" xfId="174" applyFont="1" applyBorder="1" applyAlignment="1">
      <alignment horizontal="center" vertical="center"/>
    </xf>
    <xf numFmtId="0" fontId="6" fillId="0" borderId="8" xfId="174" applyFont="1" applyBorder="1" applyAlignment="1">
      <alignment horizontal="center" vertical="center"/>
    </xf>
    <xf numFmtId="0" fontId="15" fillId="41" borderId="1" xfId="163" applyFont="1" applyFill="1" applyBorder="1" applyAlignment="1">
      <alignment horizontal="center" vertical="center" textRotation="90"/>
    </xf>
    <xf numFmtId="0" fontId="15" fillId="41" borderId="8" xfId="163" applyFont="1" applyFill="1" applyBorder="1" applyAlignment="1">
      <alignment horizontal="center" vertical="center" textRotation="90"/>
    </xf>
    <xf numFmtId="0" fontId="6" fillId="5" borderId="3" xfId="0" applyFont="1" applyFill="1" applyBorder="1"/>
    <xf numFmtId="0" fontId="6" fillId="5" borderId="4" xfId="0" applyFont="1" applyFill="1" applyBorder="1"/>
    <xf numFmtId="0" fontId="6" fillId="5" borderId="5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0" fontId="13" fillId="14" borderId="6" xfId="0" applyFont="1" applyFill="1" applyBorder="1"/>
    <xf numFmtId="0" fontId="13" fillId="14" borderId="9" xfId="0" applyFont="1" applyFill="1" applyBorder="1"/>
    <xf numFmtId="0" fontId="13" fillId="14" borderId="10" xfId="0" applyFont="1" applyFill="1" applyBorder="1"/>
    <xf numFmtId="0" fontId="9" fillId="41" borderId="1" xfId="163" applyFont="1" applyFill="1" applyBorder="1" applyAlignment="1">
      <alignment horizontal="center" vertical="center"/>
    </xf>
    <xf numFmtId="0" fontId="8" fillId="41" borderId="7" xfId="163" applyFont="1" applyFill="1" applyBorder="1" applyAlignment="1">
      <alignment horizontal="center" vertical="center"/>
    </xf>
    <xf numFmtId="0" fontId="15" fillId="41" borderId="7" xfId="163" applyFont="1" applyFill="1" applyBorder="1" applyAlignment="1">
      <alignment horizontal="center" vertical="center" textRotation="90"/>
    </xf>
    <xf numFmtId="0" fontId="15" fillId="41" borderId="6" xfId="163" applyFont="1" applyFill="1" applyBorder="1" applyAlignment="1">
      <alignment horizontal="center" vertical="center" textRotation="90"/>
    </xf>
    <xf numFmtId="0" fontId="15" fillId="41" borderId="23" xfId="163" applyFont="1" applyFill="1" applyBorder="1" applyAlignment="1">
      <alignment horizontal="center" vertical="center" textRotation="90"/>
    </xf>
    <xf numFmtId="0" fontId="9" fillId="41" borderId="3" xfId="163" applyFont="1" applyFill="1" applyBorder="1" applyAlignment="1">
      <alignment horizontal="center"/>
    </xf>
    <xf numFmtId="0" fontId="9" fillId="41" borderId="4" xfId="163" applyFont="1" applyFill="1" applyBorder="1" applyAlignment="1">
      <alignment horizontal="center"/>
    </xf>
    <xf numFmtId="0" fontId="15" fillId="41" borderId="10" xfId="163" applyFont="1" applyFill="1" applyBorder="1" applyAlignment="1">
      <alignment horizontal="center" vertical="center" textRotation="90"/>
    </xf>
    <xf numFmtId="0" fontId="15" fillId="41" borderId="13" xfId="163" applyFont="1" applyFill="1" applyBorder="1" applyAlignment="1">
      <alignment horizontal="center" vertical="center" textRotation="90"/>
    </xf>
    <xf numFmtId="0" fontId="9" fillId="41" borderId="5" xfId="163" applyFont="1" applyFill="1" applyBorder="1" applyAlignment="1">
      <alignment horizontal="center"/>
    </xf>
    <xf numFmtId="0" fontId="9" fillId="41" borderId="2" xfId="163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 wrapText="1"/>
    </xf>
    <xf numFmtId="0" fontId="13" fillId="14" borderId="23" xfId="0" applyFont="1" applyFill="1" applyBorder="1"/>
    <xf numFmtId="0" fontId="13" fillId="14" borderId="12" xfId="0" applyFont="1" applyFill="1" applyBorder="1"/>
    <xf numFmtId="0" fontId="13" fillId="14" borderId="13" xfId="0" applyFont="1" applyFill="1" applyBorder="1"/>
    <xf numFmtId="165" fontId="18" fillId="12" borderId="6" xfId="1" applyNumberFormat="1" applyFont="1" applyFill="1" applyBorder="1" applyAlignment="1">
      <alignment horizontal="center" vertical="center"/>
    </xf>
    <xf numFmtId="165" fontId="18" fillId="12" borderId="9" xfId="1" applyNumberFormat="1" applyFont="1" applyFill="1" applyBorder="1" applyAlignment="1">
      <alignment horizontal="center" vertical="center"/>
    </xf>
    <xf numFmtId="165" fontId="18" fillId="12" borderId="10" xfId="1" applyNumberFormat="1" applyFont="1" applyFill="1" applyBorder="1" applyAlignment="1">
      <alignment horizontal="center" vertical="center"/>
    </xf>
    <xf numFmtId="165" fontId="18" fillId="12" borderId="11" xfId="1" applyNumberFormat="1" applyFont="1" applyFill="1" applyBorder="1" applyAlignment="1">
      <alignment horizontal="center" vertical="center"/>
    </xf>
    <xf numFmtId="165" fontId="18" fillId="12" borderId="0" xfId="1" applyNumberFormat="1" applyFont="1" applyFill="1" applyAlignment="1">
      <alignment horizontal="center" vertical="center"/>
    </xf>
    <xf numFmtId="165" fontId="18" fillId="12" borderId="35" xfId="1" applyNumberFormat="1" applyFont="1" applyFill="1" applyBorder="1" applyAlignment="1">
      <alignment horizontal="center" vertical="center"/>
    </xf>
    <xf numFmtId="165" fontId="18" fillId="12" borderId="23" xfId="1" applyNumberFormat="1" applyFont="1" applyFill="1" applyBorder="1" applyAlignment="1">
      <alignment horizontal="center" vertical="center"/>
    </xf>
    <xf numFmtId="165" fontId="18" fillId="12" borderId="12" xfId="1" applyNumberFormat="1" applyFont="1" applyFill="1" applyBorder="1" applyAlignment="1">
      <alignment horizontal="center" vertical="center"/>
    </xf>
    <xf numFmtId="165" fontId="18" fillId="12" borderId="13" xfId="1" applyNumberFormat="1" applyFont="1" applyFill="1" applyBorder="1" applyAlignment="1">
      <alignment horizontal="center" vertical="center"/>
    </xf>
    <xf numFmtId="2" fontId="4" fillId="15" borderId="3" xfId="1" applyNumberFormat="1" applyFont="1" applyFill="1" applyBorder="1" applyAlignment="1">
      <alignment horizontal="center" vertical="center"/>
    </xf>
    <xf numFmtId="2" fontId="4" fillId="15" borderId="4" xfId="1" applyNumberFormat="1" applyFont="1" applyFill="1" applyBorder="1" applyAlignment="1">
      <alignment horizontal="center" vertical="center"/>
    </xf>
    <xf numFmtId="43" fontId="13" fillId="12" borderId="9" xfId="1" applyFont="1" applyFill="1" applyBorder="1" applyAlignment="1">
      <alignment horizontal="center" vertical="center"/>
    </xf>
    <xf numFmtId="43" fontId="13" fillId="12" borderId="10" xfId="1" applyFont="1" applyFill="1" applyBorder="1" applyAlignment="1">
      <alignment horizontal="center" vertical="center"/>
    </xf>
    <xf numFmtId="43" fontId="13" fillId="12" borderId="0" xfId="1" applyFont="1" applyFill="1" applyAlignment="1">
      <alignment horizontal="center" vertical="center"/>
    </xf>
    <xf numFmtId="43" fontId="13" fillId="12" borderId="35" xfId="1" applyFont="1" applyFill="1" applyBorder="1" applyAlignment="1">
      <alignment horizontal="center" vertical="center"/>
    </xf>
    <xf numFmtId="43" fontId="13" fillId="12" borderId="12" xfId="1" applyFont="1" applyFill="1" applyBorder="1" applyAlignment="1">
      <alignment horizontal="center" vertical="center"/>
    </xf>
    <xf numFmtId="43" fontId="13" fillId="12" borderId="13" xfId="1" applyFont="1" applyFill="1" applyBorder="1" applyAlignment="1">
      <alignment horizontal="center" vertical="center"/>
    </xf>
    <xf numFmtId="0" fontId="13" fillId="14" borderId="3" xfId="0" applyFont="1" applyFill="1" applyBorder="1"/>
    <xf numFmtId="0" fontId="13" fillId="14" borderId="4" xfId="0" applyFont="1" applyFill="1" applyBorder="1"/>
    <xf numFmtId="0" fontId="13" fillId="14" borderId="5" xfId="0" applyFont="1" applyFill="1" applyBorder="1"/>
    <xf numFmtId="165" fontId="13" fillId="12" borderId="6" xfId="1" applyNumberFormat="1" applyFont="1" applyFill="1" applyBorder="1" applyAlignment="1">
      <alignment horizontal="center" vertical="center"/>
    </xf>
    <xf numFmtId="165" fontId="13" fillId="12" borderId="9" xfId="1" applyNumberFormat="1" applyFont="1" applyFill="1" applyBorder="1" applyAlignment="1">
      <alignment horizontal="center" vertical="center"/>
    </xf>
    <xf numFmtId="165" fontId="13" fillId="12" borderId="11" xfId="1" applyNumberFormat="1" applyFont="1" applyFill="1" applyBorder="1" applyAlignment="1">
      <alignment horizontal="center" vertical="center"/>
    </xf>
    <xf numFmtId="165" fontId="13" fillId="12" borderId="0" xfId="1" applyNumberFormat="1" applyFont="1" applyFill="1" applyAlignment="1">
      <alignment horizontal="center" vertical="center"/>
    </xf>
    <xf numFmtId="165" fontId="13" fillId="12" borderId="23" xfId="1" applyNumberFormat="1" applyFont="1" applyFill="1" applyBorder="1" applyAlignment="1">
      <alignment horizontal="center" vertical="center"/>
    </xf>
    <xf numFmtId="165" fontId="13" fillId="12" borderId="12" xfId="1" applyNumberFormat="1" applyFont="1" applyFill="1" applyBorder="1" applyAlignment="1">
      <alignment horizontal="center" vertical="center"/>
    </xf>
    <xf numFmtId="0" fontId="85" fillId="0" borderId="6" xfId="174" applyFont="1" applyBorder="1" applyAlignment="1">
      <alignment horizontal="center" vertical="center"/>
    </xf>
    <xf numFmtId="0" fontId="85" fillId="0" borderId="9" xfId="174" applyFont="1" applyBorder="1" applyAlignment="1">
      <alignment horizontal="center" vertical="center"/>
    </xf>
    <xf numFmtId="0" fontId="85" fillId="0" borderId="10" xfId="174" applyFont="1" applyBorder="1" applyAlignment="1">
      <alignment horizontal="center" vertical="center"/>
    </xf>
    <xf numFmtId="0" fontId="85" fillId="0" borderId="23" xfId="174" applyFont="1" applyBorder="1" applyAlignment="1">
      <alignment horizontal="center" vertical="center"/>
    </xf>
    <xf numFmtId="0" fontId="85" fillId="0" borderId="12" xfId="174" applyFont="1" applyBorder="1" applyAlignment="1">
      <alignment horizontal="center" vertical="center"/>
    </xf>
    <xf numFmtId="0" fontId="85" fillId="0" borderId="13" xfId="174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92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5" xfId="0" applyFont="1" applyBorder="1" applyAlignment="1">
      <alignment horizontal="center"/>
    </xf>
    <xf numFmtId="0" fontId="6" fillId="48" borderId="3" xfId="0" applyFont="1" applyFill="1" applyBorder="1" applyAlignment="1">
      <alignment horizontal="left"/>
    </xf>
    <xf numFmtId="0" fontId="6" fillId="48" borderId="5" xfId="0" applyFont="1" applyFill="1" applyBorder="1" applyAlignment="1">
      <alignment horizontal="left"/>
    </xf>
    <xf numFmtId="0" fontId="79" fillId="0" borderId="1" xfId="175" applyFont="1" applyBorder="1" applyAlignment="1">
      <alignment horizontal="center" vertical="center"/>
    </xf>
    <xf numFmtId="0" fontId="79" fillId="0" borderId="7" xfId="175" applyFont="1" applyBorder="1" applyAlignment="1">
      <alignment horizontal="center" vertical="center"/>
    </xf>
    <xf numFmtId="0" fontId="79" fillId="0" borderId="8" xfId="175" applyFont="1" applyBorder="1" applyAlignment="1">
      <alignment horizontal="center" vertical="center"/>
    </xf>
    <xf numFmtId="0" fontId="86" fillId="0" borderId="2" xfId="175" applyFont="1" applyBorder="1" applyAlignment="1">
      <alignment horizontal="left" vertical="center"/>
    </xf>
    <xf numFmtId="0" fontId="79" fillId="0" borderId="2" xfId="175" applyFont="1" applyBorder="1" applyAlignment="1">
      <alignment horizontal="center" vertical="center" wrapText="1"/>
    </xf>
    <xf numFmtId="0" fontId="88" fillId="0" borderId="2" xfId="175" applyFont="1" applyBorder="1" applyAlignment="1">
      <alignment horizontal="center" vertical="center"/>
    </xf>
    <xf numFmtId="0" fontId="85" fillId="0" borderId="2" xfId="175" applyFont="1" applyBorder="1" applyAlignment="1">
      <alignment horizontal="center" vertical="center"/>
    </xf>
    <xf numFmtId="0" fontId="86" fillId="0" borderId="3" xfId="175" applyFont="1" applyBorder="1" applyAlignment="1">
      <alignment horizontal="center" vertical="center"/>
    </xf>
    <xf numFmtId="0" fontId="86" fillId="0" borderId="4" xfId="175" applyFont="1" applyBorder="1" applyAlignment="1">
      <alignment horizontal="center" vertical="center"/>
    </xf>
    <xf numFmtId="0" fontId="86" fillId="0" borderId="5" xfId="175" applyFont="1" applyBorder="1" applyAlignment="1">
      <alignment horizontal="center" vertical="center"/>
    </xf>
    <xf numFmtId="43" fontId="62" fillId="0" borderId="1" xfId="1" applyFont="1" applyBorder="1" applyAlignment="1">
      <alignment horizontal="center" vertical="center"/>
    </xf>
    <xf numFmtId="43" fontId="62" fillId="0" borderId="8" xfId="1" applyFont="1" applyBorder="1" applyAlignment="1">
      <alignment horizontal="center" vertical="center"/>
    </xf>
    <xf numFmtId="43" fontId="4" fillId="15" borderId="23" xfId="1" applyFont="1" applyFill="1" applyBorder="1" applyAlignment="1">
      <alignment horizontal="left" vertical="center"/>
    </xf>
    <xf numFmtId="43" fontId="4" fillId="15" borderId="12" xfId="1" applyFont="1" applyFill="1" applyBorder="1" applyAlignment="1">
      <alignment horizontal="left" vertical="center"/>
    </xf>
    <xf numFmtId="43" fontId="4" fillId="0" borderId="12" xfId="1" applyFont="1" applyBorder="1" applyAlignment="1">
      <alignment horizontal="left" vertical="center"/>
    </xf>
    <xf numFmtId="43" fontId="4" fillId="0" borderId="13" xfId="1" applyFont="1" applyBorder="1" applyAlignment="1">
      <alignment horizontal="left" vertical="center"/>
    </xf>
    <xf numFmtId="0" fontId="59" fillId="15" borderId="23" xfId="0" applyFont="1" applyFill="1" applyBorder="1" applyAlignment="1">
      <alignment vertical="center"/>
    </xf>
    <xf numFmtId="0" fontId="59" fillId="15" borderId="12" xfId="0" applyFont="1" applyFill="1" applyBorder="1" applyAlignment="1">
      <alignment vertical="center"/>
    </xf>
    <xf numFmtId="0" fontId="59" fillId="15" borderId="13" xfId="0" applyFont="1" applyFill="1" applyBorder="1" applyAlignment="1">
      <alignment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41" borderId="7" xfId="0" applyFont="1" applyFill="1" applyBorder="1" applyAlignment="1">
      <alignment horizontal="center" vertical="center" wrapText="1"/>
    </xf>
    <xf numFmtId="0" fontId="3" fillId="41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0" fontId="6" fillId="45" borderId="0" xfId="0" applyFont="1" applyFill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7" fillId="44" borderId="2" xfId="0" applyFont="1" applyFill="1" applyBorder="1" applyAlignment="1">
      <alignment horizontal="center" vertical="center"/>
    </xf>
    <xf numFmtId="0" fontId="65" fillId="44" borderId="2" xfId="0" applyFont="1" applyFill="1" applyBorder="1" applyAlignment="1">
      <alignment horizontal="center" vertical="center"/>
    </xf>
    <xf numFmtId="0" fontId="7" fillId="44" borderId="3" xfId="0" applyFont="1" applyFill="1" applyBorder="1" applyAlignment="1">
      <alignment horizontal="center" vertical="center"/>
    </xf>
    <xf numFmtId="0" fontId="7" fillId="44" borderId="4" xfId="0" applyFont="1" applyFill="1" applyBorder="1" applyAlignment="1">
      <alignment horizontal="center" vertical="center"/>
    </xf>
    <xf numFmtId="171" fontId="66" fillId="45" borderId="2" xfId="1" applyNumberFormat="1" applyFont="1" applyFill="1" applyBorder="1" applyAlignment="1">
      <alignment horizontal="center" vertical="top"/>
    </xf>
    <xf numFmtId="170" fontId="66" fillId="45" borderId="12" xfId="1" applyNumberFormat="1" applyFont="1" applyFill="1" applyBorder="1" applyAlignment="1">
      <alignment horizontal="center"/>
    </xf>
    <xf numFmtId="0" fontId="66" fillId="45" borderId="3" xfId="0" applyFont="1" applyFill="1" applyBorder="1" applyAlignment="1">
      <alignment horizontal="center" vertical="top"/>
    </xf>
    <xf numFmtId="0" fontId="66" fillId="45" borderId="4" xfId="0" applyFont="1" applyFill="1" applyBorder="1" applyAlignment="1">
      <alignment horizontal="center" vertical="top"/>
    </xf>
    <xf numFmtId="0" fontId="66" fillId="45" borderId="5" xfId="0" applyFont="1" applyFill="1" applyBorder="1" applyAlignment="1">
      <alignment horizontal="center" vertical="top"/>
    </xf>
    <xf numFmtId="0" fontId="102" fillId="45" borderId="2" xfId="0" applyFont="1" applyFill="1" applyBorder="1" applyAlignment="1">
      <alignment horizontal="center" vertical="center" wrapText="1"/>
    </xf>
    <xf numFmtId="0" fontId="102" fillId="60" borderId="75" xfId="0" applyFont="1" applyFill="1" applyBorder="1" applyAlignment="1">
      <alignment horizontal="center" vertical="center"/>
    </xf>
    <xf numFmtId="11" fontId="114" fillId="60" borderId="75" xfId="0" applyNumberFormat="1" applyFont="1" applyFill="1" applyBorder="1" applyAlignment="1">
      <alignment horizontal="center" vertical="center"/>
    </xf>
    <xf numFmtId="11" fontId="114" fillId="60" borderId="25" xfId="0" applyNumberFormat="1" applyFont="1" applyFill="1" applyBorder="1" applyAlignment="1">
      <alignment horizontal="center" vertical="center"/>
    </xf>
    <xf numFmtId="0" fontId="116" fillId="60" borderId="75" xfId="0" applyFont="1" applyFill="1" applyBorder="1" applyAlignment="1">
      <alignment horizontal="center" vertical="center"/>
    </xf>
    <xf numFmtId="0" fontId="116" fillId="60" borderId="27" xfId="0" applyFont="1" applyFill="1" applyBorder="1" applyAlignment="1">
      <alignment horizontal="center" vertical="center"/>
    </xf>
    <xf numFmtId="0" fontId="114" fillId="60" borderId="55" xfId="178" applyFont="1" applyFill="1" applyBorder="1" applyAlignment="1">
      <alignment horizontal="center" vertical="center"/>
    </xf>
    <xf numFmtId="0" fontId="114" fillId="60" borderId="73" xfId="178" applyFont="1" applyFill="1" applyBorder="1" applyAlignment="1">
      <alignment horizontal="center" vertical="center"/>
    </xf>
    <xf numFmtId="0" fontId="114" fillId="60" borderId="63" xfId="178" applyFont="1" applyFill="1" applyBorder="1" applyAlignment="1">
      <alignment horizontal="center" vertical="center"/>
    </xf>
    <xf numFmtId="0" fontId="114" fillId="60" borderId="22" xfId="178" applyFont="1" applyFill="1" applyBorder="1" applyAlignment="1">
      <alignment horizontal="center" vertical="center"/>
    </xf>
    <xf numFmtId="0" fontId="114" fillId="60" borderId="0" xfId="178" applyFont="1" applyFill="1" applyAlignment="1">
      <alignment horizontal="center" vertical="center"/>
    </xf>
    <xf numFmtId="0" fontId="114" fillId="60" borderId="17" xfId="178" applyFont="1" applyFill="1" applyBorder="1" applyAlignment="1">
      <alignment horizontal="center" vertical="center"/>
    </xf>
    <xf numFmtId="0" fontId="114" fillId="60" borderId="18" xfId="178" applyFont="1" applyFill="1" applyBorder="1" applyAlignment="1">
      <alignment horizontal="center" vertical="center"/>
    </xf>
    <xf numFmtId="0" fontId="114" fillId="60" borderId="19" xfId="178" applyFont="1" applyFill="1" applyBorder="1" applyAlignment="1">
      <alignment horizontal="center" vertical="center"/>
    </xf>
    <xf numFmtId="0" fontId="114" fillId="60" borderId="20" xfId="178" applyFont="1" applyFill="1" applyBorder="1" applyAlignment="1">
      <alignment horizontal="center" vertical="center"/>
    </xf>
    <xf numFmtId="0" fontId="102" fillId="59" borderId="2" xfId="178" applyFont="1" applyFill="1" applyBorder="1" applyAlignment="1">
      <alignment horizontal="center" vertical="center"/>
    </xf>
    <xf numFmtId="0" fontId="102" fillId="45" borderId="2" xfId="0" applyFont="1" applyFill="1" applyBorder="1" applyAlignment="1">
      <alignment horizontal="center" vertical="center"/>
    </xf>
    <xf numFmtId="0" fontId="102" fillId="45" borderId="1" xfId="0" applyFont="1" applyFill="1" applyBorder="1" applyAlignment="1">
      <alignment horizontal="center" vertical="center"/>
    </xf>
    <xf numFmtId="11" fontId="114" fillId="60" borderId="28" xfId="0" applyNumberFormat="1" applyFont="1" applyFill="1" applyBorder="1" applyAlignment="1">
      <alignment horizontal="center" vertical="center"/>
    </xf>
    <xf numFmtId="0" fontId="102" fillId="0" borderId="2" xfId="157" applyFont="1" applyBorder="1" applyAlignment="1">
      <alignment horizontal="left" vertical="center"/>
    </xf>
    <xf numFmtId="170" fontId="97" fillId="0" borderId="2" xfId="179" applyNumberFormat="1" applyFont="1" applyBorder="1" applyAlignment="1">
      <alignment horizontal="left" vertical="center"/>
    </xf>
    <xf numFmtId="170" fontId="97" fillId="0" borderId="68" xfId="179" applyNumberFormat="1" applyFont="1" applyBorder="1" applyAlignment="1">
      <alignment horizontal="left" vertical="center"/>
    </xf>
    <xf numFmtId="0" fontId="104" fillId="0" borderId="1" xfId="157" applyFont="1" applyBorder="1" applyAlignment="1">
      <alignment horizontal="center" vertical="center" textRotation="90"/>
    </xf>
    <xf numFmtId="0" fontId="104" fillId="0" borderId="7" xfId="157" applyFont="1" applyBorder="1" applyAlignment="1">
      <alignment horizontal="center" vertical="center" textRotation="90"/>
    </xf>
    <xf numFmtId="0" fontId="104" fillId="0" borderId="8" xfId="157" applyFont="1" applyBorder="1" applyAlignment="1">
      <alignment horizontal="center" vertical="center" textRotation="90"/>
    </xf>
    <xf numFmtId="0" fontId="114" fillId="44" borderId="64" xfId="178" applyFont="1" applyFill="1" applyBorder="1" applyAlignment="1">
      <alignment horizontal="center"/>
    </xf>
    <xf numFmtId="0" fontId="114" fillId="44" borderId="65" xfId="178" applyFont="1" applyFill="1" applyBorder="1" applyAlignment="1">
      <alignment horizontal="center"/>
    </xf>
    <xf numFmtId="0" fontId="114" fillId="44" borderId="3" xfId="157" applyFont="1" applyFill="1" applyBorder="1" applyAlignment="1">
      <alignment horizontal="center" vertical="center" wrapText="1"/>
    </xf>
    <xf numFmtId="0" fontId="114" fillId="44" borderId="4" xfId="157" applyFont="1" applyFill="1" applyBorder="1" applyAlignment="1">
      <alignment horizontal="center" vertical="center" wrapText="1"/>
    </xf>
    <xf numFmtId="0" fontId="114" fillId="44" borderId="5" xfId="157" applyFont="1" applyFill="1" applyBorder="1" applyAlignment="1">
      <alignment horizontal="center" vertical="center" wrapText="1"/>
    </xf>
    <xf numFmtId="0" fontId="114" fillId="44" borderId="66" xfId="178" applyFont="1" applyFill="1" applyBorder="1" applyAlignment="1">
      <alignment horizontal="center"/>
    </xf>
    <xf numFmtId="0" fontId="112" fillId="44" borderId="0" xfId="178" applyFont="1" applyFill="1" applyAlignment="1">
      <alignment horizontal="center" vertical="center"/>
    </xf>
    <xf numFmtId="0" fontId="107" fillId="44" borderId="55" xfId="0" applyFont="1" applyFill="1" applyBorder="1" applyAlignment="1">
      <alignment horizontal="center" vertical="center"/>
    </xf>
    <xf numFmtId="0" fontId="107" fillId="44" borderId="73" xfId="0" applyFont="1" applyFill="1" applyBorder="1" applyAlignment="1">
      <alignment horizontal="center" vertical="center"/>
    </xf>
    <xf numFmtId="0" fontId="107" fillId="44" borderId="22" xfId="0" applyFont="1" applyFill="1" applyBorder="1" applyAlignment="1">
      <alignment horizontal="center" vertical="center"/>
    </xf>
    <xf numFmtId="0" fontId="107" fillId="44" borderId="0" xfId="0" applyFont="1" applyFill="1" applyAlignment="1">
      <alignment horizontal="center" vertical="center"/>
    </xf>
    <xf numFmtId="0" fontId="107" fillId="44" borderId="18" xfId="0" applyFont="1" applyFill="1" applyBorder="1" applyAlignment="1">
      <alignment horizontal="center" vertical="center"/>
    </xf>
    <xf numFmtId="0" fontId="107" fillId="44" borderId="19" xfId="0" applyFont="1" applyFill="1" applyBorder="1" applyAlignment="1">
      <alignment horizontal="center" vertical="center"/>
    </xf>
    <xf numFmtId="0" fontId="108" fillId="44" borderId="26" xfId="178" applyFont="1" applyFill="1" applyBorder="1" applyAlignment="1">
      <alignment horizontal="center" vertical="center" wrapText="1"/>
    </xf>
    <xf numFmtId="0" fontId="108" fillId="44" borderId="27" xfId="178" applyFont="1" applyFill="1" applyBorder="1" applyAlignment="1">
      <alignment horizontal="center" vertical="center" wrapText="1"/>
    </xf>
    <xf numFmtId="0" fontId="108" fillId="44" borderId="54" xfId="178" applyFont="1" applyFill="1" applyBorder="1" applyAlignment="1">
      <alignment horizontal="center" vertical="center"/>
    </xf>
    <xf numFmtId="0" fontId="108" fillId="44" borderId="53" xfId="178" applyFont="1" applyFill="1" applyBorder="1" applyAlignment="1">
      <alignment horizontal="center" vertical="center"/>
    </xf>
    <xf numFmtId="0" fontId="108" fillId="44" borderId="22" xfId="178" applyFont="1" applyFill="1" applyBorder="1" applyAlignment="1">
      <alignment horizontal="center" vertical="center"/>
    </xf>
    <xf numFmtId="0" fontId="108" fillId="44" borderId="0" xfId="178" applyFont="1" applyFill="1" applyAlignment="1">
      <alignment horizontal="center" vertical="center"/>
    </xf>
    <xf numFmtId="0" fontId="108" fillId="44" borderId="57" xfId="178" applyFont="1" applyFill="1" applyBorder="1" applyAlignment="1">
      <alignment horizontal="center" vertical="center"/>
    </xf>
    <xf numFmtId="0" fontId="108" fillId="44" borderId="12" xfId="178" applyFont="1" applyFill="1" applyBorder="1" applyAlignment="1">
      <alignment horizontal="center" vertical="center"/>
    </xf>
    <xf numFmtId="0" fontId="104" fillId="0" borderId="1" xfId="178" applyFont="1" applyBorder="1" applyAlignment="1">
      <alignment horizontal="center" vertical="center" textRotation="90"/>
    </xf>
    <xf numFmtId="0" fontId="104" fillId="0" borderId="7" xfId="178" applyFont="1" applyBorder="1" applyAlignment="1">
      <alignment horizontal="center" vertical="center" textRotation="90"/>
    </xf>
    <xf numFmtId="0" fontId="104" fillId="0" borderId="8" xfId="178" applyFont="1" applyBorder="1" applyAlignment="1">
      <alignment horizontal="center" vertical="center" textRotation="90"/>
    </xf>
    <xf numFmtId="0" fontId="104" fillId="0" borderId="7" xfId="178" applyFont="1" applyBorder="1" applyAlignment="1">
      <alignment horizontal="center" vertical="center" textRotation="90" wrapText="1"/>
    </xf>
    <xf numFmtId="0" fontId="104" fillId="0" borderId="8" xfId="178" applyFont="1" applyBorder="1" applyAlignment="1">
      <alignment horizontal="center" vertical="center" textRotation="90" wrapText="1"/>
    </xf>
    <xf numFmtId="170" fontId="97" fillId="0" borderId="70" xfId="179" applyNumberFormat="1" applyFont="1" applyBorder="1" applyAlignment="1">
      <alignment horizontal="left" vertical="center"/>
    </xf>
    <xf numFmtId="170" fontId="97" fillId="0" borderId="71" xfId="179" applyNumberFormat="1" applyFont="1" applyBorder="1" applyAlignment="1">
      <alignment horizontal="left" vertical="center"/>
    </xf>
    <xf numFmtId="0" fontId="114" fillId="44" borderId="2" xfId="178" applyFont="1" applyFill="1" applyBorder="1" applyAlignment="1">
      <alignment horizontal="center"/>
    </xf>
    <xf numFmtId="0" fontId="114" fillId="44" borderId="68" xfId="178" applyFont="1" applyFill="1" applyBorder="1" applyAlignment="1">
      <alignment horizontal="center"/>
    </xf>
    <xf numFmtId="0" fontId="114" fillId="44" borderId="67" xfId="178" applyFont="1" applyFill="1" applyBorder="1" applyAlignment="1">
      <alignment horizontal="center"/>
    </xf>
    <xf numFmtId="0" fontId="3" fillId="44" borderId="28" xfId="0" applyFont="1" applyFill="1" applyBorder="1" applyAlignment="1">
      <alignment horizontal="center" vertical="center"/>
    </xf>
    <xf numFmtId="0" fontId="3" fillId="44" borderId="56" xfId="0" applyFont="1" applyFill="1" applyBorder="1" applyAlignment="1">
      <alignment horizontal="center" vertical="center"/>
    </xf>
    <xf numFmtId="0" fontId="3" fillId="44" borderId="74" xfId="0" applyFont="1" applyFill="1" applyBorder="1" applyAlignment="1">
      <alignment horizontal="center" vertical="center"/>
    </xf>
    <xf numFmtId="0" fontId="114" fillId="44" borderId="6" xfId="157" applyFont="1" applyFill="1" applyBorder="1" applyAlignment="1">
      <alignment horizontal="center" vertical="center"/>
    </xf>
    <xf numFmtId="0" fontId="114" fillId="44" borderId="9" xfId="157" applyFont="1" applyFill="1" applyBorder="1" applyAlignment="1">
      <alignment horizontal="center" vertical="center"/>
    </xf>
    <xf numFmtId="0" fontId="114" fillId="44" borderId="10" xfId="157" applyFont="1" applyFill="1" applyBorder="1" applyAlignment="1">
      <alignment horizontal="center" vertical="center"/>
    </xf>
    <xf numFmtId="0" fontId="114" fillId="44" borderId="11" xfId="157" applyFont="1" applyFill="1" applyBorder="1" applyAlignment="1">
      <alignment horizontal="center" vertical="center"/>
    </xf>
    <xf numFmtId="0" fontId="114" fillId="44" borderId="0" xfId="157" applyFont="1" applyFill="1" applyAlignment="1">
      <alignment horizontal="center" vertical="center"/>
    </xf>
    <xf numFmtId="0" fontId="114" fillId="44" borderId="35" xfId="157" applyFont="1" applyFill="1" applyBorder="1" applyAlignment="1">
      <alignment horizontal="center" vertical="center"/>
    </xf>
    <xf numFmtId="0" fontId="114" fillId="44" borderId="23" xfId="157" applyFont="1" applyFill="1" applyBorder="1" applyAlignment="1">
      <alignment horizontal="center" vertical="center"/>
    </xf>
    <xf numFmtId="0" fontId="114" fillId="44" borderId="12" xfId="157" applyFont="1" applyFill="1" applyBorder="1" applyAlignment="1">
      <alignment horizontal="center" vertical="center"/>
    </xf>
    <xf numFmtId="0" fontId="114" fillId="44" borderId="13" xfId="157" applyFont="1" applyFill="1" applyBorder="1" applyAlignment="1">
      <alignment horizontal="center" vertical="center"/>
    </xf>
    <xf numFmtId="0" fontId="114" fillId="44" borderId="2" xfId="157" applyFont="1" applyFill="1" applyBorder="1" applyAlignment="1">
      <alignment horizontal="center" vertical="center"/>
    </xf>
    <xf numFmtId="0" fontId="104" fillId="0" borderId="1" xfId="157" applyFont="1" applyBorder="1" applyAlignment="1">
      <alignment horizontal="center" vertical="center" textRotation="90" wrapText="1"/>
    </xf>
    <xf numFmtId="0" fontId="104" fillId="0" borderId="7" xfId="157" applyFont="1" applyBorder="1" applyAlignment="1">
      <alignment horizontal="center" vertical="center" textRotation="90" wrapText="1"/>
    </xf>
    <xf numFmtId="0" fontId="104" fillId="0" borderId="8" xfId="157" applyFont="1" applyBorder="1" applyAlignment="1">
      <alignment horizontal="center" vertical="center" textRotation="90" wrapText="1"/>
    </xf>
    <xf numFmtId="0" fontId="102" fillId="45" borderId="4" xfId="0" applyFont="1" applyFill="1" applyBorder="1" applyAlignment="1">
      <alignment horizontal="left" vertical="center" wrapText="1"/>
    </xf>
    <xf numFmtId="0" fontId="102" fillId="45" borderId="5" xfId="0" applyFont="1" applyFill="1" applyBorder="1" applyAlignment="1">
      <alignment horizontal="left" vertical="center" wrapText="1"/>
    </xf>
    <xf numFmtId="0" fontId="102" fillId="45" borderId="3" xfId="0" applyFont="1" applyFill="1" applyBorder="1" applyAlignment="1">
      <alignment horizontal="left" vertical="center"/>
    </xf>
    <xf numFmtId="0" fontId="102" fillId="45" borderId="5" xfId="0" applyFont="1" applyFill="1" applyBorder="1" applyAlignment="1">
      <alignment horizontal="left" vertical="center"/>
    </xf>
    <xf numFmtId="0" fontId="102" fillId="45" borderId="6" xfId="0" applyFont="1" applyFill="1" applyBorder="1" applyAlignment="1">
      <alignment horizontal="left" vertical="center"/>
    </xf>
    <xf numFmtId="0" fontId="102" fillId="45" borderId="10" xfId="0" applyFont="1" applyFill="1" applyBorder="1" applyAlignment="1">
      <alignment horizontal="left" vertical="center"/>
    </xf>
    <xf numFmtId="0" fontId="104" fillId="0" borderId="2" xfId="178" applyFont="1" applyBorder="1" applyAlignment="1">
      <alignment horizontal="center" vertical="center" textRotation="90" wrapText="1"/>
    </xf>
    <xf numFmtId="0" fontId="104" fillId="0" borderId="1" xfId="178" applyFont="1" applyBorder="1" applyAlignment="1">
      <alignment horizontal="center" vertical="center" textRotation="90" wrapText="1"/>
    </xf>
    <xf numFmtId="0" fontId="102" fillId="45" borderId="3" xfId="0" applyFont="1" applyFill="1" applyBorder="1" applyAlignment="1">
      <alignment horizontal="left" vertical="center" wrapText="1"/>
    </xf>
    <xf numFmtId="0" fontId="65" fillId="44" borderId="1" xfId="0" applyFont="1" applyFill="1" applyBorder="1" applyAlignment="1">
      <alignment horizontal="center" vertical="center"/>
    </xf>
    <xf numFmtId="0" fontId="65" fillId="44" borderId="7" xfId="0" applyFont="1" applyFill="1" applyBorder="1" applyAlignment="1">
      <alignment horizontal="center" vertical="center"/>
    </xf>
    <xf numFmtId="0" fontId="65" fillId="44" borderId="8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/>
    </xf>
    <xf numFmtId="0" fontId="7" fillId="44" borderId="7" xfId="0" applyFont="1" applyFill="1" applyBorder="1" applyAlignment="1">
      <alignment horizontal="center" vertical="center"/>
    </xf>
    <xf numFmtId="0" fontId="7" fillId="44" borderId="8" xfId="0" applyFont="1" applyFill="1" applyBorder="1" applyAlignment="1">
      <alignment horizontal="center" vertical="center"/>
    </xf>
    <xf numFmtId="0" fontId="7" fillId="44" borderId="5" xfId="0" applyFont="1" applyFill="1" applyBorder="1" applyAlignment="1">
      <alignment horizontal="center" vertical="center"/>
    </xf>
    <xf numFmtId="171" fontId="66" fillId="45" borderId="3" xfId="1" applyNumberFormat="1" applyFont="1" applyFill="1" applyBorder="1" applyAlignment="1">
      <alignment horizontal="center" vertical="top"/>
    </xf>
    <xf numFmtId="171" fontId="66" fillId="45" borderId="4" xfId="1" applyNumberFormat="1" applyFont="1" applyFill="1" applyBorder="1" applyAlignment="1">
      <alignment horizontal="center" vertical="top"/>
    </xf>
    <xf numFmtId="171" fontId="66" fillId="45" borderId="5" xfId="1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</cellXfs>
  <cellStyles count="182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" xfId="1" builtinId="3"/>
    <cellStyle name="Comma 10" xfId="29" xr:uid="{00000000-0005-0000-0000-00001C000000}"/>
    <cellStyle name="Comma 2" xfId="30" xr:uid="{00000000-0005-0000-0000-00001D000000}"/>
    <cellStyle name="Comma 2 2" xfId="31" xr:uid="{00000000-0005-0000-0000-00001E000000}"/>
    <cellStyle name="Comma 2 2 2" xfId="32" xr:uid="{00000000-0005-0000-0000-00001F000000}"/>
    <cellStyle name="Comma 2 2 3" xfId="33" xr:uid="{00000000-0005-0000-0000-000020000000}"/>
    <cellStyle name="Comma 2 3" xfId="34" xr:uid="{00000000-0005-0000-0000-000021000000}"/>
    <cellStyle name="Comma 3" xfId="35" xr:uid="{00000000-0005-0000-0000-000022000000}"/>
    <cellStyle name="Comma 3 2" xfId="36" xr:uid="{00000000-0005-0000-0000-000023000000}"/>
    <cellStyle name="Comma 3 3" xfId="180" xr:uid="{EB33B71A-F296-B74F-B75C-76BB742E83D1}"/>
    <cellStyle name="Comma 4" xfId="37" xr:uid="{00000000-0005-0000-0000-000024000000}"/>
    <cellStyle name="Comma 4 2" xfId="38" xr:uid="{00000000-0005-0000-0000-000025000000}"/>
    <cellStyle name="Comma 5" xfId="39" xr:uid="{00000000-0005-0000-0000-000026000000}"/>
    <cellStyle name="Comma 5 2" xfId="40" xr:uid="{00000000-0005-0000-0000-000027000000}"/>
    <cellStyle name="Comma 6" xfId="41" xr:uid="{00000000-0005-0000-0000-000028000000}"/>
    <cellStyle name="Comma 6 2" xfId="42" xr:uid="{00000000-0005-0000-0000-000029000000}"/>
    <cellStyle name="Comma 6 3" xfId="43" xr:uid="{00000000-0005-0000-0000-00002A000000}"/>
    <cellStyle name="Comma 6 4" xfId="44" xr:uid="{00000000-0005-0000-0000-00002B000000}"/>
    <cellStyle name="Comma 6 5" xfId="45" xr:uid="{00000000-0005-0000-0000-00002C000000}"/>
    <cellStyle name="Comma 7" xfId="46" xr:uid="{00000000-0005-0000-0000-00002D000000}"/>
    <cellStyle name="Comma 7 2" xfId="47" xr:uid="{00000000-0005-0000-0000-00002E000000}"/>
    <cellStyle name="Comma 7 3" xfId="48" xr:uid="{00000000-0005-0000-0000-00002F000000}"/>
    <cellStyle name="Comma 8" xfId="49" xr:uid="{00000000-0005-0000-0000-000030000000}"/>
    <cellStyle name="Comma 9" xfId="50" xr:uid="{00000000-0005-0000-0000-000031000000}"/>
    <cellStyle name="Comma 9 2" xfId="51" xr:uid="{00000000-0005-0000-0000-000032000000}"/>
    <cellStyle name="comma zerodec" xfId="129" xr:uid="{00000000-0005-0000-0000-000033000000}"/>
    <cellStyle name="Cover" xfId="52" xr:uid="{00000000-0005-0000-0000-000034000000}"/>
    <cellStyle name="Currency1" xfId="130" xr:uid="{00000000-0005-0000-0000-000035000000}"/>
    <cellStyle name="Dollar (zero dec)" xfId="131" xr:uid="{00000000-0005-0000-0000-000036000000}"/>
    <cellStyle name="Euro" xfId="53" xr:uid="{00000000-0005-0000-0000-000037000000}"/>
    <cellStyle name="Explanatory Text 2" xfId="54" xr:uid="{00000000-0005-0000-0000-000038000000}"/>
    <cellStyle name="Good 2" xfId="55" xr:uid="{00000000-0005-0000-0000-000039000000}"/>
    <cellStyle name="Grey" xfId="132" xr:uid="{00000000-0005-0000-0000-00003A000000}"/>
    <cellStyle name="Header" xfId="133" xr:uid="{00000000-0005-0000-0000-00003B000000}"/>
    <cellStyle name="Heading 1 2" xfId="56" xr:uid="{00000000-0005-0000-0000-00003C000000}"/>
    <cellStyle name="Heading 2 2" xfId="57" xr:uid="{00000000-0005-0000-0000-00003D000000}"/>
    <cellStyle name="Heading 3 2" xfId="58" xr:uid="{00000000-0005-0000-0000-00003E000000}"/>
    <cellStyle name="Heading 4 2" xfId="59" xr:uid="{00000000-0005-0000-0000-00003F000000}"/>
    <cellStyle name="Heading1" xfId="134" xr:uid="{00000000-0005-0000-0000-000040000000}"/>
    <cellStyle name="Hyperlink" xfId="176" builtinId="8"/>
    <cellStyle name="Hyperlink 2" xfId="60" xr:uid="{00000000-0005-0000-0000-000042000000}"/>
    <cellStyle name="Hyperlink 3" xfId="61" xr:uid="{00000000-0005-0000-0000-000043000000}"/>
    <cellStyle name="Input [yellow]" xfId="135" xr:uid="{00000000-0005-0000-0000-000044000000}"/>
    <cellStyle name="Input 2" xfId="62" xr:uid="{00000000-0005-0000-0000-000045000000}"/>
    <cellStyle name="Input 3" xfId="63" xr:uid="{00000000-0005-0000-0000-000046000000}"/>
    <cellStyle name="Linked Cell 2" xfId="64" xr:uid="{00000000-0005-0000-0000-000047000000}"/>
    <cellStyle name="Menu" xfId="65" xr:uid="{00000000-0005-0000-0000-000048000000}"/>
    <cellStyle name="Milliers [0]_Req_Data" xfId="136" xr:uid="{00000000-0005-0000-0000-000049000000}"/>
    <cellStyle name="Milliers_Req_Data" xfId="137" xr:uid="{00000000-0005-0000-0000-00004A000000}"/>
    <cellStyle name="Monétaire [0]_Req_Data" xfId="138" xr:uid="{00000000-0005-0000-0000-00004B000000}"/>
    <cellStyle name="Monétaire_Req_Data" xfId="139" xr:uid="{00000000-0005-0000-0000-00004C000000}"/>
    <cellStyle name="Neutral 2" xfId="66" xr:uid="{00000000-0005-0000-0000-00004D000000}"/>
    <cellStyle name="no dec" xfId="140" xr:uid="{00000000-0005-0000-0000-00004E000000}"/>
    <cellStyle name="Norm੎੎" xfId="67" xr:uid="{00000000-0005-0000-0000-00004F000000}"/>
    <cellStyle name="Normal" xfId="0" builtinId="0"/>
    <cellStyle name="Normal - Style1" xfId="141" xr:uid="{00000000-0005-0000-0000-000051000000}"/>
    <cellStyle name="Normal 10" xfId="68" xr:uid="{00000000-0005-0000-0000-000052000000}"/>
    <cellStyle name="Normal 11" xfId="160" xr:uid="{00000000-0005-0000-0000-000053000000}"/>
    <cellStyle name="Normal 12" xfId="161" xr:uid="{00000000-0005-0000-0000-000054000000}"/>
    <cellStyle name="Normal 13" xfId="162" xr:uid="{00000000-0005-0000-0000-000055000000}"/>
    <cellStyle name="Normal 14" xfId="163" xr:uid="{00000000-0005-0000-0000-000056000000}"/>
    <cellStyle name="Normal 15" xfId="164" xr:uid="{00000000-0005-0000-0000-000057000000}"/>
    <cellStyle name="Normal 16" xfId="165" xr:uid="{00000000-0005-0000-0000-000058000000}"/>
    <cellStyle name="Normal 17" xfId="69" xr:uid="{00000000-0005-0000-0000-000059000000}"/>
    <cellStyle name="Normal 18" xfId="166" xr:uid="{00000000-0005-0000-0000-00005A000000}"/>
    <cellStyle name="Normal 19" xfId="167" xr:uid="{00000000-0005-0000-0000-00005B000000}"/>
    <cellStyle name="Normal 2" xfId="70" xr:uid="{00000000-0005-0000-0000-00005C000000}"/>
    <cellStyle name="Normal 2 2" xfId="71" xr:uid="{00000000-0005-0000-0000-00005D000000}"/>
    <cellStyle name="Normal 2 2 2" xfId="72" xr:uid="{00000000-0005-0000-0000-00005E000000}"/>
    <cellStyle name="Normal 2 2 3" xfId="73" xr:uid="{00000000-0005-0000-0000-00005F000000}"/>
    <cellStyle name="Normal 2 2 4" xfId="74" xr:uid="{00000000-0005-0000-0000-000060000000}"/>
    <cellStyle name="Normal 2 3" xfId="75" xr:uid="{00000000-0005-0000-0000-000061000000}"/>
    <cellStyle name="Normal 20" xfId="168" xr:uid="{00000000-0005-0000-0000-000062000000}"/>
    <cellStyle name="Normal 21" xfId="169" xr:uid="{00000000-0005-0000-0000-000063000000}"/>
    <cellStyle name="Normal 22" xfId="170" xr:uid="{00000000-0005-0000-0000-000064000000}"/>
    <cellStyle name="Normal 23" xfId="171" xr:uid="{00000000-0005-0000-0000-000065000000}"/>
    <cellStyle name="Normal 24" xfId="172" xr:uid="{00000000-0005-0000-0000-000066000000}"/>
    <cellStyle name="Normal 25" xfId="173" xr:uid="{00000000-0005-0000-0000-000067000000}"/>
    <cellStyle name="Normal 26" xfId="174" xr:uid="{00000000-0005-0000-0000-000068000000}"/>
    <cellStyle name="Normal 27" xfId="175" xr:uid="{00000000-0005-0000-0000-000069000000}"/>
    <cellStyle name="Normal 3" xfId="76" xr:uid="{00000000-0005-0000-0000-00006A000000}"/>
    <cellStyle name="Normal 3 2" xfId="77" xr:uid="{00000000-0005-0000-0000-00006B000000}"/>
    <cellStyle name="Normal 3 3" xfId="178" xr:uid="{FE6712E8-A805-6741-B806-6B502BDD6565}"/>
    <cellStyle name="Normal 4" xfId="78" xr:uid="{00000000-0005-0000-0000-00006C000000}"/>
    <cellStyle name="Normal 4 2" xfId="79" xr:uid="{00000000-0005-0000-0000-00006D000000}"/>
    <cellStyle name="Normal 4 2 2" xfId="80" xr:uid="{00000000-0005-0000-0000-00006E000000}"/>
    <cellStyle name="Normal 5" xfId="81" xr:uid="{00000000-0005-0000-0000-00006F000000}"/>
    <cellStyle name="Normal 5 2" xfId="82" xr:uid="{00000000-0005-0000-0000-000070000000}"/>
    <cellStyle name="Normal 5 3" xfId="83" xr:uid="{00000000-0005-0000-0000-000071000000}"/>
    <cellStyle name="Normal 6" xfId="84" xr:uid="{00000000-0005-0000-0000-000072000000}"/>
    <cellStyle name="Normal 7" xfId="85" xr:uid="{00000000-0005-0000-0000-000073000000}"/>
    <cellStyle name="Normal 7 2" xfId="86" xr:uid="{00000000-0005-0000-0000-000074000000}"/>
    <cellStyle name="Normal 8" xfId="87" xr:uid="{00000000-0005-0000-0000-000075000000}"/>
    <cellStyle name="Normal 8 2" xfId="88" xr:uid="{00000000-0005-0000-0000-000076000000}"/>
    <cellStyle name="Normal 8 3" xfId="89" xr:uid="{00000000-0005-0000-0000-000077000000}"/>
    <cellStyle name="Normal 9" xfId="90" xr:uid="{00000000-0005-0000-0000-000078000000}"/>
    <cellStyle name="Normal 9 2" xfId="91" xr:uid="{00000000-0005-0000-0000-000079000000}"/>
    <cellStyle name="Normale_Cartel2" xfId="142" xr:uid="{00000000-0005-0000-0000-00007A000000}"/>
    <cellStyle name="Note 2" xfId="92" xr:uid="{00000000-0005-0000-0000-00007B000000}"/>
    <cellStyle name="Output 2" xfId="93" xr:uid="{00000000-0005-0000-0000-00007C000000}"/>
    <cellStyle name="Percent" xfId="177" builtinId="5"/>
    <cellStyle name="Percent [2]" xfId="143" xr:uid="{00000000-0005-0000-0000-00007E000000}"/>
    <cellStyle name="Percent 2" xfId="94" xr:uid="{00000000-0005-0000-0000-00007F000000}"/>
    <cellStyle name="Percent 2 2" xfId="181" xr:uid="{B52701B0-6112-6649-928C-7C72A798FD76}"/>
    <cellStyle name="Quantity" xfId="144" xr:uid="{00000000-0005-0000-0000-000080000000}"/>
    <cellStyle name="SAPBEXaggData" xfId="95" xr:uid="{00000000-0005-0000-0000-000081000000}"/>
    <cellStyle name="SAPBEXaggItem" xfId="96" xr:uid="{00000000-0005-0000-0000-000082000000}"/>
    <cellStyle name="SAPBEXchaText" xfId="97" xr:uid="{00000000-0005-0000-0000-000083000000}"/>
    <cellStyle name="SAPBEXformats" xfId="98" xr:uid="{00000000-0005-0000-0000-000084000000}"/>
    <cellStyle name="SAPBEXstdData" xfId="99" xr:uid="{00000000-0005-0000-0000-000085000000}"/>
    <cellStyle name="SAPBEXstdItem" xfId="100" xr:uid="{00000000-0005-0000-0000-000086000000}"/>
    <cellStyle name="Standard_Fueltypes" xfId="101" xr:uid="{00000000-0005-0000-0000-000087000000}"/>
    <cellStyle name="Subtotal" xfId="145" xr:uid="{00000000-0005-0000-0000-000088000000}"/>
    <cellStyle name="Title 2" xfId="102" xr:uid="{00000000-0005-0000-0000-000089000000}"/>
    <cellStyle name="Total 2" xfId="103" xr:uid="{00000000-0005-0000-0000-00008A000000}"/>
    <cellStyle name="Valuta_PERSONAL" xfId="146" xr:uid="{00000000-0005-0000-0000-00008B000000}"/>
    <cellStyle name="Warning Text 2" xfId="104" xr:uid="{00000000-0005-0000-0000-00008C000000}"/>
    <cellStyle name="Year" xfId="105" xr:uid="{00000000-0005-0000-0000-00008D000000}"/>
    <cellStyle name="เครื่องหมายจุลภาค 2" xfId="106" xr:uid="{00000000-0005-0000-0000-00008E000000}"/>
    <cellStyle name="เครื่องหมายจุลภาค 2 2" xfId="147" xr:uid="{00000000-0005-0000-0000-00008F000000}"/>
    <cellStyle name="เครื่องหมายจุลภาค 3" xfId="107" xr:uid="{00000000-0005-0000-0000-000090000000}"/>
    <cellStyle name="เครื่องหมายจุลภาค 3 2" xfId="148" xr:uid="{00000000-0005-0000-0000-000091000000}"/>
    <cellStyle name="เครื่องหมายจุลภาค 3 2 2" xfId="149" xr:uid="{00000000-0005-0000-0000-000092000000}"/>
    <cellStyle name="เครื่องหมายจุลภาค 3 2 2 2" xfId="150" xr:uid="{00000000-0005-0000-0000-000093000000}"/>
    <cellStyle name="เครื่องหมายจุลภาค 4" xfId="108" xr:uid="{00000000-0005-0000-0000-000094000000}"/>
    <cellStyle name="เครื่องหมายจุลภาค 5" xfId="109" xr:uid="{00000000-0005-0000-0000-000095000000}"/>
    <cellStyle name="เปอร์เซ็นต์ 2" xfId="151" xr:uid="{00000000-0005-0000-0000-0000A7000000}"/>
    <cellStyle name="เปอร์เซ็นต์ 2 2" xfId="152" xr:uid="{00000000-0005-0000-0000-0000A8000000}"/>
    <cellStyle name="เปอร์เซ็นต์ 2 3" xfId="153" xr:uid="{00000000-0005-0000-0000-0000A9000000}"/>
    <cellStyle name="เปอร์เซ็นต์ 2 3 2" xfId="154" xr:uid="{00000000-0005-0000-0000-0000AA000000}"/>
    <cellStyle name="เปอร์เซ็นต์ 2 3 2 2" xfId="155" xr:uid="{00000000-0005-0000-0000-0000AB000000}"/>
    <cellStyle name="เปอร์เซ็นต์ 3" xfId="156" xr:uid="{00000000-0005-0000-0000-0000AC000000}"/>
    <cellStyle name="จุลภาค 2" xfId="179" xr:uid="{CEEAD643-2E58-144E-9B8B-A2811B74C8CE}"/>
    <cellStyle name="ปกติ 10" xfId="110" xr:uid="{00000000-0005-0000-0000-000096000000}"/>
    <cellStyle name="ปกติ 11" xfId="111" xr:uid="{00000000-0005-0000-0000-000097000000}"/>
    <cellStyle name="ปกติ 12" xfId="112" xr:uid="{00000000-0005-0000-0000-000098000000}"/>
    <cellStyle name="ปกติ 13" xfId="113" xr:uid="{00000000-0005-0000-0000-000099000000}"/>
    <cellStyle name="ปกติ 2" xfId="114" xr:uid="{00000000-0005-0000-0000-00009A000000}"/>
    <cellStyle name="ปกติ 2 2" xfId="115" xr:uid="{00000000-0005-0000-0000-00009B000000}"/>
    <cellStyle name="ปกติ 3" xfId="116" xr:uid="{00000000-0005-0000-0000-00009C000000}"/>
    <cellStyle name="ปกติ 4" xfId="117" xr:uid="{00000000-0005-0000-0000-00009D000000}"/>
    <cellStyle name="ปกติ 5" xfId="118" xr:uid="{00000000-0005-0000-0000-00009E000000}"/>
    <cellStyle name="ปกติ 5 2" xfId="157" xr:uid="{00000000-0005-0000-0000-00009F000000}"/>
    <cellStyle name="ปกติ 5 2 2" xfId="158" xr:uid="{00000000-0005-0000-0000-0000A0000000}"/>
    <cellStyle name="ปกติ 5 2 2 2" xfId="159" xr:uid="{00000000-0005-0000-0000-0000A1000000}"/>
    <cellStyle name="ปกติ 6" xfId="119" xr:uid="{00000000-0005-0000-0000-0000A2000000}"/>
    <cellStyle name="ปกติ 7" xfId="120" xr:uid="{00000000-0005-0000-0000-0000A3000000}"/>
    <cellStyle name="ปกติ 8" xfId="121" xr:uid="{00000000-0005-0000-0000-0000A4000000}"/>
    <cellStyle name="ปกติ 9" xfId="122" xr:uid="{00000000-0005-0000-0000-0000A5000000}"/>
    <cellStyle name="ป้อนค่า" xfId="123" xr:uid="{00000000-0005-0000-0000-0000A6000000}"/>
    <cellStyle name="桁区切り [0.00]_Person" xfId="124" xr:uid="{00000000-0005-0000-0000-0000AD000000}"/>
    <cellStyle name="桁区切り_Person" xfId="125" xr:uid="{00000000-0005-0000-0000-0000AE000000}"/>
    <cellStyle name="標準_Book2 グラフ 2" xfId="126" xr:uid="{00000000-0005-0000-0000-0000AF000000}"/>
    <cellStyle name="通貨 [0.00]_Book2 グラフ 2" xfId="127" xr:uid="{00000000-0005-0000-0000-0000B0000000}"/>
    <cellStyle name="通貨_Book2 グラフ 2" xfId="128" xr:uid="{00000000-0005-0000-0000-0000B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50"/>
            </a:pPr>
            <a:r>
              <a:rPr lang="en-US" sz="105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745170450205933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'Fr-05'!$B$10:$B$13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B-4891-A53B-0E34ACF3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46752"/>
        <c:axId val="100748288"/>
      </c:barChart>
      <c:catAx>
        <c:axId val="10074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00748288"/>
        <c:crosses val="autoZero"/>
        <c:auto val="1"/>
        <c:lblAlgn val="ctr"/>
        <c:lblOffset val="100"/>
        <c:noMultiLvlLbl val="0"/>
      </c:catAx>
      <c:valAx>
        <c:axId val="10074828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007467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745170450205933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'Fr-05'!$B$10:$B$13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3-4599-8CFB-A3AC765BD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011072"/>
        <c:axId val="129307776"/>
      </c:barChart>
      <c:catAx>
        <c:axId val="129011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29307776"/>
        <c:crosses val="autoZero"/>
        <c:auto val="1"/>
        <c:lblAlgn val="ctr"/>
        <c:lblOffset val="100"/>
        <c:noMultiLvlLbl val="0"/>
      </c:catAx>
      <c:valAx>
        <c:axId val="12930777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290110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63905729776857567"/>
        </c:manualLayout>
      </c:layout>
      <c:barChart>
        <c:barDir val="col"/>
        <c:grouping val="clustered"/>
        <c:varyColors val="0"/>
        <c:ser>
          <c:idx val="1"/>
          <c:order val="0"/>
          <c:tx>
            <c:v>ปีฐาน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'Fr-05'!$B$26:$B$29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'Fr-05'!$C$26:$C$29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86-465F-929D-59E0AE80C404}"/>
            </c:ext>
          </c:extLst>
        </c:ser>
        <c:ser>
          <c:idx val="0"/>
          <c:order val="1"/>
          <c:tx>
            <c:v>ปีปัจจุบัน</c:v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'Fr-05'!$B$26:$B$29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6-465F-929D-59E0AE80C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601664"/>
        <c:axId val="83611648"/>
      </c:barChart>
      <c:catAx>
        <c:axId val="8360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83611648"/>
        <c:crosses val="autoZero"/>
        <c:auto val="1"/>
        <c:lblAlgn val="ctr"/>
        <c:lblOffset val="100"/>
        <c:noMultiLvlLbl val="0"/>
      </c:catAx>
      <c:valAx>
        <c:axId val="836116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83601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th-TH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36</xdr:row>
      <xdr:rowOff>41412</xdr:rowOff>
    </xdr:from>
    <xdr:to>
      <xdr:col>3</xdr:col>
      <xdr:colOff>670515</xdr:colOff>
      <xdr:row>45</xdr:row>
      <xdr:rowOff>140804</xdr:rowOff>
    </xdr:to>
    <xdr:pic>
      <xdr:nvPicPr>
        <xdr:cNvPr id="2" name="รูปภาพ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812195"/>
          <a:ext cx="2857500" cy="1813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156883</xdr:colOff>
      <xdr:row>35</xdr:row>
      <xdr:rowOff>179294</xdr:rowOff>
    </xdr:from>
    <xdr:to>
      <xdr:col>9</xdr:col>
      <xdr:colOff>504264</xdr:colOff>
      <xdr:row>49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24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24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>
    <xdr:from>
      <xdr:col>2</xdr:col>
      <xdr:colOff>114300</xdr:colOff>
      <xdr:row>15</xdr:row>
      <xdr:rowOff>152401</xdr:rowOff>
    </xdr:from>
    <xdr:to>
      <xdr:col>10</xdr:col>
      <xdr:colOff>582399</xdr:colOff>
      <xdr:row>18</xdr:row>
      <xdr:rowOff>93414</xdr:rowOff>
    </xdr:to>
    <xdr:sp macro="" textlink="">
      <xdr:nvSpPr>
        <xdr:cNvPr id="6" name="Rectangle 2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66850" y="2952751"/>
          <a:ext cx="5935449" cy="42678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ตัวแทนฝ่ายบริหารระบบการจัดการด้านสิ่งแวดล้อม และผู้แทนโรงงาน</a:t>
          </a: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11</xdr:row>
      <xdr:rowOff>142876</xdr:rowOff>
    </xdr:from>
    <xdr:to>
      <xdr:col>8</xdr:col>
      <xdr:colOff>123832</xdr:colOff>
      <xdr:row>15</xdr:row>
      <xdr:rowOff>19050</xdr:rowOff>
    </xdr:to>
    <xdr:sp macro="" textlink="">
      <xdr:nvSpPr>
        <xdr:cNvPr id="7" name="Rectangle 2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348124" y="2295526"/>
          <a:ext cx="2185908" cy="523874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ตัวแทนผู้จัดการ</a:t>
          </a: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7</xdr:row>
      <xdr:rowOff>133350</xdr:rowOff>
    </xdr:from>
    <xdr:to>
      <xdr:col>8</xdr:col>
      <xdr:colOff>123832</xdr:colOff>
      <xdr:row>10</xdr:row>
      <xdr:rowOff>66676</xdr:rowOff>
    </xdr:to>
    <xdr:sp macro="" textlink="">
      <xdr:nvSpPr>
        <xdr:cNvPr id="8" name="Rectangle 2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348124" y="1638300"/>
          <a:ext cx="2185908" cy="419101"/>
        </a:xfrm>
        <a:prstGeom prst="rect">
          <a:avLst/>
        </a:prstGeom>
        <a:solidFill>
          <a:srgbClr val="17365D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chemeClr val="bg1"/>
              </a:solidFill>
              <a:latin typeface="Cordia New (Thai)"/>
            </a:rPr>
            <a:t>ประธาน 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Times New Roman"/>
            </a:rPr>
            <a:t>//////////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</xdr:txBody>
    </xdr:sp>
    <xdr:clientData/>
  </xdr:twoCellAnchor>
  <xdr:twoCellAnchor>
    <xdr:from>
      <xdr:col>5</xdr:col>
      <xdr:colOff>124344</xdr:colOff>
      <xdr:row>20</xdr:row>
      <xdr:rowOff>1386</xdr:rowOff>
    </xdr:from>
    <xdr:to>
      <xdr:col>7</xdr:col>
      <xdr:colOff>485428</xdr:colOff>
      <xdr:row>22</xdr:row>
      <xdr:rowOff>94039</xdr:rowOff>
    </xdr:to>
    <xdr:sp macro="" textlink="">
      <xdr:nvSpPr>
        <xdr:cNvPr id="9" name="Rectangle 2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505719" y="3611361"/>
          <a:ext cx="1713634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B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</xdr:col>
      <xdr:colOff>30999</xdr:colOff>
      <xdr:row>20</xdr:row>
      <xdr:rowOff>1386</xdr:rowOff>
    </xdr:from>
    <xdr:to>
      <xdr:col>4</xdr:col>
      <xdr:colOff>408222</xdr:colOff>
      <xdr:row>22</xdr:row>
      <xdr:rowOff>94039</xdr:rowOff>
    </xdr:to>
    <xdr:sp macro="" textlink="">
      <xdr:nvSpPr>
        <xdr:cNvPr id="10" name="Rectangle 2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83549" y="3611361"/>
          <a:ext cx="1729773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8</xdr:col>
      <xdr:colOff>173874</xdr:colOff>
      <xdr:row>20</xdr:row>
      <xdr:rowOff>1386</xdr:rowOff>
    </xdr:from>
    <xdr:to>
      <xdr:col>10</xdr:col>
      <xdr:colOff>489546</xdr:colOff>
      <xdr:row>22</xdr:row>
      <xdr:rowOff>94039</xdr:rowOff>
    </xdr:to>
    <xdr:sp macro="" textlink="">
      <xdr:nvSpPr>
        <xdr:cNvPr id="11" name="Rectangle 2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5584074" y="3611361"/>
          <a:ext cx="1725372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C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6</xdr:col>
      <xdr:colOff>302895</xdr:colOff>
      <xdr:row>9</xdr:row>
      <xdr:rowOff>152400</xdr:rowOff>
    </xdr:from>
    <xdr:to>
      <xdr:col>6</xdr:col>
      <xdr:colOff>302895</xdr:colOff>
      <xdr:row>11</xdr:row>
      <xdr:rowOff>152400</xdr:rowOff>
    </xdr:to>
    <xdr:cxnSp macro="">
      <xdr:nvCxnSpPr>
        <xdr:cNvPr id="12" name="AutoShape 2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cxnSpLocks noChangeShapeType="1"/>
        </xdr:cNvCxnSpPr>
      </xdr:nvCxnSpPr>
      <xdr:spPr bwMode="auto">
        <a:xfrm>
          <a:off x="4360545" y="1981200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19</xdr:row>
      <xdr:rowOff>59055</xdr:rowOff>
    </xdr:from>
    <xdr:to>
      <xdr:col>10</xdr:col>
      <xdr:colOff>493395</xdr:colOff>
      <xdr:row>19</xdr:row>
      <xdr:rowOff>59055</xdr:rowOff>
    </xdr:to>
    <xdr:cxnSp macro="">
      <xdr:nvCxnSpPr>
        <xdr:cNvPr id="13" name="AutoShape 25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>
          <a:cxnSpLocks noChangeShapeType="1"/>
        </xdr:cNvCxnSpPr>
      </xdr:nvCxnSpPr>
      <xdr:spPr bwMode="auto">
        <a:xfrm>
          <a:off x="1381125" y="3507105"/>
          <a:ext cx="593217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302895</xdr:colOff>
      <xdr:row>14</xdr:row>
      <xdr:rowOff>121920</xdr:rowOff>
    </xdr:from>
    <xdr:to>
      <xdr:col>6</xdr:col>
      <xdr:colOff>302895</xdr:colOff>
      <xdr:row>16</xdr:row>
      <xdr:rowOff>121920</xdr:rowOff>
    </xdr:to>
    <xdr:cxnSp macro="">
      <xdr:nvCxnSpPr>
        <xdr:cNvPr id="14" name="AutoShape 2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>
          <a:off x="4360545" y="2760345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66676</xdr:colOff>
      <xdr:row>5</xdr:row>
      <xdr:rowOff>9525</xdr:rowOff>
    </xdr:from>
    <xdr:to>
      <xdr:col>9</xdr:col>
      <xdr:colOff>542926</xdr:colOff>
      <xdr:row>14</xdr:row>
      <xdr:rowOff>276225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D9CD3A6F-07E4-40DD-A057-3228BB825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47626</xdr:colOff>
      <xdr:row>22</xdr:row>
      <xdr:rowOff>47625</xdr:rowOff>
    </xdr:from>
    <xdr:to>
      <xdr:col>9</xdr:col>
      <xdr:colOff>523876</xdr:colOff>
      <xdr:row>31</xdr:row>
      <xdr:rowOff>19050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A873490A-0BD1-49AD-923C-5F1C5876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72.40.2.19/cost10$/&#3586;&#3657;&#3629;&#3617;&#3641;&#3621;forcast/2011/Forecast_Apr%2054/November_update%20FISH2_SALE%20FOREC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72.40.2.19/cost10$/&#3586;&#3657;&#3629;&#3617;&#3641;&#3621;forcast/2011/Forecast_Mar%2054/November_update%20FISH2_SALE%20FORECA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72.40.0.50/cost10$/&#3586;&#3657;&#3629;&#3617;&#3641;&#3621;forcast/2011/Forecast_Mar%2054/November_update%20FISH2_SALE%20FORECA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ob.IVT\AppData\Local\Microsoft\Windows\Temporary%20Internet%20Files\Content.Outlook\J3ZD9D4W\MRDP_MasterPackage_v0.4_TUF_LN_Upload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UF\AppData\Local\Temp\notes09D270\MRDP_MasterPackage_v0%2031_TUF_LN_Upload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7.%20HEDGING%20LME\Hedging%202017%20V.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78c5ed7b2287298/ECEE/CFO/Modify%20Template%20TGO/12)25-09-68/Documents%20and%20Settings/PONGSAK.EGAT_PPA-00D678/Desktop/EFFICIENTCY/2.Calculate/52/21.&#3610;&#3619;&#3636;&#3625;&#3633;&#3607;%20&#3650;&#3585;&#3621;&#3623;&#3660;%20&#3648;&#3629;&#3626;&#3614;&#3637;&#3614;&#3637;%203%20&#3592;&#3585;.%20(1)%20(TCC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dget\TUNA\OTHER\2004.OTHERIN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72.40.2.122/Data$/Users/fp521529/AppData/Local/Microsoft/Windows/Temporary%20Internet%20Files/Content.Outlook/Q46TLIVI/BMP-BU%20SHRIMP_1%20(2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Users/user/Desktop/Inventory%20for%20C%20to%20G/Inventory/Electricity/TGO%20calculations/EFFICIENTCY/EFFICIENTCY/&#3648;&#3629;&#3585;&#3626;&#3634;&#3619;/EFFICIENTCY/Pongsak/50/TNP(&#3617;&#3588;.-&#3617;&#3636;&#3618;.)everyday.xls?571D18C8" TargetMode="External"/><Relationship Id="rId1" Type="http://schemas.openxmlformats.org/officeDocument/2006/relationships/externalLinkPath" Target="file:///\\571D18C8\TNP(&#3617;&#3588;.-&#3617;&#3636;&#3618;.)everyda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kstirling\AppData\Local\Microsoft\Windows\Temporary%20Internet%20Files\OLK6380\APRIL12.reports.THAILAN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kstirling\Desktop\PROD%20Quantity%20ADI%20JE%20template%20STAT.jul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72.24.0.41/Lucanet/Lucanet%20implementation%20-%20Jirachai/Q2%20implementation/L.%20Budget/1.%20Design%20&amp;%20Communication/Template/Mapping%20CDP%20with%20budgeting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72.40.2.19/cost10$/&#3586;&#3657;&#3629;&#3617;&#3641;&#3621;forcast/2011/Forecast_Apr%2054/Yield%20Report%20from%20PD%20Fish2/2554/03.54/07-12.03.54/YIELD%20REPORT%20&#3648;&#3607;&#3637;&#3618;&#3610;&#3648;&#3604;&#3639;&#3629;&#3609;%20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-Nov.53"/>
      <sheetName val="other"/>
      <sheetName val="Oceana(nov.)"/>
      <sheetName val="T-HOLDING(Nov.)"/>
      <sheetName val="THD"/>
      <sheetName val="เบิกใช้RM 1-21.10.53"/>
      <sheetName val="Direct Labour"/>
      <sheetName val="Overhead"/>
      <sheetName val="คชจ.RM"/>
      <sheetName val="สัดส่วนOverhead"/>
      <sheetName val="Structure-Other Market"/>
      <sheetName val="Structure-Oceana"/>
      <sheetName val="Structure-T Holding"/>
      <sheetName val="YieldFISH 2 10-16.10.53"/>
      <sheetName val="ชื้อRM 1-21.10.53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-Nov.53"/>
      <sheetName val="other"/>
      <sheetName val="Oceana(nov.)"/>
      <sheetName val="T-HOLDING(Nov.)"/>
      <sheetName val="THD"/>
      <sheetName val="เบิกใช้RM 1-21.10.53"/>
      <sheetName val="Direct Labour"/>
      <sheetName val="Overhead"/>
      <sheetName val="คชจ.RM"/>
      <sheetName val="สัดส่วนOverhead"/>
      <sheetName val="Structure-Other Market"/>
      <sheetName val="Structure-Oceana"/>
      <sheetName val="Structure-T Holding"/>
      <sheetName val="YieldFISH 2 10-16.10.53"/>
      <sheetName val="ชื้อRM 1-21.10.53"/>
      <sheetName val="Sheet1"/>
      <sheetName val="Daily P&amp;L"/>
      <sheetName val="Date"/>
      <sheetName val="ปลาเส้น 7กรัม"/>
      <sheetName val="Fisho 40g"/>
      <sheetName val="Fisho 20g"/>
      <sheetName val="Fisho Stick 3"/>
      <sheetName val="Dropdown List"/>
      <sheetName val="Database"/>
      <sheetName val="CS1 - 12"/>
      <sheetName val="Data"/>
      <sheetName val="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-Nov.53"/>
      <sheetName val="other"/>
      <sheetName val="Oceana(nov.)"/>
      <sheetName val="T-HOLDING(Nov.)"/>
      <sheetName val="THD"/>
      <sheetName val="เบิกใช้RM 1-21.10.53"/>
      <sheetName val="Direct Labour"/>
      <sheetName val="Overhead"/>
      <sheetName val="คชจ.RM"/>
      <sheetName val="สัดส่วนOverhead"/>
      <sheetName val="Structure-Other Market"/>
      <sheetName val="Structure-Oceana"/>
      <sheetName val="Structure-T Holding"/>
      <sheetName val="YieldFISH 2 10-16.10.53"/>
      <sheetName val="ชื้อRM 1-21.10.53"/>
      <sheetName val="Sheet1"/>
      <sheetName val="Daily P&amp;L"/>
      <sheetName val="Date"/>
      <sheetName val="ปลาเส้น 7กรัม"/>
      <sheetName val="Fisho 40g"/>
      <sheetName val="Fisho 20g"/>
      <sheetName val="Fisho Stick 3"/>
      <sheetName val="Dropdown List"/>
      <sheetName val="Database"/>
      <sheetName val="CS1 - 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00_Cover"/>
      <sheetName val="01_Acknowledgement"/>
      <sheetName val="02_Responsibility"/>
      <sheetName val="03_EarlyWarning"/>
      <sheetName val="04_FxRates"/>
      <sheetName val="05_CompanyList"/>
      <sheetName val="06a_BalanceSheet opening"/>
      <sheetName val="06b_BalanceSheet closing"/>
      <sheetName val="09_LongTermInvestments"/>
      <sheetName val="PL by product line"/>
      <sheetName val="PL by product line--TUF"/>
      <sheetName val="PL by product line--TUM"/>
      <sheetName val="PL by product line--SCC"/>
      <sheetName val="PL by product line--TUS"/>
      <sheetName val="PL by product line--TUG"/>
      <sheetName val="PL by product line--THD"/>
      <sheetName val="PL by product line--APC"/>
      <sheetName val="PL by product line--TFM"/>
      <sheetName val="PL by product line--TQS"/>
      <sheetName val="PL by product line--PAK"/>
      <sheetName val="PL by product line--YCC"/>
      <sheetName val="PL by product line--MWB"/>
      <sheetName val="PL by product line--COSI"/>
      <sheetName val="PL by product line--USPN"/>
      <sheetName val="PL by product line--TUFP"/>
      <sheetName val="Sales by Region"/>
      <sheetName val="Sales by Brand"/>
      <sheetName val="Sales by customer"/>
      <sheetName val="10_PPE"/>
      <sheetName val="14_Equity"/>
      <sheetName val="20_CashFlowStat"/>
      <sheetName val="21_IntCoProfitElim"/>
      <sheetName val="25_Incorrects"/>
    </sheetNames>
    <sheetDataSet>
      <sheetData sheetId="0">
        <row r="12">
          <cell r="D1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_Cover"/>
      <sheetName val="04_FxRates"/>
      <sheetName val="Parameter"/>
      <sheetName val="01_Company and Contact details"/>
      <sheetName val="02_CompanyList"/>
      <sheetName val="09_LongTermInvestments"/>
      <sheetName val="03_PL by segment"/>
      <sheetName val="04_PL by product line"/>
      <sheetName val="05_PL by product line--TUF"/>
      <sheetName val="05_PL by product line--TUM"/>
      <sheetName val="05_PL by product line--SCC"/>
      <sheetName val="05_PL by product line--TUS"/>
      <sheetName val="05_PL by product line--TUG"/>
      <sheetName val="05_PL by product line--THD"/>
      <sheetName val="05_PL by product line--APC"/>
      <sheetName val="05_PL by product line--TFM"/>
      <sheetName val="05_PL by product line--PAK"/>
      <sheetName val="05_PL by product line--YCC"/>
      <sheetName val="05_PL by product line--MWB"/>
      <sheetName val="05_PL by product line--COSI"/>
      <sheetName val="05_PL by product line--USPN"/>
      <sheetName val="05_PL by product line--TUFP"/>
      <sheetName val="06_Sales by customer"/>
      <sheetName val="07_Sale by region and brand"/>
      <sheetName val="08_Tuna_Sale by region&amp;brand"/>
      <sheetName val="09_Shrimp_Sale by region&amp;brand"/>
      <sheetName val="10_Sardine_Sale by region&amp;brand"/>
      <sheetName val="11_Salmon_Sale by region&amp;brand"/>
      <sheetName val="12_Pet_Sale by region&amp;brand"/>
      <sheetName val="13_Other_Sale by region&amp;brand"/>
      <sheetName val="14_Tuna_raw material"/>
      <sheetName val="15_Shrimp_raw material"/>
      <sheetName val="16_Employees"/>
      <sheetName val="17_Market share"/>
      <sheetName val="18_IC Sales"/>
      <sheetName val="19_IC Profit_segment"/>
      <sheetName val="20_IC profit_brand for TUF&amp;TUM"/>
      <sheetName val="20_CashFlowStat"/>
      <sheetName val="21_IntCoProfitElim"/>
      <sheetName val="25_Incorrects"/>
    </sheetNames>
    <sheetDataSet>
      <sheetData sheetId="0" refreshError="1"/>
      <sheetData sheetId="1" refreshError="1"/>
      <sheetData sheetId="2">
        <row r="4">
          <cell r="I4" t="str">
            <v>Import:</v>
          </cell>
        </row>
        <row r="5">
          <cell r="C5" t="str">
            <v>Please fill in the necessary information in the appropriate sections in order of their appearance (yellow cells).Close a section if complete.</v>
          </cell>
          <cell r="I5" t="str">
            <v>OB and CB</v>
          </cell>
        </row>
        <row r="7">
          <cell r="A7" t="str">
            <v>1. Package Settings</v>
          </cell>
        </row>
        <row r="12">
          <cell r="D12" t="b">
            <v>0</v>
          </cell>
        </row>
        <row r="13">
          <cell r="J13" t="e">
            <v>#VALUE!</v>
          </cell>
        </row>
        <row r="14">
          <cell r="J14" t="e">
            <v>#VALUE!</v>
          </cell>
        </row>
        <row r="15">
          <cell r="J15" t="e">
            <v>#VALUE!</v>
          </cell>
        </row>
        <row r="24">
          <cell r="A24" t="str">
            <v>2. Company Selection</v>
          </cell>
        </row>
        <row r="30">
          <cell r="A30" t="str">
            <v>3. FxRates Selection (NO CURRENCY TRANSLATION ACTIVATED)</v>
          </cell>
        </row>
        <row r="36">
          <cell r="A36" t="str">
            <v>4. Instructions</v>
          </cell>
        </row>
        <row r="38">
          <cell r="A38" t="str">
            <v>Appendix Name EN</v>
          </cell>
          <cell r="B38" t="str">
            <v>Appendix Name TH</v>
          </cell>
          <cell r="C38" t="str">
            <v>Instructions EN</v>
          </cell>
          <cell r="D38" t="str">
            <v>Instructions TH</v>
          </cell>
        </row>
        <row r="68">
          <cell r="D68" t="str">
            <v>CURRENCY TRANSLATION DEACTIVATED</v>
          </cell>
        </row>
        <row r="69">
          <cell r="A69" t="str">
            <v>Segment</v>
          </cell>
          <cell r="B69" t="str">
            <v>ส่วนงานธุรกิจ</v>
          </cell>
        </row>
        <row r="70">
          <cell r="A70" t="str">
            <v>Total</v>
          </cell>
          <cell r="B70" t="str">
            <v>รวม</v>
          </cell>
        </row>
        <row r="71">
          <cell r="A71" t="str">
            <v>Tuna business</v>
          </cell>
          <cell r="B71" t="str">
            <v>ธุรกิจปลาทูน่า</v>
          </cell>
        </row>
        <row r="72">
          <cell r="A72" t="str">
            <v>Shrimp and related business</v>
          </cell>
          <cell r="B72" t="str">
            <v>ธุรกิจกุ้งและธุรกิจที่เกี่ยวข้องกับกุ้ง</v>
          </cell>
        </row>
        <row r="73">
          <cell r="A73" t="str">
            <v>Sardine &amp; Mackerel business</v>
          </cell>
          <cell r="B73" t="str">
            <v>ธุรกิจปลาซาร์ดีนและปลาแมคเคอเรล</v>
          </cell>
        </row>
        <row r="74">
          <cell r="A74" t="str">
            <v>Salmon business</v>
          </cell>
          <cell r="B74" t="str">
            <v>ธุรกิจปลาแซลมอน</v>
          </cell>
        </row>
        <row r="75">
          <cell r="A75" t="str">
            <v>Pet food business</v>
          </cell>
          <cell r="B75" t="str">
            <v>ธุรกิจอาหารสัตว์เลี้ยง</v>
          </cell>
        </row>
        <row r="76">
          <cell r="A76" t="str">
            <v>Value added business and other products</v>
          </cell>
          <cell r="B76" t="str">
            <v>ธุรกิจผลิตภัณฑ์เพิ่มมูลค่าและผลิตภัณฑ์อื่นๆ</v>
          </cell>
        </row>
        <row r="79">
          <cell r="A79" t="str">
            <v>5. Generate Legal Entity Packages</v>
          </cell>
        </row>
      </sheetData>
      <sheetData sheetId="3">
        <row r="25">
          <cell r="C25" t="str">
            <v>MW Brands SAS</v>
          </cell>
        </row>
      </sheetData>
      <sheetData sheetId="4">
        <row r="10">
          <cell r="C10" t="str">
            <v>TUF</v>
          </cell>
        </row>
        <row r="11">
          <cell r="C11" t="str">
            <v>TUM</v>
          </cell>
          <cell r="L11" t="str">
            <v>THA</v>
          </cell>
          <cell r="M11" t="str">
            <v>THB</v>
          </cell>
        </row>
        <row r="12">
          <cell r="C12" t="str">
            <v>SCC</v>
          </cell>
          <cell r="H12" t="str">
            <v>FKR</v>
          </cell>
          <cell r="L12" t="str">
            <v>USA</v>
          </cell>
          <cell r="M12" t="str">
            <v>USD</v>
          </cell>
        </row>
        <row r="13">
          <cell r="C13" t="str">
            <v>TUS</v>
          </cell>
          <cell r="L13" t="str">
            <v>IDS</v>
          </cell>
          <cell r="M13" t="str">
            <v>IDR</v>
          </cell>
        </row>
        <row r="14">
          <cell r="C14" t="str">
            <v>THD</v>
          </cell>
          <cell r="L14" t="str">
            <v>MAU</v>
          </cell>
          <cell r="M14" t="str">
            <v>MUR</v>
          </cell>
        </row>
        <row r="15">
          <cell r="C15" t="str">
            <v>TFM</v>
          </cell>
          <cell r="L15" t="str">
            <v>CAN</v>
          </cell>
          <cell r="M15" t="str">
            <v>CAD</v>
          </cell>
        </row>
        <row r="16">
          <cell r="C16" t="str">
            <v>TUG</v>
          </cell>
          <cell r="L16" t="str">
            <v>VIT</v>
          </cell>
          <cell r="M16" t="str">
            <v>VND</v>
          </cell>
        </row>
        <row r="17">
          <cell r="C17" t="str">
            <v>PAK</v>
          </cell>
          <cell r="L17" t="str">
            <v>LUX</v>
          </cell>
          <cell r="M17" t="str">
            <v>EUR</v>
          </cell>
        </row>
        <row r="18">
          <cell r="C18" t="str">
            <v>COSI</v>
          </cell>
          <cell r="L18" t="str">
            <v>FKR</v>
          </cell>
          <cell r="M18" t="str">
            <v>EUR</v>
          </cell>
        </row>
        <row r="19">
          <cell r="C19" t="str">
            <v>TUFP</v>
          </cell>
          <cell r="L19" t="str">
            <v>SEY</v>
          </cell>
          <cell r="M19" t="str">
            <v>SCR</v>
          </cell>
        </row>
        <row r="20">
          <cell r="C20" t="str">
            <v>USPN</v>
          </cell>
          <cell r="L20" t="str">
            <v>POR</v>
          </cell>
          <cell r="M20" t="str">
            <v>EUR</v>
          </cell>
        </row>
        <row r="21">
          <cell r="C21" t="str">
            <v>APC</v>
          </cell>
          <cell r="L21" t="str">
            <v>GHA</v>
          </cell>
          <cell r="M21" t="str">
            <v>GHS</v>
          </cell>
        </row>
        <row r="22">
          <cell r="C22" t="str">
            <v>YCC</v>
          </cell>
          <cell r="L22" t="str">
            <v>ITL</v>
          </cell>
          <cell r="M22" t="str">
            <v>EUR</v>
          </cell>
        </row>
        <row r="23">
          <cell r="C23" t="str">
            <v>MWB</v>
          </cell>
          <cell r="L23" t="str">
            <v>GBR</v>
          </cell>
          <cell r="M23" t="str">
            <v>GBP</v>
          </cell>
        </row>
        <row r="24">
          <cell r="L24" t="str">
            <v>IRL</v>
          </cell>
          <cell r="M24" t="str">
            <v>EUR</v>
          </cell>
        </row>
        <row r="25">
          <cell r="L25" t="str">
            <v>NDL</v>
          </cell>
          <cell r="M25" t="str">
            <v>EUR</v>
          </cell>
        </row>
        <row r="26">
          <cell r="L26" t="str">
            <v>WORLD</v>
          </cell>
          <cell r="M26" t="str">
            <v>THB</v>
          </cell>
        </row>
      </sheetData>
      <sheetData sheetId="5" refreshError="1"/>
      <sheetData sheetId="6" refreshError="1"/>
      <sheetData sheetId="7">
        <row r="29">
          <cell r="M29" t="e">
            <v>#NAME?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OT&amp;SCARP 2017"/>
      <sheetName val="Data (Started Oct'16)"/>
      <sheetName val="Scrap"/>
      <sheetName val="Domestic"/>
      <sheetName val="Pivot"/>
      <sheetName val="Inventory Checking 2016"/>
      <sheetName val="Dropdown List"/>
      <sheetName val="MJP"/>
      <sheetName val="Pivot I"/>
      <sheetName val="Pivot II"/>
      <sheetName val="Pivot III"/>
      <sheetName val="Note - TTTC-TH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E2" t="str">
            <v>Alba</v>
          </cell>
          <cell r="G2" t="str">
            <v>69240/6061</v>
          </cell>
        </row>
        <row r="3">
          <cell r="G3" t="str">
            <v>69247/6061</v>
          </cell>
        </row>
        <row r="4">
          <cell r="G4" t="str">
            <v>65047/6063</v>
          </cell>
        </row>
        <row r="5">
          <cell r="G5" t="str">
            <v>6063.10</v>
          </cell>
        </row>
        <row r="6">
          <cell r="G6" t="str">
            <v>6082.00</v>
          </cell>
        </row>
        <row r="7">
          <cell r="G7" t="str">
            <v>6061SF</v>
          </cell>
        </row>
        <row r="8">
          <cell r="G8" t="str">
            <v>6063SF</v>
          </cell>
        </row>
        <row r="9">
          <cell r="G9" t="str">
            <v>6060SF</v>
          </cell>
        </row>
        <row r="10">
          <cell r="G10" t="str">
            <v>6063.10</v>
          </cell>
        </row>
        <row r="11">
          <cell r="G11" t="str">
            <v>Ingot</v>
          </cell>
        </row>
      </sheetData>
      <sheetData sheetId="7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Reference"/>
      <sheetName val="อ้างอิง (2)"/>
      <sheetName val="อ้างอิง"/>
      <sheetName val="Sheet1"/>
      <sheetName val="Annex.data validation"/>
    </sheetNames>
    <sheetDataSet>
      <sheetData sheetId="0"/>
      <sheetData sheetId="1"/>
      <sheetData sheetId="2">
        <row r="2">
          <cell r="C2">
            <v>0.29307103866134532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incexp2004"/>
      <sheetName val="balancing"/>
      <sheetName val="cashflow"/>
      <sheetName val="otherincexp"/>
      <sheetName val="2000otherincexp"/>
      <sheetName val="advertis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 SHRIMP BACKGROUND"/>
      <sheetName val="Coaching&amp;Meeting"/>
      <sheetName val="IMPACT&amp;URGENCY SCATTER"/>
      <sheetName val="THEME&amp;GOAL"/>
      <sheetName val="MKT bullet_bar"/>
      <sheetName val="MKT COACHING#1 2.OCT.2015"/>
      <sheetName val="Profit-volume-cost analysis"/>
      <sheetName val="Profit-Loss Analysis"/>
      <sheetName val="BEP COMPAIR 2015,1016"/>
      <sheetName val="BEP-SHRIMP PLANT 2016"/>
      <sheetName val="BEP-SHRIMP PLANT 2015 (9+3)"/>
      <sheetName val="BEP-PACKING"/>
      <sheetName val="BEP-BREADED"/>
      <sheetName val="BEP-COOKED"/>
      <sheetName val="BEP-SUSHI"/>
      <sheetName val="BEP-AMAE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E5">
            <v>1500</v>
          </cell>
        </row>
        <row r="6">
          <cell r="E6">
            <v>150</v>
          </cell>
        </row>
        <row r="7">
          <cell r="E7">
            <v>300</v>
          </cell>
        </row>
        <row r="11">
          <cell r="E11">
            <v>75</v>
          </cell>
        </row>
        <row r="12">
          <cell r="E12">
            <v>40</v>
          </cell>
        </row>
        <row r="13">
          <cell r="E13">
            <v>400</v>
          </cell>
        </row>
        <row r="14">
          <cell r="E14">
            <v>40</v>
          </cell>
        </row>
        <row r="16">
          <cell r="E16">
            <v>0.05</v>
          </cell>
        </row>
        <row r="17">
          <cell r="E17">
            <v>0.08</v>
          </cell>
        </row>
        <row r="18">
          <cell r="E18">
            <v>1.4999999999999999E-2</v>
          </cell>
        </row>
        <row r="20">
          <cell r="E20">
            <v>150000</v>
          </cell>
        </row>
        <row r="23">
          <cell r="E23">
            <v>0.1</v>
          </cell>
        </row>
        <row r="24">
          <cell r="E24">
            <v>0.2</v>
          </cell>
        </row>
        <row r="25">
          <cell r="E25">
            <v>0.05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สรุปรวมทั้งปี"/>
      <sheetName val="Summary"/>
      <sheetName val="ม_ค_ _2_"/>
      <sheetName val="ก_พ_ _2_"/>
      <sheetName val="ม___ค_ _2_"/>
      <sheetName val="เม_ย_ _2_"/>
      <sheetName val="พ_ค_ _2_"/>
      <sheetName val="ม__ย_ _2_"/>
      <sheetName val="ก_ค_ _2_"/>
      <sheetName val="ส_ค_ _2_"/>
      <sheetName val="ก_ย_ _2_"/>
      <sheetName val="ต_ค_ _2_"/>
      <sheetName val="พ_ย_ _2_"/>
      <sheetName val="ธ_ค_ _2_"/>
      <sheetName val="ม_ค___2_"/>
      <sheetName val="ก_พ___2_"/>
      <sheetName val="ม___ค___2_"/>
      <sheetName val="เม_ย___2_"/>
      <sheetName val="พ_ค___2_"/>
      <sheetName val="ม__ย___2_"/>
      <sheetName val="ก_ค___2_"/>
      <sheetName val="ส_ค___2_"/>
      <sheetName val="ก_ย___2_"/>
      <sheetName val="ต_ค___2_"/>
      <sheetName val="พ_ย___2_"/>
      <sheetName val="ธ_ค___2_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MONTH.line"/>
      <sheetName val="Detail"/>
      <sheetName val="PLY"/>
      <sheetName val="YTD.LINE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JE"/>
      <sheetName val="JUNE CASES"/>
      <sheetName val="COSI Sales Journal Summary.bysk"/>
    </sheetNames>
    <sheetDataSet>
      <sheetData sheetId="0" refreshError="1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ing rule"/>
      <sheetName val="Budget to PL"/>
      <sheetName val="List"/>
      <sheetName val="Balance sheet"/>
      <sheetName val="PL to BS"/>
      <sheetName val="Apend"/>
      <sheetName val="Sheet1"/>
    </sheetNames>
    <sheetDataSet>
      <sheetData sheetId="0"/>
      <sheetData sheetId="1"/>
      <sheetData sheetId="2">
        <row r="1">
          <cell r="A1" t="str">
            <v>Type</v>
          </cell>
        </row>
        <row r="2">
          <cell r="A2" t="str">
            <v>Payment</v>
          </cell>
        </row>
        <row r="3">
          <cell r="A3" t="str">
            <v>Contra</v>
          </cell>
        </row>
        <row r="4">
          <cell r="A4" t="str">
            <v xml:space="preserve">Parrent </v>
          </cell>
        </row>
        <row r="5">
          <cell r="A5" t="str">
            <v>Not activate</v>
          </cell>
        </row>
      </sheetData>
      <sheetData sheetId="3"/>
      <sheetData sheetId="4"/>
      <sheetData sheetId="5"/>
      <sheetData sheetId="6">
        <row r="1">
          <cell r="A1" t="str">
            <v>empcode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H 2"/>
      <sheetName val="เปรียบเทียบ "/>
      <sheetName val="ปลาเส้น 7กรัม"/>
      <sheetName val="Fisho Stick 3"/>
      <sheetName val="Fisho 40g"/>
      <sheetName val="Fisho 20g"/>
      <sheetName val="Maintenance MC Tun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selection activeCell="L8" sqref="L8"/>
    </sheetView>
  </sheetViews>
  <sheetFormatPr defaultColWidth="8.85546875" defaultRowHeight="15"/>
  <cols>
    <col min="2" max="2" width="10.140625" bestFit="1" customWidth="1"/>
    <col min="3" max="4" width="16.28515625" customWidth="1"/>
    <col min="5" max="5" width="2.42578125" customWidth="1"/>
    <col min="6" max="6" width="6.85546875" customWidth="1"/>
    <col min="7" max="7" width="9.140625" customWidth="1"/>
    <col min="8" max="8" width="15.28515625" customWidth="1"/>
    <col min="9" max="9" width="23.42578125" customWidth="1"/>
    <col min="10" max="10" width="9.140625" customWidth="1"/>
  </cols>
  <sheetData>
    <row r="1" spans="1:11" s="233" customFormat="1" ht="18.75" customHeight="1">
      <c r="A1" s="514"/>
      <c r="B1" s="517" t="s">
        <v>96</v>
      </c>
      <c r="C1" s="518"/>
      <c r="D1" s="518"/>
      <c r="E1" s="518"/>
      <c r="F1" s="518"/>
      <c r="G1" s="518"/>
      <c r="H1" s="519"/>
      <c r="I1" s="494" t="s">
        <v>516</v>
      </c>
      <c r="J1" s="495"/>
      <c r="K1" s="121"/>
    </row>
    <row r="2" spans="1:11" s="233" customFormat="1" ht="18.75" customHeight="1">
      <c r="A2" s="515"/>
      <c r="B2" s="520"/>
      <c r="C2" s="521"/>
      <c r="D2" s="521"/>
      <c r="E2" s="521"/>
      <c r="F2" s="521"/>
      <c r="G2" s="521"/>
      <c r="H2" s="522"/>
      <c r="I2" s="496"/>
      <c r="J2" s="497"/>
      <c r="K2" s="120"/>
    </row>
    <row r="3" spans="1:11" s="233" customFormat="1" ht="18.75" customHeight="1">
      <c r="A3" s="515"/>
      <c r="B3" s="225" t="s">
        <v>0</v>
      </c>
      <c r="C3" s="523" t="s">
        <v>97</v>
      </c>
      <c r="D3" s="524"/>
      <c r="E3" s="525" t="s">
        <v>98</v>
      </c>
      <c r="F3" s="526"/>
      <c r="G3" s="523" t="str">
        <f>B6</f>
        <v>ชื่อองค์กรที่ขอขึ้นทะเบียน</v>
      </c>
      <c r="H3" s="524"/>
      <c r="I3" s="226" t="s">
        <v>99</v>
      </c>
      <c r="J3" s="227">
        <v>1</v>
      </c>
      <c r="K3" s="122"/>
    </row>
    <row r="4" spans="1:11" s="233" customFormat="1" ht="18.75" customHeight="1">
      <c r="A4" s="516"/>
      <c r="B4" s="225" t="s">
        <v>1</v>
      </c>
      <c r="C4" s="523" t="s">
        <v>100</v>
      </c>
      <c r="D4" s="524"/>
      <c r="E4" s="525" t="s">
        <v>101</v>
      </c>
      <c r="F4" s="526"/>
      <c r="G4" s="523" t="s">
        <v>514</v>
      </c>
      <c r="H4" s="524"/>
      <c r="I4" s="226" t="s">
        <v>102</v>
      </c>
      <c r="J4" s="227"/>
      <c r="K4" s="122"/>
    </row>
    <row r="5" spans="1:11" ht="18.75" customHeight="1">
      <c r="A5" s="123"/>
      <c r="B5" s="194"/>
      <c r="C5" s="194"/>
      <c r="D5" s="194"/>
      <c r="E5" s="194"/>
      <c r="F5" s="194"/>
      <c r="G5" s="194"/>
      <c r="H5" s="194"/>
      <c r="I5" s="194"/>
      <c r="J5" s="124"/>
      <c r="K5" s="121"/>
    </row>
    <row r="6" spans="1:11">
      <c r="A6" s="125"/>
      <c r="B6" s="499" t="s">
        <v>103</v>
      </c>
      <c r="C6" s="500"/>
      <c r="D6" s="500"/>
      <c r="E6" s="500"/>
      <c r="F6" s="500"/>
      <c r="G6" s="500"/>
      <c r="H6" s="500"/>
      <c r="I6" s="501"/>
      <c r="J6" s="126"/>
      <c r="K6" s="120"/>
    </row>
    <row r="7" spans="1:11">
      <c r="A7" s="123"/>
      <c r="B7" s="194"/>
      <c r="C7" s="194"/>
      <c r="D7" s="194"/>
      <c r="E7" s="194"/>
      <c r="F7" s="194"/>
      <c r="G7" s="194"/>
      <c r="H7" s="194"/>
      <c r="I7" s="194"/>
      <c r="J7" s="124"/>
      <c r="K7" s="122"/>
    </row>
    <row r="8" spans="1:11" ht="12" customHeight="1">
      <c r="A8" s="477" t="s">
        <v>104</v>
      </c>
      <c r="B8" s="478"/>
      <c r="C8" s="478"/>
      <c r="D8" s="479"/>
      <c r="E8" s="459"/>
      <c r="F8" s="462" t="s">
        <v>105</v>
      </c>
      <c r="G8" s="463"/>
      <c r="H8" s="463"/>
      <c r="I8" s="463"/>
      <c r="J8" s="464"/>
      <c r="K8" s="122"/>
    </row>
    <row r="9" spans="1:11" ht="18" customHeight="1">
      <c r="A9" s="480"/>
      <c r="B9" s="481"/>
      <c r="C9" s="481"/>
      <c r="D9" s="482"/>
      <c r="E9" s="460"/>
      <c r="F9" s="508" t="s">
        <v>106</v>
      </c>
      <c r="G9" s="509"/>
      <c r="H9" s="502"/>
      <c r="I9" s="503"/>
      <c r="J9" s="504"/>
      <c r="K9" s="122"/>
    </row>
    <row r="10" spans="1:11" ht="18" customHeight="1">
      <c r="A10" s="480"/>
      <c r="B10" s="481"/>
      <c r="C10" s="481"/>
      <c r="D10" s="482"/>
      <c r="E10" s="460"/>
      <c r="F10" s="510"/>
      <c r="G10" s="511"/>
      <c r="H10" s="200"/>
      <c r="I10" s="201"/>
      <c r="J10" s="202"/>
      <c r="K10" s="122"/>
    </row>
    <row r="11" spans="1:11" ht="18" customHeight="1">
      <c r="A11" s="480"/>
      <c r="B11" s="481"/>
      <c r="C11" s="481"/>
      <c r="D11" s="482"/>
      <c r="E11" s="460"/>
      <c r="F11" s="510"/>
      <c r="G11" s="511"/>
      <c r="H11" s="200"/>
      <c r="I11" s="201"/>
      <c r="J11" s="202"/>
      <c r="K11" s="122"/>
    </row>
    <row r="12" spans="1:11" ht="18" customHeight="1">
      <c r="A12" s="480"/>
      <c r="B12" s="481"/>
      <c r="C12" s="481"/>
      <c r="D12" s="482"/>
      <c r="E12" s="460"/>
      <c r="F12" s="510"/>
      <c r="G12" s="511"/>
      <c r="H12" s="200"/>
      <c r="I12" s="201"/>
      <c r="J12" s="202"/>
      <c r="K12" s="122"/>
    </row>
    <row r="13" spans="1:11" ht="18" customHeight="1">
      <c r="A13" s="480"/>
      <c r="B13" s="481"/>
      <c r="C13" s="481"/>
      <c r="D13" s="482"/>
      <c r="E13" s="460"/>
      <c r="F13" s="510"/>
      <c r="G13" s="511"/>
      <c r="H13" s="200"/>
      <c r="I13" s="201"/>
      <c r="J13" s="202"/>
      <c r="K13" s="122"/>
    </row>
    <row r="14" spans="1:11" ht="18" customHeight="1">
      <c r="A14" s="480"/>
      <c r="B14" s="481"/>
      <c r="C14" s="481"/>
      <c r="D14" s="482"/>
      <c r="E14" s="460"/>
      <c r="F14" s="510"/>
      <c r="G14" s="511"/>
      <c r="H14" s="200"/>
      <c r="I14" s="201"/>
      <c r="J14" s="202"/>
      <c r="K14" s="122"/>
    </row>
    <row r="15" spans="1:11" ht="18" customHeight="1">
      <c r="A15" s="480"/>
      <c r="B15" s="481"/>
      <c r="C15" s="481"/>
      <c r="D15" s="482"/>
      <c r="E15" s="460"/>
      <c r="F15" s="510"/>
      <c r="G15" s="511"/>
      <c r="H15" s="200"/>
      <c r="I15" s="201"/>
      <c r="J15" s="202"/>
      <c r="K15" s="122"/>
    </row>
    <row r="16" spans="1:11" ht="18" customHeight="1">
      <c r="A16" s="480"/>
      <c r="B16" s="481"/>
      <c r="C16" s="481"/>
      <c r="D16" s="482"/>
      <c r="E16" s="460"/>
      <c r="F16" s="510"/>
      <c r="G16" s="511"/>
      <c r="H16" s="200"/>
      <c r="I16" s="201"/>
      <c r="J16" s="202"/>
      <c r="K16" s="122"/>
    </row>
    <row r="17" spans="1:11" ht="18" customHeight="1">
      <c r="A17" s="480"/>
      <c r="B17" s="481"/>
      <c r="C17" s="481"/>
      <c r="D17" s="482"/>
      <c r="E17" s="460"/>
      <c r="F17" s="512"/>
      <c r="G17" s="513"/>
      <c r="H17" s="200"/>
      <c r="I17" s="201"/>
      <c r="J17" s="202"/>
      <c r="K17" s="122"/>
    </row>
    <row r="18" spans="1:11" ht="17.25" customHeight="1">
      <c r="A18" s="480"/>
      <c r="B18" s="481"/>
      <c r="C18" s="481"/>
      <c r="D18" s="482"/>
      <c r="E18" s="460"/>
      <c r="F18" s="508" t="s">
        <v>107</v>
      </c>
      <c r="G18" s="509"/>
      <c r="H18" s="502"/>
      <c r="I18" s="503"/>
      <c r="J18" s="504"/>
      <c r="K18" s="122"/>
    </row>
    <row r="19" spans="1:11" ht="17.25" customHeight="1">
      <c r="A19" s="480"/>
      <c r="B19" s="481"/>
      <c r="C19" s="481"/>
      <c r="D19" s="482"/>
      <c r="E19" s="460"/>
      <c r="F19" s="510"/>
      <c r="G19" s="511"/>
      <c r="H19" s="200"/>
      <c r="I19" s="201"/>
      <c r="J19" s="202"/>
      <c r="K19" s="122"/>
    </row>
    <row r="20" spans="1:11" ht="17.25" customHeight="1">
      <c r="A20" s="480"/>
      <c r="B20" s="481"/>
      <c r="C20" s="481"/>
      <c r="D20" s="482"/>
      <c r="E20" s="460"/>
      <c r="F20" s="512"/>
      <c r="G20" s="513"/>
      <c r="H20" s="200"/>
      <c r="I20" s="201"/>
      <c r="J20" s="202"/>
      <c r="K20" s="122"/>
    </row>
    <row r="21" spans="1:11">
      <c r="A21" s="480"/>
      <c r="B21" s="481"/>
      <c r="C21" s="481"/>
      <c r="D21" s="482"/>
      <c r="E21" s="460"/>
      <c r="F21" s="498" t="s">
        <v>108</v>
      </c>
      <c r="G21" s="498"/>
      <c r="H21" s="502"/>
      <c r="I21" s="503"/>
      <c r="J21" s="504"/>
      <c r="K21" s="119"/>
    </row>
    <row r="22" spans="1:11">
      <c r="A22" s="480"/>
      <c r="B22" s="481"/>
      <c r="C22" s="481"/>
      <c r="D22" s="482"/>
      <c r="E22" s="460"/>
      <c r="F22" s="498" t="s">
        <v>109</v>
      </c>
      <c r="G22" s="498"/>
      <c r="H22" s="505" t="s">
        <v>207</v>
      </c>
      <c r="I22" s="506"/>
      <c r="J22" s="507"/>
      <c r="K22" s="119"/>
    </row>
    <row r="23" spans="1:11">
      <c r="A23" s="480"/>
      <c r="B23" s="481"/>
      <c r="C23" s="481"/>
      <c r="D23" s="482"/>
      <c r="E23" s="460"/>
      <c r="F23" s="462" t="s">
        <v>181</v>
      </c>
      <c r="G23" s="464"/>
      <c r="H23" s="489">
        <v>0</v>
      </c>
      <c r="I23" s="490"/>
      <c r="J23" s="195" t="s">
        <v>180</v>
      </c>
      <c r="K23" s="119"/>
    </row>
    <row r="24" spans="1:11">
      <c r="A24" s="480"/>
      <c r="B24" s="481"/>
      <c r="C24" s="481"/>
      <c r="D24" s="482"/>
      <c r="E24" s="460"/>
      <c r="F24" s="498" t="s">
        <v>205</v>
      </c>
      <c r="G24" s="498"/>
      <c r="H24" s="505" t="s">
        <v>212</v>
      </c>
      <c r="I24" s="506"/>
      <c r="J24" s="507"/>
      <c r="K24" s="119"/>
    </row>
    <row r="25" spans="1:11">
      <c r="A25" s="480"/>
      <c r="B25" s="481"/>
      <c r="C25" s="481"/>
      <c r="D25" s="482"/>
      <c r="E25" s="460"/>
      <c r="F25" s="462" t="s">
        <v>211</v>
      </c>
      <c r="G25" s="464"/>
      <c r="H25" s="489">
        <v>0</v>
      </c>
      <c r="I25" s="490"/>
      <c r="J25" s="195" t="str">
        <f>J23</f>
        <v>ระบุหน่วย</v>
      </c>
      <c r="K25" s="119"/>
    </row>
    <row r="26" spans="1:11">
      <c r="A26" s="480"/>
      <c r="B26" s="481"/>
      <c r="C26" s="481"/>
      <c r="D26" s="482"/>
      <c r="E26" s="461"/>
      <c r="F26" s="446" t="s">
        <v>110</v>
      </c>
      <c r="G26" s="447"/>
      <c r="H26" s="447"/>
      <c r="I26" s="447"/>
      <c r="J26" s="448"/>
      <c r="K26" s="119"/>
    </row>
    <row r="27" spans="1:11">
      <c r="A27" s="480"/>
      <c r="B27" s="481"/>
      <c r="C27" s="481"/>
      <c r="D27" s="482"/>
      <c r="E27" s="461"/>
      <c r="F27" s="127">
        <v>1</v>
      </c>
      <c r="G27" s="449"/>
      <c r="H27" s="450"/>
      <c r="I27" s="450"/>
      <c r="J27" s="451"/>
      <c r="K27" s="119"/>
    </row>
    <row r="28" spans="1:11">
      <c r="A28" s="480"/>
      <c r="B28" s="481"/>
      <c r="C28" s="481"/>
      <c r="D28" s="482"/>
      <c r="E28" s="461"/>
      <c r="F28" s="127">
        <v>2</v>
      </c>
      <c r="G28" s="452"/>
      <c r="H28" s="452"/>
      <c r="I28" s="453"/>
      <c r="J28" s="453"/>
      <c r="K28" s="120"/>
    </row>
    <row r="29" spans="1:11">
      <c r="A29" s="480"/>
      <c r="B29" s="481"/>
      <c r="C29" s="481"/>
      <c r="D29" s="482"/>
      <c r="E29" s="461"/>
      <c r="F29" s="127">
        <v>3</v>
      </c>
      <c r="G29" s="452"/>
      <c r="H29" s="452"/>
      <c r="I29" s="453"/>
      <c r="J29" s="453"/>
      <c r="K29" s="120"/>
    </row>
    <row r="30" spans="1:11">
      <c r="A30" s="480"/>
      <c r="B30" s="481"/>
      <c r="C30" s="481"/>
      <c r="D30" s="482"/>
      <c r="E30" s="461"/>
      <c r="F30" s="127">
        <v>4</v>
      </c>
      <c r="G30" s="452"/>
      <c r="H30" s="452"/>
      <c r="I30" s="453"/>
      <c r="J30" s="453"/>
      <c r="K30" s="119"/>
    </row>
    <row r="31" spans="1:11">
      <c r="A31" s="480"/>
      <c r="B31" s="481"/>
      <c r="C31" s="481"/>
      <c r="D31" s="482"/>
      <c r="E31" s="461"/>
      <c r="F31" s="127">
        <v>5</v>
      </c>
      <c r="G31" s="452"/>
      <c r="H31" s="452"/>
      <c r="I31" s="453"/>
      <c r="J31" s="453"/>
      <c r="K31" s="119"/>
    </row>
    <row r="32" spans="1:11">
      <c r="A32" s="480"/>
      <c r="B32" s="481"/>
      <c r="C32" s="481"/>
      <c r="D32" s="482"/>
      <c r="E32" s="461"/>
      <c r="F32" s="462" t="s">
        <v>111</v>
      </c>
      <c r="G32" s="493"/>
      <c r="H32" s="175"/>
      <c r="I32" s="491"/>
      <c r="J32" s="492"/>
      <c r="K32" s="122"/>
    </row>
    <row r="33" spans="1:11">
      <c r="A33" s="483"/>
      <c r="B33" s="484"/>
      <c r="C33" s="484"/>
      <c r="D33" s="485"/>
      <c r="E33" s="461"/>
      <c r="F33" s="462" t="s">
        <v>112</v>
      </c>
      <c r="G33" s="493"/>
      <c r="H33" s="175"/>
      <c r="I33" s="491"/>
      <c r="J33" s="492"/>
      <c r="K33" s="119"/>
    </row>
    <row r="34" spans="1:11">
      <c r="A34" s="456"/>
      <c r="B34" s="457"/>
      <c r="C34" s="457"/>
      <c r="D34" s="457"/>
      <c r="E34" s="457"/>
      <c r="F34" s="457"/>
      <c r="G34" s="457"/>
      <c r="H34" s="457"/>
      <c r="I34" s="457"/>
      <c r="J34" s="458"/>
      <c r="K34" s="119"/>
    </row>
    <row r="35" spans="1:11">
      <c r="A35" s="486" t="s">
        <v>113</v>
      </c>
      <c r="B35" s="487"/>
      <c r="C35" s="487"/>
      <c r="D35" s="488"/>
      <c r="E35" s="454"/>
      <c r="F35" s="486" t="s">
        <v>114</v>
      </c>
      <c r="G35" s="487"/>
      <c r="H35" s="487"/>
      <c r="I35" s="487"/>
      <c r="J35" s="488"/>
      <c r="K35" s="119"/>
    </row>
    <row r="36" spans="1:11">
      <c r="A36" s="465"/>
      <c r="B36" s="472"/>
      <c r="C36" s="472"/>
      <c r="D36" s="473"/>
      <c r="E36" s="454"/>
      <c r="F36" s="465"/>
      <c r="G36" s="466"/>
      <c r="H36" s="466"/>
      <c r="I36" s="466"/>
      <c r="J36" s="467"/>
      <c r="K36" s="119"/>
    </row>
    <row r="37" spans="1:11">
      <c r="A37" s="465"/>
      <c r="B37" s="472"/>
      <c r="C37" s="472"/>
      <c r="D37" s="473"/>
      <c r="E37" s="454"/>
      <c r="F37" s="468"/>
      <c r="G37" s="466"/>
      <c r="H37" s="466"/>
      <c r="I37" s="466"/>
      <c r="J37" s="467"/>
      <c r="K37" s="119"/>
    </row>
    <row r="38" spans="1:11">
      <c r="A38" s="465"/>
      <c r="B38" s="472"/>
      <c r="C38" s="472"/>
      <c r="D38" s="473"/>
      <c r="E38" s="454"/>
      <c r="F38" s="468"/>
      <c r="G38" s="466"/>
      <c r="H38" s="466"/>
      <c r="I38" s="466"/>
      <c r="J38" s="467"/>
      <c r="K38" s="119"/>
    </row>
    <row r="39" spans="1:11">
      <c r="A39" s="465"/>
      <c r="B39" s="472"/>
      <c r="C39" s="472"/>
      <c r="D39" s="473"/>
      <c r="E39" s="454"/>
      <c r="F39" s="468"/>
      <c r="G39" s="466"/>
      <c r="H39" s="466"/>
      <c r="I39" s="466"/>
      <c r="J39" s="467"/>
      <c r="K39" s="119"/>
    </row>
    <row r="40" spans="1:11">
      <c r="A40" s="465"/>
      <c r="B40" s="472"/>
      <c r="C40" s="472"/>
      <c r="D40" s="473"/>
      <c r="E40" s="454"/>
      <c r="F40" s="468"/>
      <c r="G40" s="466"/>
      <c r="H40" s="466"/>
      <c r="I40" s="466"/>
      <c r="J40" s="467"/>
      <c r="K40" s="119"/>
    </row>
    <row r="41" spans="1:11">
      <c r="A41" s="465"/>
      <c r="B41" s="472"/>
      <c r="C41" s="472"/>
      <c r="D41" s="473"/>
      <c r="E41" s="454"/>
      <c r="F41" s="468"/>
      <c r="G41" s="466"/>
      <c r="H41" s="466"/>
      <c r="I41" s="466"/>
      <c r="J41" s="467"/>
      <c r="K41" s="119"/>
    </row>
    <row r="42" spans="1:11">
      <c r="A42" s="465"/>
      <c r="B42" s="472"/>
      <c r="C42" s="472"/>
      <c r="D42" s="473"/>
      <c r="E42" s="454"/>
      <c r="F42" s="468"/>
      <c r="G42" s="466"/>
      <c r="H42" s="466"/>
      <c r="I42" s="466"/>
      <c r="J42" s="467"/>
      <c r="K42" s="119"/>
    </row>
    <row r="43" spans="1:11">
      <c r="A43" s="465"/>
      <c r="B43" s="472"/>
      <c r="C43" s="472"/>
      <c r="D43" s="473"/>
      <c r="E43" s="454"/>
      <c r="F43" s="468"/>
      <c r="G43" s="466"/>
      <c r="H43" s="466"/>
      <c r="I43" s="466"/>
      <c r="J43" s="467"/>
      <c r="K43" s="119"/>
    </row>
    <row r="44" spans="1:11">
      <c r="A44" s="465"/>
      <c r="B44" s="472"/>
      <c r="C44" s="472"/>
      <c r="D44" s="473"/>
      <c r="E44" s="454"/>
      <c r="F44" s="468"/>
      <c r="G44" s="466"/>
      <c r="H44" s="466"/>
      <c r="I44" s="466"/>
      <c r="J44" s="467"/>
      <c r="K44" s="119"/>
    </row>
    <row r="45" spans="1:11">
      <c r="A45" s="465"/>
      <c r="B45" s="472"/>
      <c r="C45" s="472"/>
      <c r="D45" s="473"/>
      <c r="E45" s="454"/>
      <c r="F45" s="468"/>
      <c r="G45" s="466"/>
      <c r="H45" s="466"/>
      <c r="I45" s="466"/>
      <c r="J45" s="467"/>
      <c r="K45" s="119"/>
    </row>
    <row r="46" spans="1:11">
      <c r="A46" s="465"/>
      <c r="B46" s="472"/>
      <c r="C46" s="472"/>
      <c r="D46" s="473"/>
      <c r="E46" s="454"/>
      <c r="F46" s="468"/>
      <c r="G46" s="466"/>
      <c r="H46" s="466"/>
      <c r="I46" s="466"/>
      <c r="J46" s="467"/>
      <c r="K46" s="119"/>
    </row>
    <row r="47" spans="1:11">
      <c r="A47" s="465"/>
      <c r="B47" s="472"/>
      <c r="C47" s="472"/>
      <c r="D47" s="473"/>
      <c r="E47" s="454"/>
      <c r="F47" s="468"/>
      <c r="G47" s="466"/>
      <c r="H47" s="466"/>
      <c r="I47" s="466"/>
      <c r="J47" s="467"/>
      <c r="K47" s="119"/>
    </row>
    <row r="48" spans="1:11" ht="9.75" customHeight="1">
      <c r="A48" s="465"/>
      <c r="B48" s="472"/>
      <c r="C48" s="472"/>
      <c r="D48" s="473"/>
      <c r="E48" s="454"/>
      <c r="F48" s="468"/>
      <c r="G48" s="466"/>
      <c r="H48" s="466"/>
      <c r="I48" s="466"/>
      <c r="J48" s="467"/>
      <c r="K48" s="120"/>
    </row>
    <row r="49" spans="1:11">
      <c r="A49" s="465"/>
      <c r="B49" s="472"/>
      <c r="C49" s="472"/>
      <c r="D49" s="473"/>
      <c r="E49" s="454"/>
      <c r="F49" s="468"/>
      <c r="G49" s="466"/>
      <c r="H49" s="466"/>
      <c r="I49" s="466"/>
      <c r="J49" s="467"/>
      <c r="K49" s="119"/>
    </row>
    <row r="50" spans="1:11" ht="8.25" customHeight="1">
      <c r="A50" s="474"/>
      <c r="B50" s="475"/>
      <c r="C50" s="475"/>
      <c r="D50" s="476"/>
      <c r="E50" s="455"/>
      <c r="F50" s="469"/>
      <c r="G50" s="470"/>
      <c r="H50" s="470"/>
      <c r="I50" s="470"/>
      <c r="J50" s="471"/>
      <c r="K50" s="119"/>
    </row>
    <row r="51" spans="1:1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19"/>
    </row>
    <row r="52" spans="1:1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19"/>
    </row>
    <row r="53" spans="1:1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19"/>
    </row>
    <row r="54" spans="1:1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19"/>
    </row>
    <row r="55" spans="1:1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19"/>
    </row>
    <row r="56" spans="1:1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19"/>
    </row>
    <row r="57" spans="1:1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19"/>
    </row>
    <row r="58" spans="1:1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19"/>
    </row>
    <row r="59" spans="1:1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19"/>
    </row>
    <row r="60" spans="1:1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19"/>
    </row>
    <row r="61" spans="1:11">
      <c r="A61" s="120"/>
      <c r="B61" s="120"/>
      <c r="C61" s="120"/>
      <c r="D61" s="120"/>
      <c r="E61" s="120"/>
      <c r="F61" s="120"/>
      <c r="G61" s="120"/>
      <c r="H61" s="120"/>
      <c r="I61" s="120"/>
      <c r="J61" s="120"/>
    </row>
    <row r="62" spans="1:11">
      <c r="A62" s="120"/>
      <c r="B62" s="120"/>
      <c r="C62" s="120"/>
      <c r="D62" s="120"/>
      <c r="E62" s="120"/>
      <c r="F62" s="120"/>
      <c r="G62" s="120"/>
      <c r="H62" s="120"/>
      <c r="I62" s="120"/>
      <c r="J62" s="120"/>
    </row>
  </sheetData>
  <mergeCells count="43">
    <mergeCell ref="F24:G24"/>
    <mergeCell ref="H24:J24"/>
    <mergeCell ref="F25:G25"/>
    <mergeCell ref="A1:A4"/>
    <mergeCell ref="B1:H2"/>
    <mergeCell ref="C3:D3"/>
    <mergeCell ref="G3:H3"/>
    <mergeCell ref="C4:D4"/>
    <mergeCell ref="G4:H4"/>
    <mergeCell ref="E3:F3"/>
    <mergeCell ref="E4:F4"/>
    <mergeCell ref="I32:J32"/>
    <mergeCell ref="I33:J33"/>
    <mergeCell ref="F33:G33"/>
    <mergeCell ref="I1:J2"/>
    <mergeCell ref="F21:G21"/>
    <mergeCell ref="F22:G22"/>
    <mergeCell ref="B6:I6"/>
    <mergeCell ref="F32:G32"/>
    <mergeCell ref="F23:G23"/>
    <mergeCell ref="H23:I23"/>
    <mergeCell ref="H9:J9"/>
    <mergeCell ref="H18:J18"/>
    <mergeCell ref="H21:J21"/>
    <mergeCell ref="H22:J22"/>
    <mergeCell ref="F18:G20"/>
    <mergeCell ref="F9:G17"/>
    <mergeCell ref="F26:J26"/>
    <mergeCell ref="G27:J27"/>
    <mergeCell ref="G28:J28"/>
    <mergeCell ref="E35:E50"/>
    <mergeCell ref="A34:J34"/>
    <mergeCell ref="E8:E33"/>
    <mergeCell ref="F8:J8"/>
    <mergeCell ref="F36:J50"/>
    <mergeCell ref="A36:D50"/>
    <mergeCell ref="A8:D33"/>
    <mergeCell ref="G29:J29"/>
    <mergeCell ref="G30:J30"/>
    <mergeCell ref="G31:J31"/>
    <mergeCell ref="A35:D35"/>
    <mergeCell ref="H25:I25"/>
    <mergeCell ref="F35:J3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selection activeCell="P5" sqref="P5"/>
    </sheetView>
  </sheetViews>
  <sheetFormatPr defaultColWidth="8.85546875" defaultRowHeight="15"/>
  <sheetData>
    <row r="1" spans="1:15" s="104" customFormat="1" ht="18.75" customHeight="1">
      <c r="A1" s="527"/>
      <c r="B1" s="539" t="s">
        <v>115</v>
      </c>
      <c r="C1" s="540"/>
      <c r="D1" s="540"/>
      <c r="E1" s="540"/>
      <c r="F1" s="540"/>
      <c r="G1" s="540"/>
      <c r="H1" s="540"/>
      <c r="I1" s="540"/>
      <c r="J1" s="540"/>
      <c r="K1" s="541"/>
      <c r="L1" s="494" t="s">
        <v>516</v>
      </c>
      <c r="M1" s="495"/>
    </row>
    <row r="2" spans="1:15" s="103" customFormat="1" ht="18.75" customHeight="1">
      <c r="A2" s="528"/>
      <c r="B2" s="542"/>
      <c r="C2" s="543"/>
      <c r="D2" s="543"/>
      <c r="E2" s="543"/>
      <c r="F2" s="543"/>
      <c r="G2" s="543"/>
      <c r="H2" s="543"/>
      <c r="I2" s="543"/>
      <c r="J2" s="543"/>
      <c r="K2" s="544"/>
      <c r="L2" s="496"/>
      <c r="M2" s="497"/>
      <c r="N2" s="104"/>
      <c r="O2" s="104"/>
    </row>
    <row r="3" spans="1:15" s="103" customFormat="1" ht="18.75" customHeight="1">
      <c r="A3" s="528"/>
      <c r="B3" s="251" t="s">
        <v>0</v>
      </c>
      <c r="C3" s="523" t="s">
        <v>97</v>
      </c>
      <c r="D3" s="524"/>
      <c r="E3" s="545"/>
      <c r="F3" s="252" t="s">
        <v>98</v>
      </c>
      <c r="G3" s="523" t="str">
        <f>'Fr-01'!$B$6</f>
        <v>ชื่อองค์กรที่ขอขึ้นทะเบียน</v>
      </c>
      <c r="H3" s="524"/>
      <c r="I3" s="545"/>
      <c r="J3" s="546"/>
      <c r="K3" s="547"/>
      <c r="L3" s="253" t="s">
        <v>99</v>
      </c>
      <c r="M3" s="254">
        <v>2</v>
      </c>
      <c r="N3" s="104"/>
      <c r="O3" s="104"/>
    </row>
    <row r="4" spans="1:15" s="89" customFormat="1" ht="18.75" customHeight="1">
      <c r="A4" s="529"/>
      <c r="B4" s="251" t="s">
        <v>1</v>
      </c>
      <c r="C4" s="523" t="s">
        <v>116</v>
      </c>
      <c r="D4" s="524"/>
      <c r="E4" s="545"/>
      <c r="F4" s="252" t="s">
        <v>101</v>
      </c>
      <c r="G4" s="523" t="str">
        <f>'Fr-01'!$G$4</f>
        <v>ชื่อผู้จัดทำ</v>
      </c>
      <c r="H4" s="524"/>
      <c r="I4" s="545"/>
      <c r="J4" s="546"/>
      <c r="K4" s="547"/>
      <c r="L4" s="253" t="s">
        <v>117</v>
      </c>
      <c r="M4" s="254"/>
    </row>
    <row r="5" spans="1:15" s="89" customFormat="1" ht="18.75" customHeigh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5">
      <c r="A6" s="530"/>
      <c r="B6" s="531"/>
      <c r="C6" s="531"/>
      <c r="D6" s="531"/>
      <c r="E6" s="531"/>
      <c r="F6" s="531"/>
      <c r="G6" s="531"/>
      <c r="H6" s="531"/>
      <c r="I6" s="531"/>
      <c r="J6" s="531"/>
      <c r="K6" s="531"/>
      <c r="L6" s="531"/>
      <c r="M6" s="532"/>
    </row>
    <row r="7" spans="1:15">
      <c r="A7" s="533"/>
      <c r="B7" s="534"/>
      <c r="C7" s="534"/>
      <c r="D7" s="534"/>
      <c r="E7" s="534"/>
      <c r="F7" s="534"/>
      <c r="G7" s="534"/>
      <c r="H7" s="534"/>
      <c r="I7" s="534"/>
      <c r="J7" s="534"/>
      <c r="K7" s="534"/>
      <c r="L7" s="534"/>
      <c r="M7" s="535"/>
    </row>
    <row r="8" spans="1:15">
      <c r="A8" s="533"/>
      <c r="B8" s="534"/>
      <c r="C8" s="534"/>
      <c r="D8" s="534"/>
      <c r="E8" s="534"/>
      <c r="F8" s="534"/>
      <c r="G8" s="534"/>
      <c r="H8" s="534"/>
      <c r="I8" s="534"/>
      <c r="J8" s="534"/>
      <c r="K8" s="534"/>
      <c r="L8" s="534"/>
      <c r="M8" s="535"/>
    </row>
    <row r="9" spans="1:15">
      <c r="A9" s="533"/>
      <c r="B9" s="534"/>
      <c r="C9" s="534"/>
      <c r="D9" s="534"/>
      <c r="E9" s="534"/>
      <c r="F9" s="534"/>
      <c r="G9" s="534"/>
      <c r="H9" s="534"/>
      <c r="I9" s="534"/>
      <c r="J9" s="534"/>
      <c r="K9" s="534"/>
      <c r="L9" s="534"/>
      <c r="M9" s="535"/>
    </row>
    <row r="10" spans="1:15">
      <c r="A10" s="533"/>
      <c r="B10" s="534"/>
      <c r="C10" s="534"/>
      <c r="D10" s="534"/>
      <c r="E10" s="534"/>
      <c r="F10" s="534"/>
      <c r="G10" s="534"/>
      <c r="H10" s="534"/>
      <c r="I10" s="534"/>
      <c r="J10" s="534"/>
      <c r="K10" s="534"/>
      <c r="L10" s="534"/>
      <c r="M10" s="535"/>
    </row>
    <row r="11" spans="1:15">
      <c r="A11" s="533"/>
      <c r="B11" s="534"/>
      <c r="C11" s="534"/>
      <c r="D11" s="534"/>
      <c r="E11" s="534"/>
      <c r="F11" s="534"/>
      <c r="G11" s="534"/>
      <c r="H11" s="534"/>
      <c r="I11" s="534"/>
      <c r="J11" s="534"/>
      <c r="K11" s="534"/>
      <c r="L11" s="534"/>
      <c r="M11" s="535"/>
    </row>
    <row r="12" spans="1:15">
      <c r="A12" s="533"/>
      <c r="B12" s="534"/>
      <c r="C12" s="534"/>
      <c r="D12" s="534"/>
      <c r="E12" s="534"/>
      <c r="F12" s="534"/>
      <c r="G12" s="534"/>
      <c r="H12" s="534"/>
      <c r="I12" s="534"/>
      <c r="J12" s="534"/>
      <c r="K12" s="534"/>
      <c r="L12" s="534"/>
      <c r="M12" s="535"/>
    </row>
    <row r="13" spans="1:15">
      <c r="A13" s="533"/>
      <c r="B13" s="534"/>
      <c r="C13" s="534"/>
      <c r="D13" s="534"/>
      <c r="E13" s="534"/>
      <c r="F13" s="534"/>
      <c r="G13" s="534"/>
      <c r="H13" s="534"/>
      <c r="I13" s="534"/>
      <c r="J13" s="534"/>
      <c r="K13" s="534"/>
      <c r="L13" s="534"/>
      <c r="M13" s="535"/>
    </row>
    <row r="14" spans="1:15">
      <c r="A14" s="533"/>
      <c r="B14" s="534"/>
      <c r="C14" s="534"/>
      <c r="D14" s="534"/>
      <c r="E14" s="534"/>
      <c r="F14" s="534"/>
      <c r="G14" s="534"/>
      <c r="H14" s="534"/>
      <c r="I14" s="534"/>
      <c r="J14" s="534"/>
      <c r="K14" s="534"/>
      <c r="L14" s="534"/>
      <c r="M14" s="535"/>
    </row>
    <row r="15" spans="1:15">
      <c r="A15" s="533"/>
      <c r="B15" s="534"/>
      <c r="C15" s="534"/>
      <c r="D15" s="534"/>
      <c r="E15" s="534"/>
      <c r="F15" s="534"/>
      <c r="G15" s="534"/>
      <c r="H15" s="534"/>
      <c r="I15" s="534"/>
      <c r="J15" s="534"/>
      <c r="K15" s="534"/>
      <c r="L15" s="534"/>
      <c r="M15" s="535"/>
    </row>
    <row r="16" spans="1:15">
      <c r="A16" s="533"/>
      <c r="B16" s="534"/>
      <c r="C16" s="534"/>
      <c r="D16" s="534"/>
      <c r="E16" s="534"/>
      <c r="F16" s="534"/>
      <c r="G16" s="534"/>
      <c r="H16" s="534"/>
      <c r="I16" s="534"/>
      <c r="J16" s="534"/>
      <c r="K16" s="534"/>
      <c r="L16" s="534"/>
      <c r="M16" s="535"/>
    </row>
    <row r="17" spans="1:13">
      <c r="A17" s="533"/>
      <c r="B17" s="534"/>
      <c r="C17" s="534"/>
      <c r="D17" s="534"/>
      <c r="E17" s="534"/>
      <c r="F17" s="534"/>
      <c r="G17" s="534"/>
      <c r="H17" s="534"/>
      <c r="I17" s="534"/>
      <c r="J17" s="534"/>
      <c r="K17" s="534"/>
      <c r="L17" s="534"/>
      <c r="M17" s="535"/>
    </row>
    <row r="18" spans="1:13">
      <c r="A18" s="533"/>
      <c r="B18" s="534"/>
      <c r="C18" s="534"/>
      <c r="D18" s="534"/>
      <c r="E18" s="534"/>
      <c r="F18" s="534"/>
      <c r="G18" s="534"/>
      <c r="H18" s="534"/>
      <c r="I18" s="534"/>
      <c r="J18" s="534"/>
      <c r="K18" s="534"/>
      <c r="L18" s="534"/>
      <c r="M18" s="535"/>
    </row>
    <row r="19" spans="1:13">
      <c r="A19" s="533"/>
      <c r="B19" s="534"/>
      <c r="C19" s="534"/>
      <c r="D19" s="534"/>
      <c r="E19" s="534"/>
      <c r="F19" s="534"/>
      <c r="G19" s="534"/>
      <c r="H19" s="534"/>
      <c r="I19" s="534"/>
      <c r="J19" s="534"/>
      <c r="K19" s="534"/>
      <c r="L19" s="534"/>
      <c r="M19" s="535"/>
    </row>
    <row r="20" spans="1:13">
      <c r="A20" s="533"/>
      <c r="B20" s="534"/>
      <c r="C20" s="534"/>
      <c r="D20" s="534"/>
      <c r="E20" s="534"/>
      <c r="F20" s="534"/>
      <c r="G20" s="534"/>
      <c r="H20" s="534"/>
      <c r="I20" s="534"/>
      <c r="J20" s="534"/>
      <c r="K20" s="534"/>
      <c r="L20" s="534"/>
      <c r="M20" s="535"/>
    </row>
    <row r="21" spans="1:13">
      <c r="A21" s="533"/>
      <c r="B21" s="534"/>
      <c r="C21" s="534"/>
      <c r="D21" s="534"/>
      <c r="E21" s="534"/>
      <c r="F21" s="534"/>
      <c r="G21" s="534"/>
      <c r="H21" s="534"/>
      <c r="I21" s="534"/>
      <c r="J21" s="534"/>
      <c r="K21" s="534"/>
      <c r="L21" s="534"/>
      <c r="M21" s="535"/>
    </row>
    <row r="22" spans="1:13">
      <c r="A22" s="533"/>
      <c r="B22" s="534"/>
      <c r="C22" s="534"/>
      <c r="D22" s="534"/>
      <c r="E22" s="534"/>
      <c r="F22" s="534"/>
      <c r="G22" s="534"/>
      <c r="H22" s="534"/>
      <c r="I22" s="534"/>
      <c r="J22" s="534"/>
      <c r="K22" s="534"/>
      <c r="L22" s="534"/>
      <c r="M22" s="535"/>
    </row>
    <row r="23" spans="1:13">
      <c r="A23" s="533"/>
      <c r="B23" s="534"/>
      <c r="C23" s="534"/>
      <c r="D23" s="534"/>
      <c r="E23" s="534"/>
      <c r="F23" s="534"/>
      <c r="G23" s="534"/>
      <c r="H23" s="534"/>
      <c r="I23" s="534"/>
      <c r="J23" s="534"/>
      <c r="K23" s="534"/>
      <c r="L23" s="534"/>
      <c r="M23" s="535"/>
    </row>
    <row r="24" spans="1:13">
      <c r="A24" s="533"/>
      <c r="B24" s="534"/>
      <c r="C24" s="534"/>
      <c r="D24" s="534"/>
      <c r="E24" s="534"/>
      <c r="F24" s="534"/>
      <c r="G24" s="534"/>
      <c r="H24" s="534"/>
      <c r="I24" s="534"/>
      <c r="J24" s="534"/>
      <c r="K24" s="534"/>
      <c r="L24" s="534"/>
      <c r="M24" s="535"/>
    </row>
    <row r="25" spans="1:13">
      <c r="A25" s="533"/>
      <c r="B25" s="534"/>
      <c r="C25" s="534"/>
      <c r="D25" s="534"/>
      <c r="E25" s="534"/>
      <c r="F25" s="534"/>
      <c r="G25" s="534"/>
      <c r="H25" s="534"/>
      <c r="I25" s="534"/>
      <c r="J25" s="534"/>
      <c r="K25" s="534"/>
      <c r="L25" s="534"/>
      <c r="M25" s="535"/>
    </row>
    <row r="26" spans="1:13">
      <c r="A26" s="536"/>
      <c r="B26" s="537"/>
      <c r="C26" s="537"/>
      <c r="D26" s="537"/>
      <c r="E26" s="537"/>
      <c r="F26" s="537"/>
      <c r="G26" s="537"/>
      <c r="H26" s="537"/>
      <c r="I26" s="537"/>
      <c r="J26" s="537"/>
      <c r="K26" s="537"/>
      <c r="L26" s="537"/>
      <c r="M26" s="538"/>
    </row>
  </sheetData>
  <mergeCells count="10">
    <mergeCell ref="A1:A4"/>
    <mergeCell ref="A6:M26"/>
    <mergeCell ref="B1:K2"/>
    <mergeCell ref="L1:M2"/>
    <mergeCell ref="C3:E3"/>
    <mergeCell ref="C4:E4"/>
    <mergeCell ref="G3:I3"/>
    <mergeCell ref="J3:K3"/>
    <mergeCell ref="G4:I4"/>
    <mergeCell ref="J4:K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workbookViewId="0">
      <selection activeCell="O5" sqref="O5"/>
    </sheetView>
  </sheetViews>
  <sheetFormatPr defaultColWidth="11" defaultRowHeight="12.75"/>
  <cols>
    <col min="1" max="9" width="10.140625" style="89" customWidth="1"/>
    <col min="10" max="256" width="11" style="89"/>
    <col min="257" max="265" width="10.140625" style="89" customWidth="1"/>
    <col min="266" max="512" width="11" style="89"/>
    <col min="513" max="521" width="10.140625" style="89" customWidth="1"/>
    <col min="522" max="768" width="11" style="89"/>
    <col min="769" max="777" width="10.140625" style="89" customWidth="1"/>
    <col min="778" max="1024" width="11" style="89"/>
    <col min="1025" max="1033" width="10.140625" style="89" customWidth="1"/>
    <col min="1034" max="1280" width="11" style="89"/>
    <col min="1281" max="1289" width="10.140625" style="89" customWidth="1"/>
    <col min="1290" max="1536" width="11" style="89"/>
    <col min="1537" max="1545" width="10.140625" style="89" customWidth="1"/>
    <col min="1546" max="1792" width="11" style="89"/>
    <col min="1793" max="1801" width="10.140625" style="89" customWidth="1"/>
    <col min="1802" max="2048" width="11" style="89"/>
    <col min="2049" max="2057" width="10.140625" style="89" customWidth="1"/>
    <col min="2058" max="2304" width="11" style="89"/>
    <col min="2305" max="2313" width="10.140625" style="89" customWidth="1"/>
    <col min="2314" max="2560" width="11" style="89"/>
    <col min="2561" max="2569" width="10.140625" style="89" customWidth="1"/>
    <col min="2570" max="2816" width="11" style="89"/>
    <col min="2817" max="2825" width="10.140625" style="89" customWidth="1"/>
    <col min="2826" max="3072" width="11" style="89"/>
    <col min="3073" max="3081" width="10.140625" style="89" customWidth="1"/>
    <col min="3082" max="3328" width="11" style="89"/>
    <col min="3329" max="3337" width="10.140625" style="89" customWidth="1"/>
    <col min="3338" max="3584" width="11" style="89"/>
    <col min="3585" max="3593" width="10.140625" style="89" customWidth="1"/>
    <col min="3594" max="3840" width="11" style="89"/>
    <col min="3841" max="3849" width="10.140625" style="89" customWidth="1"/>
    <col min="3850" max="4096" width="11" style="89"/>
    <col min="4097" max="4105" width="10.140625" style="89" customWidth="1"/>
    <col min="4106" max="4352" width="11" style="89"/>
    <col min="4353" max="4361" width="10.140625" style="89" customWidth="1"/>
    <col min="4362" max="4608" width="11" style="89"/>
    <col min="4609" max="4617" width="10.140625" style="89" customWidth="1"/>
    <col min="4618" max="4864" width="11" style="89"/>
    <col min="4865" max="4873" width="10.140625" style="89" customWidth="1"/>
    <col min="4874" max="5120" width="11" style="89"/>
    <col min="5121" max="5129" width="10.140625" style="89" customWidth="1"/>
    <col min="5130" max="5376" width="11" style="89"/>
    <col min="5377" max="5385" width="10.140625" style="89" customWidth="1"/>
    <col min="5386" max="5632" width="11" style="89"/>
    <col min="5633" max="5641" width="10.140625" style="89" customWidth="1"/>
    <col min="5642" max="5888" width="11" style="89"/>
    <col min="5889" max="5897" width="10.140625" style="89" customWidth="1"/>
    <col min="5898" max="6144" width="11" style="89"/>
    <col min="6145" max="6153" width="10.140625" style="89" customWidth="1"/>
    <col min="6154" max="6400" width="11" style="89"/>
    <col min="6401" max="6409" width="10.140625" style="89" customWidth="1"/>
    <col min="6410" max="6656" width="11" style="89"/>
    <col min="6657" max="6665" width="10.140625" style="89" customWidth="1"/>
    <col min="6666" max="6912" width="11" style="89"/>
    <col min="6913" max="6921" width="10.140625" style="89" customWidth="1"/>
    <col min="6922" max="7168" width="11" style="89"/>
    <col min="7169" max="7177" width="10.140625" style="89" customWidth="1"/>
    <col min="7178" max="7424" width="11" style="89"/>
    <col min="7425" max="7433" width="10.140625" style="89" customWidth="1"/>
    <col min="7434" max="7680" width="11" style="89"/>
    <col min="7681" max="7689" width="10.140625" style="89" customWidth="1"/>
    <col min="7690" max="7936" width="11" style="89"/>
    <col min="7937" max="7945" width="10.140625" style="89" customWidth="1"/>
    <col min="7946" max="8192" width="11" style="89"/>
    <col min="8193" max="8201" width="10.140625" style="89" customWidth="1"/>
    <col min="8202" max="8448" width="11" style="89"/>
    <col min="8449" max="8457" width="10.140625" style="89" customWidth="1"/>
    <col min="8458" max="8704" width="11" style="89"/>
    <col min="8705" max="8713" width="10.140625" style="89" customWidth="1"/>
    <col min="8714" max="8960" width="11" style="89"/>
    <col min="8961" max="8969" width="10.140625" style="89" customWidth="1"/>
    <col min="8970" max="9216" width="11" style="89"/>
    <col min="9217" max="9225" width="10.140625" style="89" customWidth="1"/>
    <col min="9226" max="9472" width="11" style="89"/>
    <col min="9473" max="9481" width="10.140625" style="89" customWidth="1"/>
    <col min="9482" max="9728" width="11" style="89"/>
    <col min="9729" max="9737" width="10.140625" style="89" customWidth="1"/>
    <col min="9738" max="9984" width="11" style="89"/>
    <col min="9985" max="9993" width="10.140625" style="89" customWidth="1"/>
    <col min="9994" max="10240" width="11" style="89"/>
    <col min="10241" max="10249" width="10.140625" style="89" customWidth="1"/>
    <col min="10250" max="10496" width="11" style="89"/>
    <col min="10497" max="10505" width="10.140625" style="89" customWidth="1"/>
    <col min="10506" max="10752" width="11" style="89"/>
    <col min="10753" max="10761" width="10.140625" style="89" customWidth="1"/>
    <col min="10762" max="11008" width="11" style="89"/>
    <col min="11009" max="11017" width="10.140625" style="89" customWidth="1"/>
    <col min="11018" max="11264" width="11" style="89"/>
    <col min="11265" max="11273" width="10.140625" style="89" customWidth="1"/>
    <col min="11274" max="11520" width="11" style="89"/>
    <col min="11521" max="11529" width="10.140625" style="89" customWidth="1"/>
    <col min="11530" max="11776" width="11" style="89"/>
    <col min="11777" max="11785" width="10.140625" style="89" customWidth="1"/>
    <col min="11786" max="12032" width="11" style="89"/>
    <col min="12033" max="12041" width="10.140625" style="89" customWidth="1"/>
    <col min="12042" max="12288" width="11" style="89"/>
    <col min="12289" max="12297" width="10.140625" style="89" customWidth="1"/>
    <col min="12298" max="12544" width="11" style="89"/>
    <col min="12545" max="12553" width="10.140625" style="89" customWidth="1"/>
    <col min="12554" max="12800" width="11" style="89"/>
    <col min="12801" max="12809" width="10.140625" style="89" customWidth="1"/>
    <col min="12810" max="13056" width="11" style="89"/>
    <col min="13057" max="13065" width="10.140625" style="89" customWidth="1"/>
    <col min="13066" max="13312" width="11" style="89"/>
    <col min="13313" max="13321" width="10.140625" style="89" customWidth="1"/>
    <col min="13322" max="13568" width="11" style="89"/>
    <col min="13569" max="13577" width="10.140625" style="89" customWidth="1"/>
    <col min="13578" max="13824" width="11" style="89"/>
    <col min="13825" max="13833" width="10.140625" style="89" customWidth="1"/>
    <col min="13834" max="14080" width="11" style="89"/>
    <col min="14081" max="14089" width="10.140625" style="89" customWidth="1"/>
    <col min="14090" max="14336" width="11" style="89"/>
    <col min="14337" max="14345" width="10.140625" style="89" customWidth="1"/>
    <col min="14346" max="14592" width="11" style="89"/>
    <col min="14593" max="14601" width="10.140625" style="89" customWidth="1"/>
    <col min="14602" max="14848" width="11" style="89"/>
    <col min="14849" max="14857" width="10.140625" style="89" customWidth="1"/>
    <col min="14858" max="15104" width="11" style="89"/>
    <col min="15105" max="15113" width="10.140625" style="89" customWidth="1"/>
    <col min="15114" max="15360" width="11" style="89"/>
    <col min="15361" max="15369" width="10.140625" style="89" customWidth="1"/>
    <col min="15370" max="15616" width="11" style="89"/>
    <col min="15617" max="15625" width="10.140625" style="89" customWidth="1"/>
    <col min="15626" max="15872" width="11" style="89"/>
    <col min="15873" max="15881" width="10.140625" style="89" customWidth="1"/>
    <col min="15882" max="16128" width="11" style="89"/>
    <col min="16129" max="16137" width="10.140625" style="89" customWidth="1"/>
    <col min="16138" max="16384" width="11" style="89"/>
  </cols>
  <sheetData>
    <row r="1" spans="1:15" s="104" customFormat="1" ht="18.75" customHeight="1">
      <c r="A1" s="575"/>
      <c r="B1" s="566" t="s">
        <v>37</v>
      </c>
      <c r="C1" s="567"/>
      <c r="D1" s="567"/>
      <c r="E1" s="567"/>
      <c r="F1" s="567"/>
      <c r="G1" s="567"/>
      <c r="H1" s="567"/>
      <c r="I1" s="567"/>
      <c r="J1" s="567"/>
      <c r="K1" s="568"/>
      <c r="L1" s="494" t="s">
        <v>516</v>
      </c>
      <c r="M1" s="495"/>
    </row>
    <row r="2" spans="1:15" s="103" customFormat="1" ht="18.75" customHeight="1">
      <c r="A2" s="576"/>
      <c r="B2" s="569"/>
      <c r="C2" s="570"/>
      <c r="D2" s="570"/>
      <c r="E2" s="570"/>
      <c r="F2" s="570"/>
      <c r="G2" s="570"/>
      <c r="H2" s="570"/>
      <c r="I2" s="570"/>
      <c r="J2" s="570"/>
      <c r="K2" s="571"/>
      <c r="L2" s="496"/>
      <c r="M2" s="497"/>
      <c r="N2" s="104"/>
      <c r="O2" s="104"/>
    </row>
    <row r="3" spans="1:15" s="103" customFormat="1" ht="18.75" customHeight="1">
      <c r="A3" s="576"/>
      <c r="B3" s="255" t="s">
        <v>0</v>
      </c>
      <c r="C3" s="523" t="s">
        <v>97</v>
      </c>
      <c r="D3" s="524"/>
      <c r="E3" s="545"/>
      <c r="F3" s="256" t="s">
        <v>98</v>
      </c>
      <c r="G3" s="572" t="str">
        <f>'Fr-01'!$B$6</f>
        <v>ชื่อองค์กรที่ขอขึ้นทะเบียน</v>
      </c>
      <c r="H3" s="573"/>
      <c r="I3" s="573"/>
      <c r="J3" s="573"/>
      <c r="K3" s="574"/>
      <c r="L3" s="255" t="s">
        <v>99</v>
      </c>
      <c r="M3" s="257">
        <v>3</v>
      </c>
      <c r="N3" s="104"/>
      <c r="O3" s="104"/>
    </row>
    <row r="4" spans="1:15" ht="18.75" customHeight="1">
      <c r="A4" s="577"/>
      <c r="B4" s="255" t="s">
        <v>1</v>
      </c>
      <c r="C4" s="523" t="s">
        <v>259</v>
      </c>
      <c r="D4" s="524"/>
      <c r="E4" s="545"/>
      <c r="F4" s="256" t="s">
        <v>101</v>
      </c>
      <c r="G4" s="572" t="str">
        <f>'Fr-01'!$G$4</f>
        <v>ชื่อผู้จัดทำ</v>
      </c>
      <c r="H4" s="573"/>
      <c r="I4" s="573"/>
      <c r="J4" s="573"/>
      <c r="K4" s="574"/>
      <c r="L4" s="255" t="s">
        <v>117</v>
      </c>
      <c r="M4" s="257"/>
    </row>
    <row r="5" spans="1:15" ht="18.75" customHeigh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5"/>
    </row>
    <row r="6" spans="1:15" ht="12" customHeight="1">
      <c r="A6" s="554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6"/>
    </row>
    <row r="7" spans="1:15" ht="12.75" customHeight="1">
      <c r="A7" s="557"/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8"/>
    </row>
    <row r="8" spans="1:15" ht="12.75" customHeight="1">
      <c r="A8" s="559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60"/>
    </row>
    <row r="9" spans="1:15" ht="12.75" customHeight="1">
      <c r="A9" s="559"/>
      <c r="B9" s="559"/>
      <c r="C9" s="559"/>
      <c r="D9" s="559"/>
      <c r="E9" s="559"/>
      <c r="F9" s="559"/>
      <c r="G9" s="559"/>
      <c r="H9" s="559"/>
      <c r="I9" s="559"/>
      <c r="J9" s="559"/>
      <c r="K9" s="559"/>
      <c r="L9" s="559"/>
      <c r="M9" s="560"/>
    </row>
    <row r="10" spans="1:15" ht="12.75" customHeight="1">
      <c r="A10" s="559"/>
      <c r="B10" s="559"/>
      <c r="C10" s="559"/>
      <c r="D10" s="559"/>
      <c r="E10" s="559"/>
      <c r="F10" s="559"/>
      <c r="G10" s="559"/>
      <c r="H10" s="559"/>
      <c r="I10" s="559"/>
      <c r="J10" s="559"/>
      <c r="K10" s="559"/>
      <c r="L10" s="559"/>
      <c r="M10" s="560"/>
    </row>
    <row r="11" spans="1:15" ht="12.75" customHeight="1">
      <c r="A11" s="559"/>
      <c r="B11" s="559"/>
      <c r="C11" s="559"/>
      <c r="D11" s="559"/>
      <c r="E11" s="559"/>
      <c r="F11" s="559"/>
      <c r="G11" s="559"/>
      <c r="H11" s="559"/>
      <c r="I11" s="559"/>
      <c r="J11" s="559"/>
      <c r="K11" s="559"/>
      <c r="L11" s="559"/>
      <c r="M11" s="560"/>
    </row>
    <row r="12" spans="1:15" ht="12.75" customHeight="1">
      <c r="A12" s="559"/>
      <c r="B12" s="559"/>
      <c r="C12" s="559"/>
      <c r="D12" s="559"/>
      <c r="E12" s="559"/>
      <c r="F12" s="559"/>
      <c r="G12" s="559"/>
      <c r="H12" s="559"/>
      <c r="I12" s="559"/>
      <c r="J12" s="559"/>
      <c r="K12" s="559"/>
      <c r="L12" s="559"/>
      <c r="M12" s="560"/>
    </row>
    <row r="13" spans="1:15" ht="12.75" customHeight="1">
      <c r="A13" s="559"/>
      <c r="B13" s="559"/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60"/>
    </row>
    <row r="14" spans="1:15" ht="12.75" customHeight="1">
      <c r="A14" s="559"/>
      <c r="B14" s="559"/>
      <c r="C14" s="559"/>
      <c r="D14" s="559"/>
      <c r="E14" s="559"/>
      <c r="F14" s="559"/>
      <c r="G14" s="559"/>
      <c r="H14" s="559"/>
      <c r="I14" s="559"/>
      <c r="J14" s="559"/>
      <c r="K14" s="559"/>
      <c r="L14" s="559"/>
      <c r="M14" s="560"/>
    </row>
    <row r="15" spans="1:15" ht="12.75" customHeight="1">
      <c r="A15" s="559"/>
      <c r="B15" s="559"/>
      <c r="C15" s="559"/>
      <c r="D15" s="559"/>
      <c r="E15" s="559"/>
      <c r="F15" s="559"/>
      <c r="G15" s="559"/>
      <c r="H15" s="559"/>
      <c r="I15" s="559"/>
      <c r="J15" s="559"/>
      <c r="K15" s="559"/>
      <c r="L15" s="559"/>
      <c r="M15" s="560"/>
    </row>
    <row r="16" spans="1:15" ht="12.75" customHeight="1">
      <c r="A16" s="559"/>
      <c r="B16" s="559"/>
      <c r="C16" s="559"/>
      <c r="D16" s="559"/>
      <c r="E16" s="559"/>
      <c r="F16" s="559"/>
      <c r="G16" s="559"/>
      <c r="H16" s="559"/>
      <c r="I16" s="559"/>
      <c r="J16" s="559"/>
      <c r="K16" s="559"/>
      <c r="L16" s="559"/>
      <c r="M16" s="560"/>
    </row>
    <row r="17" spans="1:13" ht="12.75" customHeight="1">
      <c r="A17" s="559"/>
      <c r="B17" s="559"/>
      <c r="C17" s="559"/>
      <c r="D17" s="559"/>
      <c r="E17" s="559"/>
      <c r="F17" s="559"/>
      <c r="G17" s="559"/>
      <c r="H17" s="559"/>
      <c r="I17" s="559"/>
      <c r="J17" s="559"/>
      <c r="K17" s="559"/>
      <c r="L17" s="559"/>
      <c r="M17" s="560"/>
    </row>
    <row r="18" spans="1:13" ht="12.75" customHeight="1">
      <c r="A18" s="559"/>
      <c r="B18" s="559"/>
      <c r="C18" s="559"/>
      <c r="D18" s="559"/>
      <c r="E18" s="559"/>
      <c r="F18" s="559"/>
      <c r="G18" s="559"/>
      <c r="H18" s="559"/>
      <c r="I18" s="559"/>
      <c r="J18" s="559"/>
      <c r="K18" s="559"/>
      <c r="L18" s="559"/>
      <c r="M18" s="560"/>
    </row>
    <row r="19" spans="1:13" ht="12.75" customHeight="1">
      <c r="A19" s="559"/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60"/>
    </row>
    <row r="20" spans="1:13" ht="12.75" customHeight="1">
      <c r="A20" s="559"/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60"/>
    </row>
    <row r="21" spans="1:13" ht="12.75" customHeight="1">
      <c r="A21" s="559"/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60"/>
    </row>
    <row r="22" spans="1:13" ht="12.75" customHeight="1">
      <c r="A22" s="559"/>
      <c r="B22" s="559"/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</row>
    <row r="23" spans="1:13" ht="12.75" customHeight="1">
      <c r="A23" s="559"/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60"/>
    </row>
    <row r="24" spans="1:13" ht="12.75" customHeight="1">
      <c r="A24" s="559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60"/>
    </row>
    <row r="25" spans="1:13" ht="12.75" customHeight="1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2"/>
    </row>
    <row r="26" spans="1:13" ht="13.5" customHeight="1">
      <c r="A26" s="95" t="s">
        <v>35</v>
      </c>
      <c r="B26" s="548" t="str">
        <f>'Fr-01'!G4</f>
        <v>ชื่อผู้จัดทำ</v>
      </c>
      <c r="C26" s="549"/>
      <c r="D26" s="549"/>
      <c r="E26" s="549"/>
      <c r="F26" s="549"/>
      <c r="G26" s="549"/>
      <c r="H26" s="549"/>
      <c r="I26" s="550"/>
      <c r="J26" s="95" t="s">
        <v>36</v>
      </c>
      <c r="K26" s="551">
        <v>0</v>
      </c>
      <c r="L26" s="552"/>
      <c r="M26" s="553"/>
    </row>
    <row r="27" spans="1:13" s="102" customFormat="1" ht="21.7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30" spans="1:13" ht="18.75" customHeight="1"/>
  </sheetData>
  <mergeCells count="12">
    <mergeCell ref="B1:K2"/>
    <mergeCell ref="G3:K3"/>
    <mergeCell ref="G4:K4"/>
    <mergeCell ref="L1:M2"/>
    <mergeCell ref="A1:A4"/>
    <mergeCell ref="C3:E3"/>
    <mergeCell ref="C4:E4"/>
    <mergeCell ref="B26:I26"/>
    <mergeCell ref="K26:M26"/>
    <mergeCell ref="A6:M6"/>
    <mergeCell ref="A7:M25"/>
    <mergeCell ref="A5:M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orkbookViewId="0">
      <selection activeCell="Q7" sqref="Q7"/>
    </sheetView>
  </sheetViews>
  <sheetFormatPr defaultColWidth="11" defaultRowHeight="12.75"/>
  <cols>
    <col min="1" max="1" width="10.140625" style="89" customWidth="1"/>
    <col min="2" max="2" width="39.7109375" style="89" customWidth="1"/>
    <col min="3" max="3" width="11.28515625" style="89" customWidth="1"/>
    <col min="4" max="4" width="11.140625" style="89" customWidth="1"/>
    <col min="5" max="5" width="12.28515625" style="89" bestFit="1" customWidth="1"/>
    <col min="6" max="6" width="5" style="89" customWidth="1"/>
    <col min="7" max="7" width="8.28515625" style="89" customWidth="1"/>
    <col min="8" max="8" width="2.85546875" style="89" bestFit="1" customWidth="1"/>
    <col min="9" max="9" width="4.7109375" style="89" customWidth="1"/>
    <col min="10" max="11" width="2.85546875" style="89" bestFit="1" customWidth="1"/>
    <col min="12" max="12" width="3.42578125" style="89" customWidth="1"/>
    <col min="13" max="13" width="6.7109375" style="89" customWidth="1"/>
    <col min="14" max="14" width="12.85546875" style="89" bestFit="1" customWidth="1"/>
    <col min="15" max="18" width="11" style="89"/>
    <col min="19" max="19" width="13.7109375" style="89" bestFit="1" customWidth="1"/>
    <col min="20" max="244" width="11" style="89"/>
    <col min="245" max="253" width="10.140625" style="89" customWidth="1"/>
    <col min="254" max="500" width="11" style="89"/>
    <col min="501" max="509" width="10.140625" style="89" customWidth="1"/>
    <col min="510" max="756" width="11" style="89"/>
    <col min="757" max="765" width="10.140625" style="89" customWidth="1"/>
    <col min="766" max="1012" width="11" style="89"/>
    <col min="1013" max="1021" width="10.140625" style="89" customWidth="1"/>
    <col min="1022" max="1268" width="11" style="89"/>
    <col min="1269" max="1277" width="10.140625" style="89" customWidth="1"/>
    <col min="1278" max="1524" width="11" style="89"/>
    <col min="1525" max="1533" width="10.140625" style="89" customWidth="1"/>
    <col min="1534" max="1780" width="11" style="89"/>
    <col min="1781" max="1789" width="10.140625" style="89" customWidth="1"/>
    <col min="1790" max="2036" width="11" style="89"/>
    <col min="2037" max="2045" width="10.140625" style="89" customWidth="1"/>
    <col min="2046" max="2292" width="11" style="89"/>
    <col min="2293" max="2301" width="10.140625" style="89" customWidth="1"/>
    <col min="2302" max="2548" width="11" style="89"/>
    <col min="2549" max="2557" width="10.140625" style="89" customWidth="1"/>
    <col min="2558" max="2804" width="11" style="89"/>
    <col min="2805" max="2813" width="10.140625" style="89" customWidth="1"/>
    <col min="2814" max="3060" width="11" style="89"/>
    <col min="3061" max="3069" width="10.140625" style="89" customWidth="1"/>
    <col min="3070" max="3316" width="11" style="89"/>
    <col min="3317" max="3325" width="10.140625" style="89" customWidth="1"/>
    <col min="3326" max="3572" width="11" style="89"/>
    <col min="3573" max="3581" width="10.140625" style="89" customWidth="1"/>
    <col min="3582" max="3828" width="11" style="89"/>
    <col min="3829" max="3837" width="10.140625" style="89" customWidth="1"/>
    <col min="3838" max="4084" width="11" style="89"/>
    <col min="4085" max="4093" width="10.140625" style="89" customWidth="1"/>
    <col min="4094" max="4340" width="11" style="89"/>
    <col min="4341" max="4349" width="10.140625" style="89" customWidth="1"/>
    <col min="4350" max="4596" width="11" style="89"/>
    <col min="4597" max="4605" width="10.140625" style="89" customWidth="1"/>
    <col min="4606" max="4852" width="11" style="89"/>
    <col min="4853" max="4861" width="10.140625" style="89" customWidth="1"/>
    <col min="4862" max="5108" width="11" style="89"/>
    <col min="5109" max="5117" width="10.140625" style="89" customWidth="1"/>
    <col min="5118" max="5364" width="11" style="89"/>
    <col min="5365" max="5373" width="10.140625" style="89" customWidth="1"/>
    <col min="5374" max="5620" width="11" style="89"/>
    <col min="5621" max="5629" width="10.140625" style="89" customWidth="1"/>
    <col min="5630" max="5876" width="11" style="89"/>
    <col min="5877" max="5885" width="10.140625" style="89" customWidth="1"/>
    <col min="5886" max="6132" width="11" style="89"/>
    <col min="6133" max="6141" width="10.140625" style="89" customWidth="1"/>
    <col min="6142" max="6388" width="11" style="89"/>
    <col min="6389" max="6397" width="10.140625" style="89" customWidth="1"/>
    <col min="6398" max="6644" width="11" style="89"/>
    <col min="6645" max="6653" width="10.140625" style="89" customWidth="1"/>
    <col min="6654" max="6900" width="11" style="89"/>
    <col min="6901" max="6909" width="10.140625" style="89" customWidth="1"/>
    <col min="6910" max="7156" width="11" style="89"/>
    <col min="7157" max="7165" width="10.140625" style="89" customWidth="1"/>
    <col min="7166" max="7412" width="11" style="89"/>
    <col min="7413" max="7421" width="10.140625" style="89" customWidth="1"/>
    <col min="7422" max="7668" width="11" style="89"/>
    <col min="7669" max="7677" width="10.140625" style="89" customWidth="1"/>
    <col min="7678" max="7924" width="11" style="89"/>
    <col min="7925" max="7933" width="10.140625" style="89" customWidth="1"/>
    <col min="7934" max="8180" width="11" style="89"/>
    <col min="8181" max="8189" width="10.140625" style="89" customWidth="1"/>
    <col min="8190" max="8436" width="11" style="89"/>
    <col min="8437" max="8445" width="10.140625" style="89" customWidth="1"/>
    <col min="8446" max="8692" width="11" style="89"/>
    <col min="8693" max="8701" width="10.140625" style="89" customWidth="1"/>
    <col min="8702" max="8948" width="11" style="89"/>
    <col min="8949" max="8957" width="10.140625" style="89" customWidth="1"/>
    <col min="8958" max="9204" width="11" style="89"/>
    <col min="9205" max="9213" width="10.140625" style="89" customWidth="1"/>
    <col min="9214" max="9460" width="11" style="89"/>
    <col min="9461" max="9469" width="10.140625" style="89" customWidth="1"/>
    <col min="9470" max="9716" width="11" style="89"/>
    <col min="9717" max="9725" width="10.140625" style="89" customWidth="1"/>
    <col min="9726" max="9972" width="11" style="89"/>
    <col min="9973" max="9981" width="10.140625" style="89" customWidth="1"/>
    <col min="9982" max="10228" width="11" style="89"/>
    <col min="10229" max="10237" width="10.140625" style="89" customWidth="1"/>
    <col min="10238" max="10484" width="11" style="89"/>
    <col min="10485" max="10493" width="10.140625" style="89" customWidth="1"/>
    <col min="10494" max="10740" width="11" style="89"/>
    <col min="10741" max="10749" width="10.140625" style="89" customWidth="1"/>
    <col min="10750" max="10996" width="11" style="89"/>
    <col min="10997" max="11005" width="10.140625" style="89" customWidth="1"/>
    <col min="11006" max="11252" width="11" style="89"/>
    <col min="11253" max="11261" width="10.140625" style="89" customWidth="1"/>
    <col min="11262" max="11508" width="11" style="89"/>
    <col min="11509" max="11517" width="10.140625" style="89" customWidth="1"/>
    <col min="11518" max="11764" width="11" style="89"/>
    <col min="11765" max="11773" width="10.140625" style="89" customWidth="1"/>
    <col min="11774" max="12020" width="11" style="89"/>
    <col min="12021" max="12029" width="10.140625" style="89" customWidth="1"/>
    <col min="12030" max="12276" width="11" style="89"/>
    <col min="12277" max="12285" width="10.140625" style="89" customWidth="1"/>
    <col min="12286" max="12532" width="11" style="89"/>
    <col min="12533" max="12541" width="10.140625" style="89" customWidth="1"/>
    <col min="12542" max="12788" width="11" style="89"/>
    <col min="12789" max="12797" width="10.140625" style="89" customWidth="1"/>
    <col min="12798" max="13044" width="11" style="89"/>
    <col min="13045" max="13053" width="10.140625" style="89" customWidth="1"/>
    <col min="13054" max="13300" width="11" style="89"/>
    <col min="13301" max="13309" width="10.140625" style="89" customWidth="1"/>
    <col min="13310" max="13556" width="11" style="89"/>
    <col min="13557" max="13565" width="10.140625" style="89" customWidth="1"/>
    <col min="13566" max="13812" width="11" style="89"/>
    <col min="13813" max="13821" width="10.140625" style="89" customWidth="1"/>
    <col min="13822" max="14068" width="11" style="89"/>
    <col min="14069" max="14077" width="10.140625" style="89" customWidth="1"/>
    <col min="14078" max="14324" width="11" style="89"/>
    <col min="14325" max="14333" width="10.140625" style="89" customWidth="1"/>
    <col min="14334" max="14580" width="11" style="89"/>
    <col min="14581" max="14589" width="10.140625" style="89" customWidth="1"/>
    <col min="14590" max="14836" width="11" style="89"/>
    <col min="14837" max="14845" width="10.140625" style="89" customWidth="1"/>
    <col min="14846" max="15092" width="11" style="89"/>
    <col min="15093" max="15101" width="10.140625" style="89" customWidth="1"/>
    <col min="15102" max="15348" width="11" style="89"/>
    <col min="15349" max="15357" width="10.140625" style="89" customWidth="1"/>
    <col min="15358" max="15604" width="11" style="89"/>
    <col min="15605" max="15613" width="10.140625" style="89" customWidth="1"/>
    <col min="15614" max="15860" width="11" style="89"/>
    <col min="15861" max="15869" width="10.140625" style="89" customWidth="1"/>
    <col min="15870" max="16116" width="11" style="89"/>
    <col min="16117" max="16125" width="10.140625" style="89" customWidth="1"/>
    <col min="16126" max="16384" width="11" style="89"/>
  </cols>
  <sheetData>
    <row r="1" spans="1:16" s="104" customFormat="1">
      <c r="A1" s="575"/>
      <c r="B1" s="597" t="s">
        <v>216</v>
      </c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8" t="s">
        <v>516</v>
      </c>
      <c r="P1" s="495"/>
    </row>
    <row r="2" spans="1:16" s="103" customFormat="1">
      <c r="A2" s="576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9"/>
      <c r="P2" s="497"/>
    </row>
    <row r="3" spans="1:16" s="103" customFormat="1">
      <c r="A3" s="576"/>
      <c r="B3" s="255" t="s">
        <v>0</v>
      </c>
      <c r="C3" s="600" t="s">
        <v>272</v>
      </c>
      <c r="D3" s="600"/>
      <c r="E3" s="256" t="s">
        <v>98</v>
      </c>
      <c r="F3" s="601" t="str">
        <f>'Fr-01'!G3</f>
        <v>ชื่อองค์กรที่ขอขึ้นทะเบียน</v>
      </c>
      <c r="G3" s="601"/>
      <c r="H3" s="601"/>
      <c r="I3" s="601"/>
      <c r="J3" s="601"/>
      <c r="K3" s="601"/>
      <c r="L3" s="601"/>
      <c r="M3" s="601"/>
      <c r="N3" s="601"/>
      <c r="O3" s="255" t="s">
        <v>99</v>
      </c>
      <c r="P3" s="257">
        <v>3</v>
      </c>
    </row>
    <row r="4" spans="1:16">
      <c r="A4" s="577"/>
      <c r="B4" s="255" t="s">
        <v>1</v>
      </c>
      <c r="C4" s="601" t="s">
        <v>258</v>
      </c>
      <c r="D4" s="601"/>
      <c r="E4" s="256" t="s">
        <v>101</v>
      </c>
      <c r="F4" s="601" t="str">
        <f>'Fr-01'!G4</f>
        <v>ชื่อผู้จัดทำ</v>
      </c>
      <c r="G4" s="601"/>
      <c r="H4" s="601"/>
      <c r="I4" s="601"/>
      <c r="J4" s="601"/>
      <c r="K4" s="601"/>
      <c r="L4" s="601"/>
      <c r="M4" s="601"/>
      <c r="N4" s="601"/>
      <c r="O4" s="255" t="s">
        <v>117</v>
      </c>
      <c r="P4" s="257"/>
    </row>
    <row r="5" spans="1:16">
      <c r="A5" s="602"/>
      <c r="B5" s="603"/>
      <c r="C5" s="603"/>
      <c r="D5" s="603"/>
      <c r="E5" s="603"/>
      <c r="F5" s="603"/>
      <c r="G5" s="603"/>
      <c r="H5" s="603"/>
      <c r="I5" s="603"/>
      <c r="J5" s="603"/>
      <c r="K5" s="603"/>
      <c r="L5" s="603"/>
      <c r="M5" s="603"/>
      <c r="N5" s="603"/>
      <c r="O5" s="603"/>
      <c r="P5" s="604"/>
    </row>
    <row r="6" spans="1:16">
      <c r="A6" s="258" t="s">
        <v>217</v>
      </c>
      <c r="B6" s="605" t="s">
        <v>218</v>
      </c>
      <c r="C6" s="605"/>
      <c r="D6" s="605"/>
      <c r="E6" s="605"/>
      <c r="F6" s="605"/>
      <c r="G6" s="605"/>
      <c r="H6" s="605"/>
      <c r="I6" s="605"/>
      <c r="J6" s="605"/>
      <c r="K6" s="605"/>
      <c r="L6" s="605"/>
      <c r="M6" s="605"/>
      <c r="N6" s="605"/>
      <c r="O6" s="605"/>
      <c r="P6" s="606"/>
    </row>
    <row r="7" spans="1:16">
      <c r="A7" s="584"/>
      <c r="B7" s="607"/>
      <c r="C7" s="607"/>
      <c r="D7" s="607"/>
      <c r="E7" s="607"/>
      <c r="F7" s="607"/>
      <c r="G7" s="607"/>
      <c r="H7" s="607"/>
      <c r="I7" s="607"/>
      <c r="J7" s="607"/>
      <c r="K7" s="607"/>
      <c r="L7" s="607"/>
      <c r="M7" s="607"/>
      <c r="N7" s="607"/>
      <c r="O7" s="607"/>
      <c r="P7" s="585"/>
    </row>
    <row r="8" spans="1:16">
      <c r="A8" s="608" t="s">
        <v>219</v>
      </c>
      <c r="B8" s="608"/>
      <c r="C8" s="608" t="s">
        <v>217</v>
      </c>
      <c r="D8" s="608"/>
      <c r="E8" s="608"/>
      <c r="F8" s="608"/>
      <c r="G8" s="608"/>
      <c r="H8" s="608"/>
      <c r="I8" s="608"/>
      <c r="J8" s="608"/>
      <c r="K8" s="608"/>
      <c r="L8" s="608"/>
      <c r="M8" s="608"/>
      <c r="N8" s="608"/>
      <c r="O8" s="608"/>
      <c r="P8" s="608"/>
    </row>
    <row r="9" spans="1:16" ht="51" customHeight="1">
      <c r="A9" s="591" t="s">
        <v>220</v>
      </c>
      <c r="B9" s="591"/>
      <c r="C9" s="592" t="s">
        <v>221</v>
      </c>
      <c r="D9" s="592"/>
      <c r="E9" s="592"/>
      <c r="F9" s="592"/>
      <c r="G9" s="592"/>
      <c r="H9" s="592"/>
      <c r="I9" s="592"/>
      <c r="J9" s="592"/>
      <c r="K9" s="592"/>
      <c r="L9" s="592"/>
      <c r="M9" s="592"/>
      <c r="N9" s="592"/>
      <c r="O9" s="592"/>
      <c r="P9" s="592"/>
    </row>
    <row r="10" spans="1:16" ht="51" customHeight="1">
      <c r="A10" s="591" t="s">
        <v>222</v>
      </c>
      <c r="B10" s="591"/>
      <c r="C10" s="592" t="s">
        <v>223</v>
      </c>
      <c r="D10" s="592"/>
      <c r="E10" s="592"/>
      <c r="F10" s="592"/>
      <c r="G10" s="592"/>
      <c r="H10" s="592"/>
      <c r="I10" s="592"/>
      <c r="J10" s="592"/>
      <c r="K10" s="592"/>
      <c r="L10" s="592"/>
      <c r="M10" s="592"/>
      <c r="N10" s="592"/>
      <c r="O10" s="592"/>
      <c r="P10" s="592"/>
    </row>
    <row r="11" spans="1:16" ht="51" customHeight="1">
      <c r="A11" s="593" t="s">
        <v>224</v>
      </c>
      <c r="B11" s="593"/>
      <c r="C11" s="594" t="s">
        <v>225</v>
      </c>
      <c r="D11" s="595"/>
      <c r="E11" s="595"/>
      <c r="F11" s="595"/>
      <c r="G11" s="595"/>
      <c r="H11" s="595"/>
      <c r="I11" s="595"/>
      <c r="J11" s="595"/>
      <c r="K11" s="595"/>
      <c r="L11" s="595"/>
      <c r="M11" s="595"/>
      <c r="N11" s="595"/>
      <c r="O11" s="595"/>
      <c r="P11" s="596"/>
    </row>
    <row r="12" spans="1:16" ht="51" customHeight="1">
      <c r="A12" s="593" t="s">
        <v>226</v>
      </c>
      <c r="B12" s="593"/>
      <c r="C12" s="594" t="s">
        <v>227</v>
      </c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595"/>
      <c r="O12" s="595"/>
      <c r="P12" s="596"/>
    </row>
    <row r="13" spans="1:16" ht="51" customHeight="1">
      <c r="A13" s="591" t="s">
        <v>228</v>
      </c>
      <c r="B13" s="591"/>
      <c r="C13" s="592" t="s">
        <v>229</v>
      </c>
      <c r="D13" s="592"/>
      <c r="E13" s="592"/>
      <c r="F13" s="592"/>
      <c r="G13" s="592"/>
      <c r="H13" s="592"/>
      <c r="I13" s="592"/>
      <c r="J13" s="592"/>
      <c r="K13" s="592"/>
      <c r="L13" s="592"/>
      <c r="M13" s="592"/>
      <c r="N13" s="592"/>
      <c r="O13" s="592"/>
      <c r="P13" s="592"/>
    </row>
    <row r="14" spans="1:16" ht="51" customHeight="1">
      <c r="A14" s="591" t="s">
        <v>230</v>
      </c>
      <c r="B14" s="591"/>
      <c r="C14" s="592" t="s">
        <v>231</v>
      </c>
      <c r="D14" s="592"/>
      <c r="E14" s="592"/>
      <c r="F14" s="592"/>
      <c r="G14" s="592"/>
      <c r="H14" s="592"/>
      <c r="I14" s="592"/>
      <c r="J14" s="592"/>
      <c r="K14" s="592"/>
      <c r="L14" s="592"/>
      <c r="M14" s="592"/>
      <c r="N14" s="592"/>
      <c r="O14" s="592"/>
      <c r="P14" s="592"/>
    </row>
    <row r="15" spans="1:16" ht="51" customHeight="1">
      <c r="A15" s="591" t="s">
        <v>232</v>
      </c>
      <c r="B15" s="591"/>
      <c r="C15" s="592" t="s">
        <v>233</v>
      </c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592"/>
      <c r="O15" s="592"/>
      <c r="P15" s="592"/>
    </row>
    <row r="16" spans="1:16">
      <c r="A16" s="259" t="s">
        <v>234</v>
      </c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15"/>
      <c r="O16" s="215"/>
      <c r="P16" s="216"/>
    </row>
    <row r="17" spans="1:16">
      <c r="A17" s="217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6"/>
    </row>
    <row r="18" spans="1:16" ht="63.75">
      <c r="A18" s="261" t="s">
        <v>235</v>
      </c>
      <c r="B18" s="262" t="s">
        <v>236</v>
      </c>
      <c r="C18" s="263" t="s">
        <v>220</v>
      </c>
      <c r="D18" s="264" t="s">
        <v>237</v>
      </c>
      <c r="E18" s="264" t="s">
        <v>238</v>
      </c>
      <c r="F18" s="586" t="s">
        <v>239</v>
      </c>
      <c r="G18" s="586"/>
      <c r="H18" s="587" t="s">
        <v>228</v>
      </c>
      <c r="I18" s="588"/>
      <c r="J18" s="589"/>
      <c r="K18" s="590" t="s">
        <v>230</v>
      </c>
      <c r="L18" s="590"/>
      <c r="M18" s="590"/>
      <c r="N18" s="265" t="s">
        <v>232</v>
      </c>
      <c r="O18" s="586" t="s">
        <v>240</v>
      </c>
      <c r="P18" s="586"/>
    </row>
    <row r="19" spans="1:16">
      <c r="A19" s="266">
        <v>1</v>
      </c>
      <c r="B19" s="267" t="s">
        <v>241</v>
      </c>
      <c r="C19" s="268" t="s">
        <v>242</v>
      </c>
      <c r="D19" s="269"/>
      <c r="E19" s="269"/>
      <c r="F19" s="578"/>
      <c r="G19" s="578"/>
      <c r="H19" s="579"/>
      <c r="I19" s="580"/>
      <c r="J19" s="581"/>
      <c r="K19" s="582"/>
      <c r="L19" s="582"/>
      <c r="M19" s="582"/>
      <c r="N19" s="270"/>
      <c r="O19" s="584"/>
      <c r="P19" s="585"/>
    </row>
    <row r="20" spans="1:16">
      <c r="A20" s="266">
        <v>2</v>
      </c>
      <c r="B20" s="267" t="s">
        <v>243</v>
      </c>
      <c r="C20" s="268" t="s">
        <v>242</v>
      </c>
      <c r="D20" s="271"/>
      <c r="E20" s="271"/>
      <c r="F20" s="578"/>
      <c r="G20" s="578"/>
      <c r="H20" s="579"/>
      <c r="I20" s="580"/>
      <c r="J20" s="581"/>
      <c r="K20" s="582"/>
      <c r="L20" s="582"/>
      <c r="M20" s="582"/>
      <c r="N20" s="270"/>
      <c r="O20" s="584"/>
      <c r="P20" s="585"/>
    </row>
    <row r="21" spans="1:16">
      <c r="A21" s="266">
        <v>3</v>
      </c>
      <c r="B21" s="267" t="s">
        <v>244</v>
      </c>
      <c r="C21" s="268" t="s">
        <v>242</v>
      </c>
      <c r="D21" s="271"/>
      <c r="E21" s="271"/>
      <c r="F21" s="578"/>
      <c r="G21" s="578"/>
      <c r="H21" s="579"/>
      <c r="I21" s="580"/>
      <c r="J21" s="581"/>
      <c r="K21" s="582"/>
      <c r="L21" s="582"/>
      <c r="M21" s="582"/>
      <c r="N21" s="270"/>
      <c r="O21" s="584"/>
      <c r="P21" s="585"/>
    </row>
    <row r="22" spans="1:16">
      <c r="A22" s="266">
        <v>4</v>
      </c>
      <c r="B22" s="267" t="s">
        <v>245</v>
      </c>
      <c r="C22" s="268" t="s">
        <v>242</v>
      </c>
      <c r="D22" s="271"/>
      <c r="E22" s="271"/>
      <c r="F22" s="578"/>
      <c r="G22" s="578"/>
      <c r="H22" s="579"/>
      <c r="I22" s="580"/>
      <c r="J22" s="581"/>
      <c r="K22" s="582"/>
      <c r="L22" s="582"/>
      <c r="M22" s="582"/>
      <c r="N22" s="270"/>
      <c r="O22" s="584"/>
      <c r="P22" s="585"/>
    </row>
    <row r="23" spans="1:16">
      <c r="A23" s="266">
        <v>5</v>
      </c>
      <c r="B23" s="267" t="s">
        <v>246</v>
      </c>
      <c r="C23" s="268" t="s">
        <v>242</v>
      </c>
      <c r="D23" s="271"/>
      <c r="E23" s="271"/>
      <c r="F23" s="578"/>
      <c r="G23" s="578"/>
      <c r="H23" s="579"/>
      <c r="I23" s="580"/>
      <c r="J23" s="581"/>
      <c r="K23" s="582"/>
      <c r="L23" s="582"/>
      <c r="M23" s="582"/>
      <c r="N23" s="270"/>
      <c r="O23" s="584"/>
      <c r="P23" s="585"/>
    </row>
    <row r="24" spans="1:16">
      <c r="A24" s="266">
        <v>6</v>
      </c>
      <c r="B24" s="267" t="s">
        <v>247</v>
      </c>
      <c r="C24" s="268" t="s">
        <v>242</v>
      </c>
      <c r="D24" s="271"/>
      <c r="E24" s="271"/>
      <c r="F24" s="578"/>
      <c r="G24" s="578"/>
      <c r="H24" s="579"/>
      <c r="I24" s="580"/>
      <c r="J24" s="581"/>
      <c r="K24" s="582"/>
      <c r="L24" s="582"/>
      <c r="M24" s="582"/>
      <c r="N24" s="270"/>
      <c r="O24" s="584"/>
      <c r="P24" s="585"/>
    </row>
    <row r="25" spans="1:16">
      <c r="A25" s="266">
        <v>7</v>
      </c>
      <c r="B25" s="267" t="s">
        <v>248</v>
      </c>
      <c r="C25" s="268" t="s">
        <v>242</v>
      </c>
      <c r="D25" s="271"/>
      <c r="E25" s="271"/>
      <c r="F25" s="578"/>
      <c r="G25" s="578"/>
      <c r="H25" s="579"/>
      <c r="I25" s="580"/>
      <c r="J25" s="581"/>
      <c r="K25" s="582"/>
      <c r="L25" s="582"/>
      <c r="M25" s="582"/>
      <c r="N25" s="270"/>
      <c r="O25" s="584"/>
      <c r="P25" s="585"/>
    </row>
    <row r="26" spans="1:16">
      <c r="A26" s="266">
        <v>8</v>
      </c>
      <c r="B26" s="267" t="s">
        <v>249</v>
      </c>
      <c r="C26" s="268" t="s">
        <v>242</v>
      </c>
      <c r="D26" s="271"/>
      <c r="E26" s="271"/>
      <c r="F26" s="578"/>
      <c r="G26" s="578"/>
      <c r="H26" s="579"/>
      <c r="I26" s="580"/>
      <c r="J26" s="581"/>
      <c r="K26" s="582"/>
      <c r="L26" s="582"/>
      <c r="M26" s="582"/>
      <c r="N26" s="270"/>
      <c r="O26" s="584"/>
      <c r="P26" s="585"/>
    </row>
    <row r="27" spans="1:16">
      <c r="A27" s="266">
        <v>9</v>
      </c>
      <c r="B27" s="267" t="s">
        <v>250</v>
      </c>
      <c r="C27" s="268" t="s">
        <v>242</v>
      </c>
      <c r="D27" s="271"/>
      <c r="E27" s="271"/>
      <c r="F27" s="578"/>
      <c r="G27" s="578"/>
      <c r="H27" s="579"/>
      <c r="I27" s="580"/>
      <c r="J27" s="581"/>
      <c r="K27" s="582"/>
      <c r="L27" s="582"/>
      <c r="M27" s="582"/>
      <c r="N27" s="270"/>
      <c r="O27" s="584"/>
      <c r="P27" s="585"/>
    </row>
    <row r="28" spans="1:16">
      <c r="A28" s="266">
        <v>10</v>
      </c>
      <c r="B28" s="267" t="s">
        <v>251</v>
      </c>
      <c r="C28" s="268" t="s">
        <v>242</v>
      </c>
      <c r="D28" s="271"/>
      <c r="E28" s="271"/>
      <c r="F28" s="578"/>
      <c r="G28" s="578"/>
      <c r="H28" s="579"/>
      <c r="I28" s="580"/>
      <c r="J28" s="581"/>
      <c r="K28" s="582"/>
      <c r="L28" s="582"/>
      <c r="M28" s="582"/>
      <c r="N28" s="270"/>
      <c r="O28" s="583"/>
      <c r="P28" s="583"/>
    </row>
    <row r="29" spans="1:16">
      <c r="A29" s="266">
        <v>11</v>
      </c>
      <c r="B29" s="267" t="s">
        <v>252</v>
      </c>
      <c r="C29" s="268" t="s">
        <v>242</v>
      </c>
      <c r="D29" s="271"/>
      <c r="E29" s="271"/>
      <c r="F29" s="578"/>
      <c r="G29" s="578"/>
      <c r="H29" s="579"/>
      <c r="I29" s="580"/>
      <c r="J29" s="581"/>
      <c r="K29" s="582"/>
      <c r="L29" s="582"/>
      <c r="M29" s="582"/>
      <c r="N29" s="270"/>
      <c r="O29" s="583"/>
      <c r="P29" s="583"/>
    </row>
    <row r="30" spans="1:16">
      <c r="A30" s="266">
        <v>12</v>
      </c>
      <c r="B30" s="267" t="s">
        <v>253</v>
      </c>
      <c r="C30" s="268" t="s">
        <v>242</v>
      </c>
      <c r="D30" s="271"/>
      <c r="E30" s="271"/>
      <c r="F30" s="578"/>
      <c r="G30" s="578"/>
      <c r="H30" s="579"/>
      <c r="I30" s="580"/>
      <c r="J30" s="581"/>
      <c r="K30" s="582"/>
      <c r="L30" s="582"/>
      <c r="M30" s="582"/>
      <c r="N30" s="270"/>
      <c r="O30" s="583"/>
      <c r="P30" s="583"/>
    </row>
    <row r="31" spans="1:16">
      <c r="A31" s="266">
        <v>13</v>
      </c>
      <c r="B31" s="267" t="s">
        <v>254</v>
      </c>
      <c r="C31" s="268" t="s">
        <v>242</v>
      </c>
      <c r="D31" s="271"/>
      <c r="E31" s="271"/>
      <c r="F31" s="578"/>
      <c r="G31" s="578"/>
      <c r="H31" s="579"/>
      <c r="I31" s="580"/>
      <c r="J31" s="581"/>
      <c r="K31" s="582"/>
      <c r="L31" s="582"/>
      <c r="M31" s="582"/>
      <c r="N31" s="270"/>
      <c r="O31" s="583"/>
      <c r="P31" s="583"/>
    </row>
    <row r="32" spans="1:16">
      <c r="A32" s="266">
        <v>14</v>
      </c>
      <c r="B32" s="267" t="s">
        <v>255</v>
      </c>
      <c r="C32" s="268" t="s">
        <v>242</v>
      </c>
      <c r="D32" s="271"/>
      <c r="E32" s="271"/>
      <c r="F32" s="578"/>
      <c r="G32" s="578"/>
      <c r="H32" s="579"/>
      <c r="I32" s="580"/>
      <c r="J32" s="581"/>
      <c r="K32" s="582"/>
      <c r="L32" s="582"/>
      <c r="M32" s="582"/>
      <c r="N32" s="270"/>
      <c r="O32" s="583"/>
      <c r="P32" s="583"/>
    </row>
    <row r="33" spans="1:16">
      <c r="A33" s="266">
        <v>15</v>
      </c>
      <c r="B33" s="267" t="s">
        <v>256</v>
      </c>
      <c r="C33" s="268" t="s">
        <v>242</v>
      </c>
      <c r="D33" s="271"/>
      <c r="E33" s="271"/>
      <c r="F33" s="578"/>
      <c r="G33" s="578"/>
      <c r="H33" s="579"/>
      <c r="I33" s="580"/>
      <c r="J33" s="581"/>
      <c r="K33" s="582"/>
      <c r="L33" s="582"/>
      <c r="M33" s="582"/>
      <c r="N33" s="270"/>
      <c r="O33" s="583"/>
      <c r="P33" s="583"/>
    </row>
    <row r="34" spans="1:16">
      <c r="A34" s="217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6"/>
    </row>
    <row r="35" spans="1:16">
      <c r="A35" s="218" t="s">
        <v>257</v>
      </c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6"/>
    </row>
    <row r="36" spans="1:16">
      <c r="A36" s="192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3"/>
    </row>
    <row r="37" spans="1:16">
      <c r="A37" s="192"/>
      <c r="B37" s="219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1"/>
      <c r="P37" s="193"/>
    </row>
    <row r="38" spans="1:16">
      <c r="A38" s="192"/>
      <c r="B38" s="192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3"/>
      <c r="P38" s="193"/>
    </row>
    <row r="39" spans="1:16">
      <c r="A39" s="192"/>
      <c r="B39" s="192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3"/>
      <c r="P39" s="193"/>
    </row>
    <row r="40" spans="1:16">
      <c r="A40" s="192"/>
      <c r="B40" s="192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3"/>
      <c r="P40" s="193"/>
    </row>
    <row r="41" spans="1:16">
      <c r="A41" s="192"/>
      <c r="B41" s="192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3"/>
      <c r="P41" s="193"/>
    </row>
    <row r="42" spans="1:16">
      <c r="A42" s="192"/>
      <c r="B42" s="192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3"/>
      <c r="P42" s="193"/>
    </row>
    <row r="43" spans="1:16">
      <c r="A43" s="192"/>
      <c r="B43" s="192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3"/>
      <c r="P43" s="193"/>
    </row>
    <row r="44" spans="1:16">
      <c r="A44" s="192"/>
      <c r="B44" s="192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3"/>
      <c r="P44" s="193"/>
    </row>
    <row r="45" spans="1:16">
      <c r="A45" s="192"/>
      <c r="B45" s="192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3"/>
      <c r="P45" s="193"/>
    </row>
    <row r="46" spans="1:16">
      <c r="A46" s="192"/>
      <c r="B46" s="192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3"/>
      <c r="P46" s="193"/>
    </row>
    <row r="47" spans="1:16">
      <c r="A47" s="192"/>
      <c r="B47" s="192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3"/>
      <c r="P47" s="193"/>
    </row>
    <row r="48" spans="1:16">
      <c r="A48" s="192"/>
      <c r="B48" s="192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3"/>
      <c r="P48" s="193"/>
    </row>
    <row r="49" spans="1:16">
      <c r="A49" s="192"/>
      <c r="B49" s="192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3"/>
      <c r="P49" s="193"/>
    </row>
    <row r="50" spans="1:16">
      <c r="A50" s="192"/>
      <c r="B50" s="192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3"/>
      <c r="P50" s="193"/>
    </row>
    <row r="51" spans="1:16">
      <c r="A51" s="192"/>
      <c r="B51" s="192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3"/>
      <c r="P51" s="193"/>
    </row>
    <row r="52" spans="1:16">
      <c r="A52" s="192"/>
      <c r="B52" s="192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3"/>
      <c r="P52" s="193"/>
    </row>
    <row r="53" spans="1:16">
      <c r="A53" s="192"/>
      <c r="B53" s="192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3"/>
      <c r="P53" s="193"/>
    </row>
    <row r="54" spans="1:16">
      <c r="A54" s="192"/>
      <c r="B54" s="192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3"/>
      <c r="P54" s="193"/>
    </row>
    <row r="55" spans="1:16">
      <c r="A55" s="192"/>
      <c r="B55" s="192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3"/>
      <c r="P55" s="193"/>
    </row>
    <row r="56" spans="1:16">
      <c r="A56" s="192"/>
      <c r="B56" s="192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3"/>
      <c r="P56" s="193"/>
    </row>
    <row r="57" spans="1:16">
      <c r="A57" s="192"/>
      <c r="B57" s="192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3"/>
      <c r="P57" s="193"/>
    </row>
    <row r="58" spans="1:16">
      <c r="A58" s="192"/>
      <c r="B58" s="192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3"/>
      <c r="P58" s="193"/>
    </row>
    <row r="59" spans="1:16">
      <c r="A59" s="192"/>
      <c r="B59" s="187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9"/>
      <c r="P59" s="193"/>
    </row>
    <row r="60" spans="1:16">
      <c r="A60" s="187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9"/>
    </row>
  </sheetData>
  <mergeCells count="90"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  <mergeCell ref="A10:B10"/>
    <mergeCell ref="C10:P10"/>
    <mergeCell ref="A11:B11"/>
    <mergeCell ref="C11:P11"/>
    <mergeCell ref="A12:B12"/>
    <mergeCell ref="C12:P12"/>
    <mergeCell ref="A13:B13"/>
    <mergeCell ref="C13:P13"/>
    <mergeCell ref="A14:B14"/>
    <mergeCell ref="C14:P14"/>
    <mergeCell ref="A15:B15"/>
    <mergeCell ref="C15:P15"/>
    <mergeCell ref="F18:G18"/>
    <mergeCell ref="H18:J18"/>
    <mergeCell ref="K18:M18"/>
    <mergeCell ref="O18:P18"/>
    <mergeCell ref="F19:G19"/>
    <mergeCell ref="H19:J19"/>
    <mergeCell ref="K19:M19"/>
    <mergeCell ref="O19:P19"/>
    <mergeCell ref="F20:G20"/>
    <mergeCell ref="H20:J20"/>
    <mergeCell ref="K20:M20"/>
    <mergeCell ref="O20:P20"/>
    <mergeCell ref="F21:G21"/>
    <mergeCell ref="H21:J21"/>
    <mergeCell ref="K21:M21"/>
    <mergeCell ref="O21:P21"/>
    <mergeCell ref="F22:G22"/>
    <mergeCell ref="H22:J22"/>
    <mergeCell ref="K22:M22"/>
    <mergeCell ref="O22:P22"/>
    <mergeCell ref="F23:G23"/>
    <mergeCell ref="H23:J23"/>
    <mergeCell ref="K23:M23"/>
    <mergeCell ref="O23:P23"/>
    <mergeCell ref="F24:G24"/>
    <mergeCell ref="H24:J24"/>
    <mergeCell ref="K24:M24"/>
    <mergeCell ref="O24:P24"/>
    <mergeCell ref="F25:G25"/>
    <mergeCell ref="H25:J25"/>
    <mergeCell ref="K25:M25"/>
    <mergeCell ref="O25:P25"/>
    <mergeCell ref="F26:G26"/>
    <mergeCell ref="H26:J26"/>
    <mergeCell ref="K26:M26"/>
    <mergeCell ref="O26:P26"/>
    <mergeCell ref="F27:G27"/>
    <mergeCell ref="H27:J27"/>
    <mergeCell ref="K27:M27"/>
    <mergeCell ref="O27:P27"/>
    <mergeCell ref="F28:G28"/>
    <mergeCell ref="H28:J28"/>
    <mergeCell ref="K28:M28"/>
    <mergeCell ref="O28:P28"/>
    <mergeCell ref="F29:G29"/>
    <mergeCell ref="H29:J29"/>
    <mergeCell ref="K29:M29"/>
    <mergeCell ref="O29:P29"/>
    <mergeCell ref="F30:G30"/>
    <mergeCell ref="H30:J30"/>
    <mergeCell ref="K30:M30"/>
    <mergeCell ref="O30:P30"/>
    <mergeCell ref="F31:G31"/>
    <mergeCell ref="H31:J31"/>
    <mergeCell ref="K31:M31"/>
    <mergeCell ref="O31:P31"/>
    <mergeCell ref="F32:G32"/>
    <mergeCell ref="H32:J32"/>
    <mergeCell ref="K32:M32"/>
    <mergeCell ref="O32:P32"/>
    <mergeCell ref="F33:G33"/>
    <mergeCell ref="H33:J33"/>
    <mergeCell ref="K33:M33"/>
    <mergeCell ref="O33:P33"/>
  </mergeCells>
  <conditionalFormatting sqref="D19:D3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{F649EDE5-619E-471E-AC1E-C726255A81B3}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49EDE5-619E-471E-AC1E-C726255A8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D19:D33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51"/>
  <sheetViews>
    <sheetView topLeftCell="R1" workbookViewId="0">
      <selection activeCell="AU2" sqref="AU2"/>
    </sheetView>
  </sheetViews>
  <sheetFormatPr defaultColWidth="8.85546875" defaultRowHeight="15"/>
  <cols>
    <col min="2" max="2" width="16.140625" customWidth="1"/>
    <col min="4" max="4" width="12" bestFit="1" customWidth="1"/>
    <col min="6" max="6" width="13" customWidth="1"/>
    <col min="15" max="15" width="11.7109375" customWidth="1"/>
    <col min="17" max="17" width="13.140625" customWidth="1"/>
    <col min="18" max="25" width="3.140625" customWidth="1"/>
    <col min="26" max="26" width="16.42578125" customWidth="1"/>
    <col min="27" max="27" width="9.140625" customWidth="1"/>
    <col min="28" max="28" width="11.140625" bestFit="1" customWidth="1"/>
    <col min="29" max="32" width="9.140625" customWidth="1"/>
    <col min="33" max="33" width="11.140625" bestFit="1" customWidth="1"/>
    <col min="34" max="40" width="9.140625" customWidth="1"/>
    <col min="41" max="44" width="12.42578125" customWidth="1"/>
    <col min="45" max="45" width="14" customWidth="1"/>
    <col min="46" max="46" width="2.42578125" customWidth="1"/>
    <col min="47" max="47" width="10.7109375" bestFit="1" customWidth="1"/>
    <col min="48" max="48" width="11.140625" bestFit="1" customWidth="1"/>
  </cols>
  <sheetData>
    <row r="1" spans="1:60" s="236" customFormat="1" ht="15" customHeight="1">
      <c r="A1" s="646"/>
      <c r="B1" s="625" t="s">
        <v>97</v>
      </c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7"/>
      <c r="AO1" s="631" t="s">
        <v>516</v>
      </c>
      <c r="AP1" s="632"/>
      <c r="AQ1" s="632"/>
      <c r="AR1" s="632"/>
      <c r="AS1" s="633"/>
      <c r="BF1" s="244"/>
      <c r="BG1" s="244"/>
      <c r="BH1" s="244"/>
    </row>
    <row r="2" spans="1:60" s="236" customFormat="1" ht="15" customHeight="1">
      <c r="A2" s="647"/>
      <c r="B2" s="628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  <c r="AA2" s="629"/>
      <c r="AB2" s="629"/>
      <c r="AC2" s="629"/>
      <c r="AD2" s="629"/>
      <c r="AE2" s="629"/>
      <c r="AF2" s="629"/>
      <c r="AG2" s="629"/>
      <c r="AH2" s="629"/>
      <c r="AI2" s="629"/>
      <c r="AJ2" s="629"/>
      <c r="AK2" s="629"/>
      <c r="AL2" s="629"/>
      <c r="AM2" s="629"/>
      <c r="AN2" s="630"/>
      <c r="AO2" s="634"/>
      <c r="AP2" s="635"/>
      <c r="AQ2" s="635"/>
      <c r="AR2" s="635"/>
      <c r="AS2" s="636"/>
      <c r="BF2" s="244"/>
      <c r="BG2" s="244"/>
      <c r="BH2" s="244"/>
    </row>
    <row r="3" spans="1:60" s="236" customFormat="1" ht="15" customHeight="1">
      <c r="A3" s="647"/>
      <c r="B3" s="245" t="s">
        <v>0</v>
      </c>
      <c r="C3" s="622" t="s">
        <v>97</v>
      </c>
      <c r="D3" s="623"/>
      <c r="E3" s="623"/>
      <c r="F3" s="624"/>
      <c r="G3" s="250"/>
      <c r="H3" s="246" t="s">
        <v>98</v>
      </c>
      <c r="I3" s="637" t="str">
        <f>'Fr-01'!$B$6</f>
        <v>ชื่อองค์กรที่ขอขึ้นทะเบียน</v>
      </c>
      <c r="J3" s="638"/>
      <c r="K3" s="638"/>
      <c r="L3" s="638"/>
      <c r="M3" s="638"/>
      <c r="N3" s="638"/>
      <c r="O3" s="638"/>
      <c r="P3" s="638"/>
      <c r="Q3" s="638"/>
      <c r="R3" s="638"/>
      <c r="S3" s="638"/>
      <c r="T3" s="638"/>
      <c r="U3" s="638"/>
      <c r="V3" s="638"/>
      <c r="W3" s="638"/>
      <c r="X3" s="638"/>
      <c r="Y3" s="638"/>
      <c r="Z3" s="638"/>
      <c r="AA3" s="639"/>
      <c r="AB3" s="643" t="s">
        <v>208</v>
      </c>
      <c r="AC3" s="644"/>
      <c r="AD3" s="645"/>
      <c r="AE3" s="637" t="str">
        <f>'Fr-01'!H22</f>
        <v xml:space="preserve"> ระบุปีที่เก็บข้อมูล เช่น ม.ค.63-ธ.ค.63</v>
      </c>
      <c r="AF3" s="638"/>
      <c r="AG3" s="638"/>
      <c r="AH3" s="638"/>
      <c r="AI3" s="638"/>
      <c r="AJ3" s="638"/>
      <c r="AK3" s="638"/>
      <c r="AL3" s="638"/>
      <c r="AM3" s="638"/>
      <c r="AN3" s="639"/>
      <c r="AO3" s="614" t="s">
        <v>99</v>
      </c>
      <c r="AP3" s="615"/>
      <c r="AQ3" s="616"/>
      <c r="AR3" s="617">
        <v>4</v>
      </c>
      <c r="AS3" s="618"/>
      <c r="BF3" s="244"/>
      <c r="BG3" s="244"/>
      <c r="BH3" s="244"/>
    </row>
    <row r="4" spans="1:60" s="236" customFormat="1" ht="21" customHeight="1">
      <c r="A4" s="648"/>
      <c r="B4" s="245" t="s">
        <v>1</v>
      </c>
      <c r="C4" s="622" t="s">
        <v>209</v>
      </c>
      <c r="D4" s="623"/>
      <c r="E4" s="623"/>
      <c r="F4" s="624"/>
      <c r="G4" s="250"/>
      <c r="H4" s="246" t="s">
        <v>101</v>
      </c>
      <c r="I4" s="640" t="str">
        <f>'Fr-01'!$G$4</f>
        <v>ชื่อผู้จัดทำ</v>
      </c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2"/>
      <c r="AB4" s="247"/>
      <c r="AC4" s="249"/>
      <c r="AD4" s="248"/>
      <c r="AE4" s="249"/>
      <c r="AF4" s="249"/>
      <c r="AG4" s="249"/>
      <c r="AH4" s="249"/>
      <c r="AI4" s="249"/>
      <c r="AJ4" s="249"/>
      <c r="AK4" s="249"/>
      <c r="AL4" s="249"/>
      <c r="AM4" s="249"/>
      <c r="AN4" s="248"/>
      <c r="AO4" s="614" t="s">
        <v>117</v>
      </c>
      <c r="AP4" s="615"/>
      <c r="AQ4" s="616"/>
      <c r="AR4" s="614"/>
      <c r="AS4" s="616"/>
      <c r="BF4" s="244"/>
      <c r="BG4" s="244"/>
      <c r="BH4" s="244"/>
    </row>
    <row r="5" spans="1:60">
      <c r="A5" s="651"/>
      <c r="B5" s="652"/>
      <c r="C5" s="652"/>
      <c r="D5" s="652"/>
      <c r="E5" s="652"/>
      <c r="F5" s="652"/>
      <c r="G5" s="652"/>
      <c r="H5" s="652"/>
      <c r="I5" s="652"/>
      <c r="J5" s="652"/>
      <c r="K5" s="652"/>
      <c r="L5" s="652"/>
      <c r="M5" s="652"/>
      <c r="N5" s="652"/>
      <c r="O5" s="652"/>
      <c r="P5" s="652"/>
      <c r="Q5" s="652"/>
      <c r="R5" s="652"/>
      <c r="S5" s="652"/>
      <c r="T5" s="652"/>
      <c r="U5" s="652"/>
      <c r="V5" s="652"/>
      <c r="W5" s="652"/>
      <c r="X5" s="652"/>
      <c r="Y5" s="652"/>
      <c r="Z5" s="652"/>
      <c r="AA5" s="652"/>
      <c r="AB5" s="652"/>
      <c r="AC5" s="652"/>
      <c r="AD5" s="652"/>
      <c r="AE5" s="652"/>
      <c r="AF5" s="652"/>
      <c r="AG5" s="652"/>
      <c r="AH5" s="652"/>
      <c r="AI5" s="652"/>
      <c r="AJ5" s="652"/>
      <c r="AK5" s="652"/>
      <c r="AL5" s="652"/>
      <c r="AM5" s="652"/>
      <c r="AN5" s="652"/>
      <c r="AO5" s="652"/>
      <c r="AP5" s="652"/>
      <c r="AQ5" s="652"/>
      <c r="AR5" s="652"/>
      <c r="AS5" s="653"/>
    </row>
    <row r="6" spans="1:60" ht="15" customHeight="1">
      <c r="A6" s="654" t="s">
        <v>3</v>
      </c>
      <c r="B6" s="657" t="s">
        <v>4</v>
      </c>
      <c r="C6" s="660" t="s">
        <v>5</v>
      </c>
      <c r="D6" s="661"/>
      <c r="E6" s="666" t="s">
        <v>6</v>
      </c>
      <c r="F6" s="667"/>
      <c r="G6" s="667"/>
      <c r="H6" s="667"/>
      <c r="I6" s="667"/>
      <c r="J6" s="667"/>
      <c r="K6" s="667"/>
      <c r="L6" s="667"/>
      <c r="M6" s="667"/>
      <c r="N6" s="668"/>
      <c r="O6" s="666" t="s">
        <v>7</v>
      </c>
      <c r="P6" s="668"/>
      <c r="Q6" s="672" t="s">
        <v>8</v>
      </c>
      <c r="R6" s="702" t="s">
        <v>13</v>
      </c>
      <c r="S6" s="703"/>
      <c r="T6" s="703"/>
      <c r="U6" s="703"/>
      <c r="V6" s="703"/>
      <c r="W6" s="703"/>
      <c r="X6" s="706"/>
      <c r="Y6" s="649" t="s">
        <v>118</v>
      </c>
      <c r="Z6" s="697" t="s">
        <v>119</v>
      </c>
      <c r="AA6" s="680" t="s">
        <v>128</v>
      </c>
      <c r="AB6" s="681"/>
      <c r="AC6" s="681"/>
      <c r="AD6" s="681"/>
      <c r="AE6" s="681"/>
      <c r="AF6" s="682"/>
      <c r="AG6" s="681" t="s">
        <v>9</v>
      </c>
      <c r="AH6" s="681"/>
      <c r="AI6" s="681"/>
      <c r="AJ6" s="681"/>
      <c r="AK6" s="681"/>
      <c r="AL6" s="681"/>
      <c r="AM6" s="681"/>
      <c r="AN6" s="682"/>
      <c r="AO6" s="689" t="s">
        <v>10</v>
      </c>
      <c r="AP6" s="611" t="s">
        <v>131</v>
      </c>
      <c r="AQ6" s="611" t="s">
        <v>132</v>
      </c>
      <c r="AR6" s="611" t="s">
        <v>133</v>
      </c>
      <c r="AS6" s="619" t="s">
        <v>11</v>
      </c>
      <c r="AU6" s="609" t="s">
        <v>12</v>
      </c>
      <c r="AV6" s="610"/>
    </row>
    <row r="7" spans="1:60" ht="15" customHeight="1">
      <c r="A7" s="655"/>
      <c r="B7" s="658"/>
      <c r="C7" s="662"/>
      <c r="D7" s="663"/>
      <c r="E7" s="669"/>
      <c r="F7" s="670"/>
      <c r="G7" s="670"/>
      <c r="H7" s="670"/>
      <c r="I7" s="670"/>
      <c r="J7" s="670"/>
      <c r="K7" s="670"/>
      <c r="L7" s="670"/>
      <c r="M7" s="670"/>
      <c r="N7" s="671"/>
      <c r="O7" s="669"/>
      <c r="P7" s="671"/>
      <c r="Q7" s="673"/>
      <c r="R7" s="707" t="s">
        <v>120</v>
      </c>
      <c r="S7" s="707"/>
      <c r="T7" s="702" t="s">
        <v>121</v>
      </c>
      <c r="U7" s="703"/>
      <c r="V7" s="703"/>
      <c r="W7" s="703"/>
      <c r="X7" s="649" t="s">
        <v>30</v>
      </c>
      <c r="Y7" s="699"/>
      <c r="Z7" s="698"/>
      <c r="AA7" s="683"/>
      <c r="AB7" s="684"/>
      <c r="AC7" s="684"/>
      <c r="AD7" s="684"/>
      <c r="AE7" s="684"/>
      <c r="AF7" s="685"/>
      <c r="AG7" s="684"/>
      <c r="AH7" s="684"/>
      <c r="AI7" s="684"/>
      <c r="AJ7" s="684"/>
      <c r="AK7" s="684"/>
      <c r="AL7" s="684"/>
      <c r="AM7" s="684"/>
      <c r="AN7" s="685"/>
      <c r="AO7" s="690"/>
      <c r="AP7" s="612"/>
      <c r="AQ7" s="612"/>
      <c r="AR7" s="612"/>
      <c r="AS7" s="620"/>
      <c r="AT7" s="1"/>
      <c r="AU7" s="2" t="s">
        <v>13</v>
      </c>
      <c r="AV7" s="136" t="s">
        <v>152</v>
      </c>
    </row>
    <row r="8" spans="1:60" ht="31.5" customHeight="1">
      <c r="A8" s="655"/>
      <c r="B8" s="658"/>
      <c r="C8" s="664"/>
      <c r="D8" s="665"/>
      <c r="E8" s="675" t="s">
        <v>129</v>
      </c>
      <c r="F8" s="676"/>
      <c r="G8" s="676"/>
      <c r="H8" s="676"/>
      <c r="I8" s="676"/>
      <c r="J8" s="676"/>
      <c r="K8" s="676"/>
      <c r="L8" s="677"/>
      <c r="M8" s="675" t="s">
        <v>15</v>
      </c>
      <c r="N8" s="677"/>
      <c r="O8" s="678" t="s">
        <v>129</v>
      </c>
      <c r="P8" s="678" t="s">
        <v>15</v>
      </c>
      <c r="Q8" s="673"/>
      <c r="R8" s="649" t="s">
        <v>122</v>
      </c>
      <c r="S8" s="704" t="s">
        <v>123</v>
      </c>
      <c r="T8" s="649" t="s">
        <v>124</v>
      </c>
      <c r="U8" s="649" t="s">
        <v>125</v>
      </c>
      <c r="V8" s="649" t="s">
        <v>126</v>
      </c>
      <c r="W8" s="700" t="s">
        <v>127</v>
      </c>
      <c r="X8" s="699"/>
      <c r="Y8" s="699"/>
      <c r="Z8" s="698"/>
      <c r="AA8" s="686"/>
      <c r="AB8" s="687"/>
      <c r="AC8" s="687"/>
      <c r="AD8" s="687"/>
      <c r="AE8" s="687"/>
      <c r="AF8" s="688"/>
      <c r="AG8" s="687"/>
      <c r="AH8" s="687"/>
      <c r="AI8" s="687"/>
      <c r="AJ8" s="687"/>
      <c r="AK8" s="687"/>
      <c r="AL8" s="687"/>
      <c r="AM8" s="687"/>
      <c r="AN8" s="688"/>
      <c r="AO8" s="3" t="s">
        <v>202</v>
      </c>
      <c r="AP8" s="612"/>
      <c r="AQ8" s="612"/>
      <c r="AR8" s="612"/>
      <c r="AS8" s="620"/>
      <c r="AT8" s="1"/>
      <c r="AU8" s="2" t="s">
        <v>16</v>
      </c>
      <c r="AV8" s="173">
        <v>1</v>
      </c>
    </row>
    <row r="9" spans="1:60">
      <c r="A9" s="656"/>
      <c r="B9" s="659"/>
      <c r="C9" s="4" t="s">
        <v>17</v>
      </c>
      <c r="D9" s="5" t="s">
        <v>18</v>
      </c>
      <c r="E9" s="6" t="s">
        <v>19</v>
      </c>
      <c r="F9" s="7" t="s">
        <v>265</v>
      </c>
      <c r="G9" s="7" t="s">
        <v>20</v>
      </c>
      <c r="H9" s="6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7" t="s">
        <v>24</v>
      </c>
      <c r="N9" s="7" t="s">
        <v>25</v>
      </c>
      <c r="O9" s="679"/>
      <c r="P9" s="679"/>
      <c r="Q9" s="674"/>
      <c r="R9" s="650"/>
      <c r="S9" s="705"/>
      <c r="T9" s="650"/>
      <c r="U9" s="650"/>
      <c r="V9" s="650"/>
      <c r="W9" s="701"/>
      <c r="X9" s="650"/>
      <c r="Y9" s="650"/>
      <c r="Z9" s="698"/>
      <c r="AA9" s="9" t="s">
        <v>16</v>
      </c>
      <c r="AB9" s="10" t="s">
        <v>265</v>
      </c>
      <c r="AC9" s="10" t="s">
        <v>26</v>
      </c>
      <c r="AD9" s="11" t="s">
        <v>27</v>
      </c>
      <c r="AE9" s="11" t="s">
        <v>28</v>
      </c>
      <c r="AF9" s="12" t="s">
        <v>29</v>
      </c>
      <c r="AG9" s="10" t="s">
        <v>265</v>
      </c>
      <c r="AH9" s="10" t="s">
        <v>26</v>
      </c>
      <c r="AI9" s="11" t="s">
        <v>27</v>
      </c>
      <c r="AJ9" s="11" t="s">
        <v>28</v>
      </c>
      <c r="AK9" s="11" t="s">
        <v>29</v>
      </c>
      <c r="AL9" s="11" t="s">
        <v>24</v>
      </c>
      <c r="AM9" s="11" t="s">
        <v>25</v>
      </c>
      <c r="AN9" s="11" t="s">
        <v>30</v>
      </c>
      <c r="AO9" s="13"/>
      <c r="AP9" s="613"/>
      <c r="AQ9" s="613"/>
      <c r="AR9" s="613"/>
      <c r="AS9" s="621"/>
      <c r="AU9" s="2" t="s">
        <v>265</v>
      </c>
      <c r="AV9" s="173">
        <v>30</v>
      </c>
    </row>
    <row r="10" spans="1:60">
      <c r="A10" s="691" t="s">
        <v>31</v>
      </c>
      <c r="B10" s="14"/>
      <c r="C10" s="15"/>
      <c r="D10" s="16"/>
      <c r="E10" s="222"/>
      <c r="F10" s="222"/>
      <c r="G10" s="222"/>
      <c r="H10" s="222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 t="shared" ref="AE10:AE23" si="0">D10*I10/1000</f>
        <v>0</v>
      </c>
      <c r="AF10" s="23">
        <f t="shared" ref="AF10:AF23" si="1">D10*J10/1000</f>
        <v>0</v>
      </c>
      <c r="AG10" s="23">
        <f>D10*F10*$AV$9/1000</f>
        <v>0</v>
      </c>
      <c r="AH10" s="23">
        <f>D10*G10*$AV$10/1000</f>
        <v>0</v>
      </c>
      <c r="AI10" s="23">
        <f t="shared" ref="AI10:AI23" si="2">D10*H10*$AV$11/1000</f>
        <v>0</v>
      </c>
      <c r="AJ10" s="23">
        <f t="shared" ref="AJ10:AJ23" si="3">D10*I10*$AV$12/1000</f>
        <v>0</v>
      </c>
      <c r="AK10" s="23">
        <f t="shared" ref="AK10:AK23" si="4"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23" t="e">
        <f>AO10/$AO$24</f>
        <v>#DIV/0!</v>
      </c>
      <c r="AQ10" s="23" t="e">
        <f>AO10/$AO$44</f>
        <v>#DIV/0!</v>
      </c>
      <c r="AR10" s="23" t="e">
        <f>AO10/$AO$45</f>
        <v>#DIV/0!</v>
      </c>
      <c r="AS10" s="25"/>
      <c r="AU10" s="2" t="s">
        <v>26</v>
      </c>
      <c r="AV10" s="173">
        <v>28</v>
      </c>
    </row>
    <row r="11" spans="1:60">
      <c r="A11" s="692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 t="shared" ref="Q11:Q23" si="5"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 t="shared" ref="AA11:AA23" si="6">D11*E11/1000</f>
        <v>0</v>
      </c>
      <c r="AB11" s="23">
        <f t="shared" ref="AB11:AB23" si="7">D11*F11/1000</f>
        <v>0</v>
      </c>
      <c r="AC11" s="23">
        <f t="shared" ref="AC11:AC23" si="8">D11*G11/1000</f>
        <v>0</v>
      </c>
      <c r="AD11" s="23">
        <f t="shared" ref="AD11:AD23" si="9">D11*H11/1000</f>
        <v>0</v>
      </c>
      <c r="AE11" s="23">
        <f t="shared" si="0"/>
        <v>0</v>
      </c>
      <c r="AF11" s="23">
        <f t="shared" si="1"/>
        <v>0</v>
      </c>
      <c r="AG11" s="23">
        <f t="shared" ref="AG11:AG23" si="10">D11*F11*$AV$9/1000</f>
        <v>0</v>
      </c>
      <c r="AH11" s="23">
        <f t="shared" ref="AH11:AH23" si="11">D11*G11*$AV$10/1000</f>
        <v>0</v>
      </c>
      <c r="AI11" s="23">
        <f t="shared" si="2"/>
        <v>0</v>
      </c>
      <c r="AJ11" s="23">
        <f t="shared" si="3"/>
        <v>0</v>
      </c>
      <c r="AK11" s="23">
        <f t="shared" si="4"/>
        <v>0</v>
      </c>
      <c r="AL11" s="23">
        <f t="shared" ref="AL11:AL23" si="12">D11*K11*M11/1000</f>
        <v>0</v>
      </c>
      <c r="AM11" s="23">
        <f t="shared" ref="AM11:AM23" si="13">D11*L11*N11/1000</f>
        <v>0</v>
      </c>
      <c r="AN11" s="24"/>
      <c r="AO11" s="23">
        <f t="shared" ref="AO11:AO22" si="14">D11*Q11/1000</f>
        <v>0</v>
      </c>
      <c r="AP11" s="23" t="e">
        <f t="shared" ref="AP11:AP23" si="15">AO11/$AO$24</f>
        <v>#DIV/0!</v>
      </c>
      <c r="AQ11" s="23" t="e">
        <f t="shared" ref="AQ11:AQ22" si="16">AO11/$AO$44</f>
        <v>#DIV/0!</v>
      </c>
      <c r="AR11" s="23" t="e">
        <f>AO11/$AO$45</f>
        <v>#DIV/0!</v>
      </c>
      <c r="AS11" s="30"/>
      <c r="AT11" s="31"/>
      <c r="AU11" s="2" t="s">
        <v>27</v>
      </c>
      <c r="AV11" s="173">
        <v>265</v>
      </c>
    </row>
    <row r="12" spans="1:60">
      <c r="A12" s="692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 t="shared" si="5"/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 t="shared" si="6"/>
        <v>0</v>
      </c>
      <c r="AB12" s="23">
        <f t="shared" si="7"/>
        <v>0</v>
      </c>
      <c r="AC12" s="23">
        <f t="shared" si="8"/>
        <v>0</v>
      </c>
      <c r="AD12" s="23">
        <f t="shared" si="9"/>
        <v>0</v>
      </c>
      <c r="AE12" s="23">
        <f t="shared" si="0"/>
        <v>0</v>
      </c>
      <c r="AF12" s="23">
        <f t="shared" si="1"/>
        <v>0</v>
      </c>
      <c r="AG12" s="23">
        <f t="shared" si="10"/>
        <v>0</v>
      </c>
      <c r="AH12" s="23">
        <f t="shared" si="11"/>
        <v>0</v>
      </c>
      <c r="AI12" s="23">
        <f t="shared" si="2"/>
        <v>0</v>
      </c>
      <c r="AJ12" s="23">
        <f t="shared" si="3"/>
        <v>0</v>
      </c>
      <c r="AK12" s="23">
        <f t="shared" si="4"/>
        <v>0</v>
      </c>
      <c r="AL12" s="23">
        <f t="shared" si="12"/>
        <v>0</v>
      </c>
      <c r="AM12" s="23">
        <f t="shared" si="13"/>
        <v>0</v>
      </c>
      <c r="AN12" s="24"/>
      <c r="AO12" s="23">
        <f t="shared" si="14"/>
        <v>0</v>
      </c>
      <c r="AP12" s="23" t="e">
        <f t="shared" si="15"/>
        <v>#DIV/0!</v>
      </c>
      <c r="AQ12" s="23" t="e">
        <f t="shared" si="16"/>
        <v>#DIV/0!</v>
      </c>
      <c r="AR12" s="23" t="e">
        <f t="shared" ref="AR12:AR18" si="17">AO12/$AO$45</f>
        <v>#DIV/0!</v>
      </c>
      <c r="AS12" s="30"/>
      <c r="AT12" s="31"/>
      <c r="AU12" s="2" t="s">
        <v>28</v>
      </c>
      <c r="AV12" s="173">
        <v>23500</v>
      </c>
    </row>
    <row r="13" spans="1:60">
      <c r="A13" s="692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5"/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 t="shared" si="6"/>
        <v>0</v>
      </c>
      <c r="AB13" s="23">
        <f t="shared" si="7"/>
        <v>0</v>
      </c>
      <c r="AC13" s="23">
        <f t="shared" si="8"/>
        <v>0</v>
      </c>
      <c r="AD13" s="23">
        <f t="shared" si="9"/>
        <v>0</v>
      </c>
      <c r="AE13" s="23">
        <f t="shared" si="0"/>
        <v>0</v>
      </c>
      <c r="AF13" s="23">
        <f>D13*J13/1000</f>
        <v>0</v>
      </c>
      <c r="AG13" s="23">
        <f t="shared" si="10"/>
        <v>0</v>
      </c>
      <c r="AH13" s="23">
        <f t="shared" si="11"/>
        <v>0</v>
      </c>
      <c r="AI13" s="23">
        <f t="shared" si="2"/>
        <v>0</v>
      </c>
      <c r="AJ13" s="23">
        <f t="shared" si="3"/>
        <v>0</v>
      </c>
      <c r="AK13" s="23">
        <f t="shared" si="4"/>
        <v>0</v>
      </c>
      <c r="AL13" s="23">
        <f t="shared" si="12"/>
        <v>0</v>
      </c>
      <c r="AM13" s="23">
        <f t="shared" si="13"/>
        <v>0</v>
      </c>
      <c r="AN13" s="24"/>
      <c r="AO13" s="23">
        <f t="shared" si="14"/>
        <v>0</v>
      </c>
      <c r="AP13" s="23" t="e">
        <f t="shared" si="15"/>
        <v>#DIV/0!</v>
      </c>
      <c r="AQ13" s="23" t="e">
        <f t="shared" si="16"/>
        <v>#DIV/0!</v>
      </c>
      <c r="AR13" s="23" t="e">
        <f t="shared" si="17"/>
        <v>#DIV/0!</v>
      </c>
      <c r="AS13" s="32"/>
      <c r="AT13" s="31"/>
      <c r="AU13" s="2" t="s">
        <v>29</v>
      </c>
      <c r="AV13" s="173">
        <v>16100</v>
      </c>
    </row>
    <row r="14" spans="1:60">
      <c r="A14" s="692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 t="shared" si="5"/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 t="shared" si="6"/>
        <v>0</v>
      </c>
      <c r="AB14" s="23">
        <f t="shared" si="7"/>
        <v>0</v>
      </c>
      <c r="AC14" s="23">
        <f t="shared" si="8"/>
        <v>0</v>
      </c>
      <c r="AD14" s="23">
        <f t="shared" si="9"/>
        <v>0</v>
      </c>
      <c r="AE14" s="23">
        <f t="shared" si="0"/>
        <v>0</v>
      </c>
      <c r="AF14" s="23">
        <f t="shared" si="1"/>
        <v>0</v>
      </c>
      <c r="AG14" s="23">
        <f t="shared" si="10"/>
        <v>0</v>
      </c>
      <c r="AH14" s="23">
        <f t="shared" si="11"/>
        <v>0</v>
      </c>
      <c r="AI14" s="23">
        <f t="shared" si="2"/>
        <v>0</v>
      </c>
      <c r="AJ14" s="23">
        <f t="shared" si="3"/>
        <v>0</v>
      </c>
      <c r="AK14" s="23">
        <f t="shared" si="4"/>
        <v>0</v>
      </c>
      <c r="AL14" s="23">
        <f t="shared" si="12"/>
        <v>0</v>
      </c>
      <c r="AM14" s="23">
        <f t="shared" si="13"/>
        <v>0</v>
      </c>
      <c r="AN14" s="24"/>
      <c r="AO14" s="23">
        <f t="shared" si="14"/>
        <v>0</v>
      </c>
      <c r="AP14" s="23" t="e">
        <f t="shared" si="15"/>
        <v>#DIV/0!</v>
      </c>
      <c r="AQ14" s="23" t="e">
        <f t="shared" si="16"/>
        <v>#DIV/0!</v>
      </c>
      <c r="AR14" s="23" t="e">
        <f t="shared" si="17"/>
        <v>#DIV/0!</v>
      </c>
      <c r="AS14" s="30"/>
      <c r="AT14" s="31"/>
    </row>
    <row r="15" spans="1:60">
      <c r="A15" s="692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 t="shared" si="5"/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 t="shared" si="6"/>
        <v>0</v>
      </c>
      <c r="AB15" s="23">
        <f t="shared" si="7"/>
        <v>0</v>
      </c>
      <c r="AC15" s="23">
        <f t="shared" si="8"/>
        <v>0</v>
      </c>
      <c r="AD15" s="23">
        <f t="shared" si="9"/>
        <v>0</v>
      </c>
      <c r="AE15" s="23">
        <f t="shared" si="0"/>
        <v>0</v>
      </c>
      <c r="AF15" s="23">
        <f t="shared" si="1"/>
        <v>0</v>
      </c>
      <c r="AG15" s="23">
        <f t="shared" si="10"/>
        <v>0</v>
      </c>
      <c r="AH15" s="23">
        <f t="shared" si="11"/>
        <v>0</v>
      </c>
      <c r="AI15" s="23">
        <f t="shared" si="2"/>
        <v>0</v>
      </c>
      <c r="AJ15" s="23">
        <f t="shared" si="3"/>
        <v>0</v>
      </c>
      <c r="AK15" s="23">
        <f t="shared" si="4"/>
        <v>0</v>
      </c>
      <c r="AL15" s="23">
        <f t="shared" si="12"/>
        <v>0</v>
      </c>
      <c r="AM15" s="23">
        <f t="shared" si="13"/>
        <v>0</v>
      </c>
      <c r="AN15" s="24"/>
      <c r="AO15" s="23">
        <f t="shared" si="14"/>
        <v>0</v>
      </c>
      <c r="AP15" s="23" t="e">
        <f t="shared" si="15"/>
        <v>#DIV/0!</v>
      </c>
      <c r="AQ15" s="23" t="e">
        <f t="shared" si="16"/>
        <v>#DIV/0!</v>
      </c>
      <c r="AR15" s="23" t="e">
        <f t="shared" si="17"/>
        <v>#DIV/0!</v>
      </c>
      <c r="AS15" s="30"/>
      <c r="AT15" s="31"/>
    </row>
    <row r="16" spans="1:60">
      <c r="A16" s="692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 t="shared" si="5"/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 t="shared" si="6"/>
        <v>0</v>
      </c>
      <c r="AB16" s="23">
        <f t="shared" si="7"/>
        <v>0</v>
      </c>
      <c r="AC16" s="23">
        <f t="shared" si="8"/>
        <v>0</v>
      </c>
      <c r="AD16" s="23">
        <f t="shared" si="9"/>
        <v>0</v>
      </c>
      <c r="AE16" s="23">
        <f t="shared" si="0"/>
        <v>0</v>
      </c>
      <c r="AF16" s="23">
        <f t="shared" si="1"/>
        <v>0</v>
      </c>
      <c r="AG16" s="23">
        <f t="shared" si="10"/>
        <v>0</v>
      </c>
      <c r="AH16" s="23">
        <f t="shared" si="11"/>
        <v>0</v>
      </c>
      <c r="AI16" s="23">
        <f t="shared" si="2"/>
        <v>0</v>
      </c>
      <c r="AJ16" s="23">
        <f t="shared" si="3"/>
        <v>0</v>
      </c>
      <c r="AK16" s="23">
        <f t="shared" si="4"/>
        <v>0</v>
      </c>
      <c r="AL16" s="23">
        <f t="shared" si="12"/>
        <v>0</v>
      </c>
      <c r="AM16" s="23">
        <f t="shared" si="13"/>
        <v>0</v>
      </c>
      <c r="AN16" s="24"/>
      <c r="AO16" s="23">
        <f t="shared" si="14"/>
        <v>0</v>
      </c>
      <c r="AP16" s="23" t="e">
        <f t="shared" si="15"/>
        <v>#DIV/0!</v>
      </c>
      <c r="AQ16" s="23" t="e">
        <f t="shared" si="16"/>
        <v>#DIV/0!</v>
      </c>
      <c r="AR16" s="23" t="e">
        <f t="shared" si="17"/>
        <v>#DIV/0!</v>
      </c>
      <c r="AS16" s="30"/>
      <c r="AT16" s="31"/>
    </row>
    <row r="17" spans="1:47">
      <c r="A17" s="692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5"/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 t="shared" si="6"/>
        <v>0</v>
      </c>
      <c r="AB17" s="23">
        <f t="shared" si="7"/>
        <v>0</v>
      </c>
      <c r="AC17" s="23">
        <f t="shared" si="8"/>
        <v>0</v>
      </c>
      <c r="AD17" s="23">
        <f t="shared" si="9"/>
        <v>0</v>
      </c>
      <c r="AE17" s="23">
        <f t="shared" si="0"/>
        <v>0</v>
      </c>
      <c r="AF17" s="23">
        <f t="shared" si="1"/>
        <v>0</v>
      </c>
      <c r="AG17" s="23">
        <f t="shared" si="10"/>
        <v>0</v>
      </c>
      <c r="AH17" s="23">
        <f t="shared" si="11"/>
        <v>0</v>
      </c>
      <c r="AI17" s="23">
        <f t="shared" si="2"/>
        <v>0</v>
      </c>
      <c r="AJ17" s="23">
        <f t="shared" si="3"/>
        <v>0</v>
      </c>
      <c r="AK17" s="23">
        <f t="shared" si="4"/>
        <v>0</v>
      </c>
      <c r="AL17" s="23">
        <f t="shared" si="12"/>
        <v>0</v>
      </c>
      <c r="AM17" s="23">
        <f t="shared" si="13"/>
        <v>0</v>
      </c>
      <c r="AN17" s="24"/>
      <c r="AO17" s="23">
        <f t="shared" si="14"/>
        <v>0</v>
      </c>
      <c r="AP17" s="23" t="e">
        <f t="shared" si="15"/>
        <v>#DIV/0!</v>
      </c>
      <c r="AQ17" s="23" t="e">
        <f t="shared" si="16"/>
        <v>#DIV/0!</v>
      </c>
      <c r="AR17" s="23" t="e">
        <f t="shared" si="17"/>
        <v>#DIV/0!</v>
      </c>
      <c r="AS17" s="30"/>
      <c r="AT17" s="31"/>
    </row>
    <row r="18" spans="1:47">
      <c r="A18" s="692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5"/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 t="shared" si="6"/>
        <v>0</v>
      </c>
      <c r="AB18" s="23">
        <f t="shared" si="7"/>
        <v>0</v>
      </c>
      <c r="AC18" s="23">
        <f t="shared" si="8"/>
        <v>0</v>
      </c>
      <c r="AD18" s="23">
        <f t="shared" si="9"/>
        <v>0</v>
      </c>
      <c r="AE18" s="23">
        <f t="shared" si="0"/>
        <v>0</v>
      </c>
      <c r="AF18" s="23">
        <f t="shared" si="1"/>
        <v>0</v>
      </c>
      <c r="AG18" s="23">
        <f t="shared" si="10"/>
        <v>0</v>
      </c>
      <c r="AH18" s="23">
        <f t="shared" si="11"/>
        <v>0</v>
      </c>
      <c r="AI18" s="23">
        <f t="shared" si="2"/>
        <v>0</v>
      </c>
      <c r="AJ18" s="23">
        <f t="shared" si="3"/>
        <v>0</v>
      </c>
      <c r="AK18" s="23">
        <f t="shared" si="4"/>
        <v>0</v>
      </c>
      <c r="AL18" s="23">
        <f t="shared" si="12"/>
        <v>0</v>
      </c>
      <c r="AM18" s="23">
        <f t="shared" si="13"/>
        <v>0</v>
      </c>
      <c r="AN18" s="24"/>
      <c r="AO18" s="23">
        <f t="shared" si="14"/>
        <v>0</v>
      </c>
      <c r="AP18" s="23" t="e">
        <f t="shared" si="15"/>
        <v>#DIV/0!</v>
      </c>
      <c r="AQ18" s="23" t="e">
        <f t="shared" si="16"/>
        <v>#DIV/0!</v>
      </c>
      <c r="AR18" s="23" t="e">
        <f t="shared" si="17"/>
        <v>#DIV/0!</v>
      </c>
      <c r="AS18" s="30"/>
      <c r="AT18" s="31"/>
    </row>
    <row r="19" spans="1:47">
      <c r="A19" s="692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 t="shared" si="5"/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 t="shared" si="6"/>
        <v>0</v>
      </c>
      <c r="AB19" s="23">
        <f t="shared" si="7"/>
        <v>0</v>
      </c>
      <c r="AC19" s="23">
        <f t="shared" si="8"/>
        <v>0</v>
      </c>
      <c r="AD19" s="23">
        <f t="shared" si="9"/>
        <v>0</v>
      </c>
      <c r="AE19" s="23">
        <f t="shared" si="0"/>
        <v>0</v>
      </c>
      <c r="AF19" s="23">
        <f t="shared" si="1"/>
        <v>0</v>
      </c>
      <c r="AG19" s="23">
        <f t="shared" si="10"/>
        <v>0</v>
      </c>
      <c r="AH19" s="23">
        <f t="shared" si="11"/>
        <v>0</v>
      </c>
      <c r="AI19" s="23">
        <f t="shared" si="2"/>
        <v>0</v>
      </c>
      <c r="AJ19" s="23">
        <f t="shared" si="3"/>
        <v>0</v>
      </c>
      <c r="AK19" s="23">
        <f t="shared" si="4"/>
        <v>0</v>
      </c>
      <c r="AL19" s="23">
        <f t="shared" si="12"/>
        <v>0</v>
      </c>
      <c r="AM19" s="23">
        <f t="shared" si="13"/>
        <v>0</v>
      </c>
      <c r="AN19" s="24"/>
      <c r="AO19" s="23">
        <f t="shared" si="14"/>
        <v>0</v>
      </c>
      <c r="AP19" s="23" t="e">
        <f t="shared" si="15"/>
        <v>#DIV/0!</v>
      </c>
      <c r="AQ19" s="23" t="e">
        <f t="shared" si="16"/>
        <v>#DIV/0!</v>
      </c>
      <c r="AR19" s="23" t="e">
        <f>AO19/$AO$45</f>
        <v>#DIV/0!</v>
      </c>
      <c r="AS19" s="30"/>
      <c r="AT19" s="31"/>
    </row>
    <row r="20" spans="1:47">
      <c r="A20" s="692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 t="shared" si="5"/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 t="shared" si="6"/>
        <v>0</v>
      </c>
      <c r="AB20" s="23">
        <f t="shared" si="7"/>
        <v>0</v>
      </c>
      <c r="AC20" s="23">
        <f t="shared" si="8"/>
        <v>0</v>
      </c>
      <c r="AD20" s="23">
        <f t="shared" si="9"/>
        <v>0</v>
      </c>
      <c r="AE20" s="23">
        <f t="shared" si="0"/>
        <v>0</v>
      </c>
      <c r="AF20" s="23">
        <f t="shared" si="1"/>
        <v>0</v>
      </c>
      <c r="AG20" s="23">
        <f t="shared" si="10"/>
        <v>0</v>
      </c>
      <c r="AH20" s="23">
        <f t="shared" si="11"/>
        <v>0</v>
      </c>
      <c r="AI20" s="23">
        <f t="shared" si="2"/>
        <v>0</v>
      </c>
      <c r="AJ20" s="23">
        <f t="shared" si="3"/>
        <v>0</v>
      </c>
      <c r="AK20" s="23">
        <f t="shared" si="4"/>
        <v>0</v>
      </c>
      <c r="AL20" s="23">
        <f t="shared" si="12"/>
        <v>0</v>
      </c>
      <c r="AM20" s="23">
        <f t="shared" si="13"/>
        <v>0</v>
      </c>
      <c r="AN20" s="24"/>
      <c r="AO20" s="23">
        <f t="shared" si="14"/>
        <v>0</v>
      </c>
      <c r="AP20" s="23" t="e">
        <f>AO20/$AO$24</f>
        <v>#DIV/0!</v>
      </c>
      <c r="AQ20" s="23" t="e">
        <f t="shared" si="16"/>
        <v>#DIV/0!</v>
      </c>
      <c r="AR20" s="23" t="e">
        <f t="shared" ref="AR20:AR23" si="18">AO20/$AO$45</f>
        <v>#DIV/0!</v>
      </c>
      <c r="AS20" s="30"/>
      <c r="AT20" s="31"/>
    </row>
    <row r="21" spans="1:47">
      <c r="A21" s="692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 t="shared" si="5"/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 t="shared" si="6"/>
        <v>0</v>
      </c>
      <c r="AB21" s="23">
        <f t="shared" si="7"/>
        <v>0</v>
      </c>
      <c r="AC21" s="23">
        <f t="shared" si="8"/>
        <v>0</v>
      </c>
      <c r="AD21" s="23">
        <f t="shared" si="9"/>
        <v>0</v>
      </c>
      <c r="AE21" s="23">
        <f t="shared" si="0"/>
        <v>0</v>
      </c>
      <c r="AF21" s="23">
        <f t="shared" si="1"/>
        <v>0</v>
      </c>
      <c r="AG21" s="23">
        <f t="shared" si="10"/>
        <v>0</v>
      </c>
      <c r="AH21" s="23">
        <f t="shared" si="11"/>
        <v>0</v>
      </c>
      <c r="AI21" s="23">
        <f t="shared" si="2"/>
        <v>0</v>
      </c>
      <c r="AJ21" s="23">
        <f t="shared" si="3"/>
        <v>0</v>
      </c>
      <c r="AK21" s="23">
        <f t="shared" si="4"/>
        <v>0</v>
      </c>
      <c r="AL21" s="23">
        <f t="shared" si="12"/>
        <v>0</v>
      </c>
      <c r="AM21" s="23">
        <f t="shared" si="13"/>
        <v>0</v>
      </c>
      <c r="AN21" s="24"/>
      <c r="AO21" s="23">
        <f t="shared" si="14"/>
        <v>0</v>
      </c>
      <c r="AP21" s="23" t="e">
        <f t="shared" si="15"/>
        <v>#DIV/0!</v>
      </c>
      <c r="AQ21" s="23" t="e">
        <f>AO21/$AO$44</f>
        <v>#DIV/0!</v>
      </c>
      <c r="AR21" s="23" t="e">
        <f t="shared" si="18"/>
        <v>#DIV/0!</v>
      </c>
      <c r="AS21" s="30"/>
      <c r="AT21" s="31"/>
    </row>
    <row r="22" spans="1:47">
      <c r="A22" s="692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 t="shared" si="6"/>
        <v>0</v>
      </c>
      <c r="AB22" s="23">
        <f t="shared" si="7"/>
        <v>0</v>
      </c>
      <c r="AC22" s="23">
        <f t="shared" si="8"/>
        <v>0</v>
      </c>
      <c r="AD22" s="23">
        <f t="shared" si="9"/>
        <v>0</v>
      </c>
      <c r="AE22" s="23">
        <f t="shared" si="0"/>
        <v>0</v>
      </c>
      <c r="AF22" s="23">
        <f t="shared" si="1"/>
        <v>0</v>
      </c>
      <c r="AG22" s="23">
        <f t="shared" si="10"/>
        <v>0</v>
      </c>
      <c r="AH22" s="23">
        <f t="shared" si="11"/>
        <v>0</v>
      </c>
      <c r="AI22" s="23">
        <f t="shared" si="2"/>
        <v>0</v>
      </c>
      <c r="AJ22" s="23">
        <f t="shared" si="3"/>
        <v>0</v>
      </c>
      <c r="AK22" s="23">
        <f t="shared" si="4"/>
        <v>0</v>
      </c>
      <c r="AL22" s="23">
        <f t="shared" si="12"/>
        <v>0</v>
      </c>
      <c r="AM22" s="23">
        <f t="shared" si="13"/>
        <v>0</v>
      </c>
      <c r="AN22" s="24"/>
      <c r="AO22" s="23">
        <f t="shared" si="14"/>
        <v>0</v>
      </c>
      <c r="AP22" s="23" t="e">
        <f t="shared" si="15"/>
        <v>#DIV/0!</v>
      </c>
      <c r="AQ22" s="23" t="e">
        <f t="shared" si="16"/>
        <v>#DIV/0!</v>
      </c>
      <c r="AR22" s="23" t="e">
        <f t="shared" si="18"/>
        <v>#DIV/0!</v>
      </c>
      <c r="AS22" s="35"/>
      <c r="AT22" s="31"/>
    </row>
    <row r="23" spans="1:47">
      <c r="A23" s="692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 t="shared" si="5"/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 t="shared" si="6"/>
        <v>0</v>
      </c>
      <c r="AB23" s="23">
        <f t="shared" si="7"/>
        <v>0</v>
      </c>
      <c r="AC23" s="23">
        <f t="shared" si="8"/>
        <v>0</v>
      </c>
      <c r="AD23" s="23">
        <f t="shared" si="9"/>
        <v>0</v>
      </c>
      <c r="AE23" s="23">
        <f t="shared" si="0"/>
        <v>0</v>
      </c>
      <c r="AF23" s="23">
        <f t="shared" si="1"/>
        <v>0</v>
      </c>
      <c r="AG23" s="23">
        <f t="shared" si="10"/>
        <v>0</v>
      </c>
      <c r="AH23" s="23">
        <f t="shared" si="11"/>
        <v>0</v>
      </c>
      <c r="AI23" s="23">
        <f t="shared" si="2"/>
        <v>0</v>
      </c>
      <c r="AJ23" s="23">
        <f t="shared" si="3"/>
        <v>0</v>
      </c>
      <c r="AK23" s="23">
        <f t="shared" si="4"/>
        <v>0</v>
      </c>
      <c r="AL23" s="23">
        <f t="shared" si="12"/>
        <v>0</v>
      </c>
      <c r="AM23" s="23">
        <f t="shared" si="13"/>
        <v>0</v>
      </c>
      <c r="AN23" s="24"/>
      <c r="AO23" s="23">
        <f>D23*Q23/1000</f>
        <v>0</v>
      </c>
      <c r="AP23" s="23" t="e">
        <f t="shared" si="15"/>
        <v>#DIV/0!</v>
      </c>
      <c r="AQ23" s="23" t="e">
        <f>AO23/$AO$44</f>
        <v>#DIV/0!</v>
      </c>
      <c r="AR23" s="23" t="e">
        <f t="shared" si="18"/>
        <v>#DIV/0!</v>
      </c>
      <c r="AS23" s="25"/>
      <c r="AT23" s="31"/>
    </row>
    <row r="24" spans="1:47">
      <c r="A24" s="693"/>
      <c r="B24" s="39"/>
      <c r="C24" s="40"/>
      <c r="D24" s="41"/>
      <c r="E24" s="694"/>
      <c r="F24" s="695"/>
      <c r="G24" s="695"/>
      <c r="H24" s="695"/>
      <c r="I24" s="695"/>
      <c r="J24" s="695"/>
      <c r="K24" s="695"/>
      <c r="L24" s="695"/>
      <c r="M24" s="695"/>
      <c r="N24" s="695"/>
      <c r="O24" s="695"/>
      <c r="P24" s="695"/>
      <c r="Q24" s="696"/>
      <c r="R24" s="113"/>
      <c r="S24" s="113"/>
      <c r="T24" s="113"/>
      <c r="U24" s="113"/>
      <c r="V24" s="113"/>
      <c r="W24" s="113"/>
      <c r="X24" s="113"/>
      <c r="Y24" s="113"/>
      <c r="Z24" s="113"/>
      <c r="AA24" s="42">
        <f>SUM(AA10:AA23)</f>
        <v>0</v>
      </c>
      <c r="AB24" s="42">
        <f t="shared" ref="AB24:AN24" si="19">SUM(AB10:AB23)</f>
        <v>0</v>
      </c>
      <c r="AC24" s="42">
        <f t="shared" si="19"/>
        <v>0</v>
      </c>
      <c r="AD24" s="42">
        <f t="shared" si="19"/>
        <v>0</v>
      </c>
      <c r="AE24" s="42">
        <f t="shared" si="19"/>
        <v>0</v>
      </c>
      <c r="AF24" s="42">
        <f t="shared" si="19"/>
        <v>0</v>
      </c>
      <c r="AG24" s="42">
        <f t="shared" si="19"/>
        <v>0</v>
      </c>
      <c r="AH24" s="42">
        <f t="shared" si="19"/>
        <v>0</v>
      </c>
      <c r="AI24" s="42">
        <f t="shared" si="19"/>
        <v>0</v>
      </c>
      <c r="AJ24" s="42">
        <f t="shared" si="19"/>
        <v>0</v>
      </c>
      <c r="AK24" s="42">
        <f>SUM(AK10:AK23)</f>
        <v>0</v>
      </c>
      <c r="AL24" s="42">
        <f t="shared" si="19"/>
        <v>0</v>
      </c>
      <c r="AM24" s="42">
        <f t="shared" si="19"/>
        <v>0</v>
      </c>
      <c r="AN24" s="42">
        <f t="shared" si="19"/>
        <v>0</v>
      </c>
      <c r="AO24" s="42">
        <f>SUM(AO10:AO23)</f>
        <v>0</v>
      </c>
      <c r="AP24" s="42" t="e">
        <f>SUM(AP10:AP23)</f>
        <v>#DIV/0!</v>
      </c>
      <c r="AQ24" s="42"/>
      <c r="AR24" s="42"/>
      <c r="AS24" s="43"/>
    </row>
    <row r="25" spans="1:47">
      <c r="A25" s="708" t="s">
        <v>32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23" t="e">
        <f>AO25/$AO$30</f>
        <v>#DIV/0!</v>
      </c>
      <c r="AQ25" s="23"/>
      <c r="AR25" s="23"/>
      <c r="AS25" s="30"/>
    </row>
    <row r="26" spans="1:47">
      <c r="A26" s="709"/>
      <c r="B26" s="52"/>
      <c r="C26" s="53"/>
      <c r="D26" s="54"/>
      <c r="E26" s="19"/>
      <c r="F26" s="34"/>
      <c r="G26" s="223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 t="shared" ref="AA26:AA29" si="20">D26*E26*$AV$8/1000</f>
        <v>0</v>
      </c>
      <c r="AB26" s="56"/>
      <c r="AC26" s="224"/>
      <c r="AD26" s="57"/>
      <c r="AE26" s="57"/>
      <c r="AF26" s="57"/>
      <c r="AG26" s="56"/>
      <c r="AH26" s="224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23" t="e">
        <f>AO26/$AO$30</f>
        <v>#DIV/0!</v>
      </c>
      <c r="AQ26" s="154"/>
      <c r="AR26" s="154"/>
      <c r="AS26" s="58"/>
    </row>
    <row r="27" spans="1:47">
      <c r="A27" s="709"/>
      <c r="B27" s="52"/>
      <c r="C27" s="53"/>
      <c r="D27" s="54"/>
      <c r="E27" s="19"/>
      <c r="F27" s="34"/>
      <c r="G27" s="223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 t="shared" si="20"/>
        <v>0</v>
      </c>
      <c r="AB27" s="56"/>
      <c r="AC27" s="224"/>
      <c r="AD27" s="57"/>
      <c r="AE27" s="57"/>
      <c r="AF27" s="57"/>
      <c r="AG27" s="56"/>
      <c r="AH27" s="224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23" t="e">
        <f t="shared" ref="AP27:AP29" si="21">AO27/$AO$30</f>
        <v>#DIV/0!</v>
      </c>
      <c r="AQ27" s="154"/>
      <c r="AR27" s="154"/>
      <c r="AS27" s="58"/>
    </row>
    <row r="28" spans="1:47">
      <c r="A28" s="709"/>
      <c r="B28" s="52"/>
      <c r="C28" s="59"/>
      <c r="D28" s="54"/>
      <c r="E28" s="60"/>
      <c r="F28" s="34"/>
      <c r="G28" s="223"/>
      <c r="H28" s="21"/>
      <c r="I28" s="21"/>
      <c r="J28" s="21"/>
      <c r="K28" s="21"/>
      <c r="L28" s="21"/>
      <c r="M28" s="61"/>
      <c r="N28" s="55"/>
      <c r="O28" s="28"/>
      <c r="P28" s="54"/>
      <c r="Q28" s="22">
        <f t="shared" ref="Q28:Q29" si="22"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 t="shared" si="20"/>
        <v>0</v>
      </c>
      <c r="AB28" s="56"/>
      <c r="AC28" s="224"/>
      <c r="AD28" s="57"/>
      <c r="AE28" s="57"/>
      <c r="AF28" s="57"/>
      <c r="AG28" s="56"/>
      <c r="AH28" s="224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23" t="e">
        <f t="shared" si="21"/>
        <v>#DIV/0!</v>
      </c>
      <c r="AQ28" s="154"/>
      <c r="AR28" s="154"/>
      <c r="AS28" s="62"/>
      <c r="AT28" s="63"/>
    </row>
    <row r="29" spans="1:47">
      <c r="A29" s="709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 t="shared" si="22"/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 t="shared" si="20"/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23" t="e">
        <f t="shared" si="21"/>
        <v>#DIV/0!</v>
      </c>
      <c r="AQ29" s="154"/>
      <c r="AR29" s="154"/>
      <c r="AS29" s="62"/>
      <c r="AT29" s="63"/>
    </row>
    <row r="30" spans="1:47">
      <c r="A30" s="710"/>
      <c r="B30" s="711"/>
      <c r="C30" s="712"/>
      <c r="D30" s="712"/>
      <c r="E30" s="712"/>
      <c r="F30" s="712"/>
      <c r="G30" s="712"/>
      <c r="H30" s="712"/>
      <c r="I30" s="712"/>
      <c r="J30" s="712"/>
      <c r="K30" s="712"/>
      <c r="L30" s="712"/>
      <c r="M30" s="712"/>
      <c r="N30" s="712"/>
      <c r="O30" s="712"/>
      <c r="P30" s="712"/>
      <c r="Q30" s="713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5" t="e">
        <f>SUM(AP25:AP29)</f>
        <v>#DIV/0!</v>
      </c>
      <c r="AQ30" s="155"/>
      <c r="AR30" s="155"/>
      <c r="AS30" s="73"/>
      <c r="AT30" s="63"/>
    </row>
    <row r="31" spans="1:47">
      <c r="A31" s="691" t="s">
        <v>33</v>
      </c>
      <c r="B31" s="74"/>
      <c r="C31" s="15"/>
      <c r="D31" s="75"/>
      <c r="E31" s="714"/>
      <c r="F31" s="715"/>
      <c r="G31" s="715"/>
      <c r="H31" s="715"/>
      <c r="I31" s="715"/>
      <c r="J31" s="715"/>
      <c r="K31" s="715"/>
      <c r="L31" s="715"/>
      <c r="M31" s="715"/>
      <c r="N31" s="715"/>
      <c r="O31" s="715"/>
      <c r="P31" s="716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725"/>
      <c r="AB31" s="725"/>
      <c r="AC31" s="725"/>
      <c r="AD31" s="725"/>
      <c r="AE31" s="725"/>
      <c r="AF31" s="725"/>
      <c r="AG31" s="725"/>
      <c r="AH31" s="725"/>
      <c r="AI31" s="725"/>
      <c r="AJ31" s="725"/>
      <c r="AK31" s="725"/>
      <c r="AL31" s="725"/>
      <c r="AM31" s="725"/>
      <c r="AN31" s="726"/>
      <c r="AO31" s="23">
        <f>D31*Q31/1000</f>
        <v>0</v>
      </c>
      <c r="AP31" s="23" t="e">
        <f>AO31/$AO$35</f>
        <v>#DIV/0!</v>
      </c>
      <c r="AQ31" s="23" t="e">
        <f>AO31/$AO$44</f>
        <v>#DIV/0!</v>
      </c>
      <c r="AR31" s="23" t="e">
        <f>AO31/$AO$45</f>
        <v>#DIV/0!</v>
      </c>
      <c r="AS31" s="25"/>
      <c r="AU31" s="77"/>
    </row>
    <row r="32" spans="1:47">
      <c r="A32" s="692"/>
      <c r="B32" s="74"/>
      <c r="C32" s="15"/>
      <c r="D32" s="27"/>
      <c r="E32" s="717"/>
      <c r="F32" s="718"/>
      <c r="G32" s="718"/>
      <c r="H32" s="718"/>
      <c r="I32" s="718"/>
      <c r="J32" s="718"/>
      <c r="K32" s="718"/>
      <c r="L32" s="718"/>
      <c r="M32" s="718"/>
      <c r="N32" s="718"/>
      <c r="O32" s="718"/>
      <c r="P32" s="719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727"/>
      <c r="AB32" s="727"/>
      <c r="AC32" s="727"/>
      <c r="AD32" s="727"/>
      <c r="AE32" s="727"/>
      <c r="AF32" s="727"/>
      <c r="AG32" s="727"/>
      <c r="AH32" s="727"/>
      <c r="AI32" s="727"/>
      <c r="AJ32" s="727"/>
      <c r="AK32" s="727"/>
      <c r="AL32" s="727"/>
      <c r="AM32" s="727"/>
      <c r="AN32" s="728"/>
      <c r="AO32" s="23">
        <f>D32*Q32/1000</f>
        <v>0</v>
      </c>
      <c r="AP32" s="23" t="e">
        <f>AO32/$AO$35</f>
        <v>#DIV/0!</v>
      </c>
      <c r="AQ32" s="23" t="e">
        <f t="shared" ref="AQ32" si="23">AO32/$AO$44</f>
        <v>#DIV/0!</v>
      </c>
      <c r="AR32" s="23" t="e">
        <f t="shared" ref="AR32:AR34" si="24">AO32/$AO$45</f>
        <v>#DIV/0!</v>
      </c>
      <c r="AS32" s="30"/>
      <c r="AT32" s="31"/>
      <c r="AU32" s="79"/>
    </row>
    <row r="33" spans="1:47">
      <c r="A33" s="692"/>
      <c r="B33" s="74"/>
      <c r="C33" s="15"/>
      <c r="D33" s="27"/>
      <c r="E33" s="717"/>
      <c r="F33" s="718"/>
      <c r="G33" s="718"/>
      <c r="H33" s="718"/>
      <c r="I33" s="718"/>
      <c r="J33" s="718"/>
      <c r="K33" s="718"/>
      <c r="L33" s="718"/>
      <c r="M33" s="718"/>
      <c r="N33" s="718"/>
      <c r="O33" s="718"/>
      <c r="P33" s="719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727"/>
      <c r="AB33" s="727"/>
      <c r="AC33" s="727"/>
      <c r="AD33" s="727"/>
      <c r="AE33" s="727"/>
      <c r="AF33" s="727"/>
      <c r="AG33" s="727"/>
      <c r="AH33" s="727"/>
      <c r="AI33" s="727"/>
      <c r="AJ33" s="727"/>
      <c r="AK33" s="727"/>
      <c r="AL33" s="727"/>
      <c r="AM33" s="727"/>
      <c r="AN33" s="728"/>
      <c r="AO33" s="23">
        <f>D33*Q33/1000</f>
        <v>0</v>
      </c>
      <c r="AP33" s="23" t="e">
        <f t="shared" ref="AP33:AP34" si="25">AO33/$AO$35</f>
        <v>#DIV/0!</v>
      </c>
      <c r="AQ33" s="23" t="e">
        <f>AO33/$AO$44</f>
        <v>#DIV/0!</v>
      </c>
      <c r="AR33" s="23" t="e">
        <f t="shared" si="24"/>
        <v>#DIV/0!</v>
      </c>
      <c r="AS33" s="25"/>
    </row>
    <row r="34" spans="1:47">
      <c r="A34" s="692"/>
      <c r="B34" s="74"/>
      <c r="C34" s="15"/>
      <c r="D34" s="80"/>
      <c r="E34" s="720"/>
      <c r="F34" s="721"/>
      <c r="G34" s="721"/>
      <c r="H34" s="721"/>
      <c r="I34" s="721"/>
      <c r="J34" s="721"/>
      <c r="K34" s="721"/>
      <c r="L34" s="721"/>
      <c r="M34" s="721"/>
      <c r="N34" s="721"/>
      <c r="O34" s="721"/>
      <c r="P34" s="722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729"/>
      <c r="AB34" s="729"/>
      <c r="AC34" s="729"/>
      <c r="AD34" s="729"/>
      <c r="AE34" s="729"/>
      <c r="AF34" s="729"/>
      <c r="AG34" s="729"/>
      <c r="AH34" s="729"/>
      <c r="AI34" s="729"/>
      <c r="AJ34" s="729"/>
      <c r="AK34" s="729"/>
      <c r="AL34" s="729"/>
      <c r="AM34" s="729"/>
      <c r="AN34" s="730"/>
      <c r="AO34" s="23"/>
      <c r="AP34" s="23" t="e">
        <f t="shared" si="25"/>
        <v>#DIV/0!</v>
      </c>
      <c r="AQ34" s="23" t="e">
        <f>AO34/$AO$44</f>
        <v>#DIV/0!</v>
      </c>
      <c r="AR34" s="23" t="e">
        <f t="shared" si="24"/>
        <v>#DIV/0!</v>
      </c>
      <c r="AS34" s="25"/>
      <c r="AU34" s="82"/>
    </row>
    <row r="35" spans="1:47">
      <c r="A35" s="693"/>
      <c r="B35" s="731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3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71" t="e">
        <f>SUM(AP31:AP34)</f>
        <v>#DIV/0!</v>
      </c>
      <c r="AQ35" s="71"/>
      <c r="AR35" s="71"/>
      <c r="AS35" s="83"/>
    </row>
    <row r="36" spans="1:47">
      <c r="A36" s="691" t="s">
        <v>34</v>
      </c>
      <c r="B36" s="84"/>
      <c r="C36" s="85"/>
      <c r="D36" s="86"/>
      <c r="E36" s="734"/>
      <c r="F36" s="735"/>
      <c r="G36" s="735"/>
      <c r="H36" s="735"/>
      <c r="I36" s="735"/>
      <c r="J36" s="735"/>
      <c r="K36" s="735"/>
      <c r="L36" s="735"/>
      <c r="M36" s="735"/>
      <c r="N36" s="735"/>
      <c r="O36" s="735"/>
      <c r="P36" s="735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725"/>
      <c r="AB36" s="725"/>
      <c r="AC36" s="725"/>
      <c r="AD36" s="725"/>
      <c r="AE36" s="725"/>
      <c r="AF36" s="725"/>
      <c r="AG36" s="725"/>
      <c r="AH36" s="725"/>
      <c r="AI36" s="725"/>
      <c r="AJ36" s="725"/>
      <c r="AK36" s="725"/>
      <c r="AL36" s="725"/>
      <c r="AM36" s="725"/>
      <c r="AN36" s="726"/>
      <c r="AO36" s="23">
        <f t="shared" ref="AO36:AO41" si="26">D36*Q36/1000</f>
        <v>0</v>
      </c>
      <c r="AP36" s="23" t="e">
        <f>AO36/$AO$43</f>
        <v>#DIV/0!</v>
      </c>
      <c r="AQ36" s="23"/>
      <c r="AR36" s="23" t="e">
        <f>AO36/$AO$45</f>
        <v>#DIV/0!</v>
      </c>
      <c r="AS36" s="25"/>
    </row>
    <row r="37" spans="1:47">
      <c r="A37" s="692"/>
      <c r="B37" s="74"/>
      <c r="C37" s="87"/>
      <c r="D37" s="88"/>
      <c r="E37" s="736"/>
      <c r="F37" s="737"/>
      <c r="G37" s="737"/>
      <c r="H37" s="737"/>
      <c r="I37" s="737"/>
      <c r="J37" s="737"/>
      <c r="K37" s="737"/>
      <c r="L37" s="737"/>
      <c r="M37" s="737"/>
      <c r="N37" s="737"/>
      <c r="O37" s="737"/>
      <c r="P37" s="737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727"/>
      <c r="AB37" s="727"/>
      <c r="AC37" s="727"/>
      <c r="AD37" s="727"/>
      <c r="AE37" s="727"/>
      <c r="AF37" s="727"/>
      <c r="AG37" s="727"/>
      <c r="AH37" s="727"/>
      <c r="AI37" s="727"/>
      <c r="AJ37" s="727"/>
      <c r="AK37" s="727"/>
      <c r="AL37" s="727"/>
      <c r="AM37" s="727"/>
      <c r="AN37" s="728"/>
      <c r="AO37" s="23">
        <f t="shared" si="26"/>
        <v>0</v>
      </c>
      <c r="AP37" s="23" t="e">
        <f t="shared" ref="AP37:AP42" si="27">AO37/$AO$43</f>
        <v>#DIV/0!</v>
      </c>
      <c r="AQ37" s="23"/>
      <c r="AR37" s="23" t="e">
        <f t="shared" ref="AR37:AR41" si="28">AO37/$AO$45</f>
        <v>#DIV/0!</v>
      </c>
      <c r="AS37" s="30"/>
      <c r="AT37" s="31"/>
    </row>
    <row r="38" spans="1:47">
      <c r="A38" s="692"/>
      <c r="B38" s="74"/>
      <c r="C38" s="87"/>
      <c r="D38" s="88"/>
      <c r="E38" s="736"/>
      <c r="F38" s="737"/>
      <c r="G38" s="737"/>
      <c r="H38" s="737"/>
      <c r="I38" s="737"/>
      <c r="J38" s="737"/>
      <c r="K38" s="737"/>
      <c r="L38" s="737"/>
      <c r="M38" s="737"/>
      <c r="N38" s="737"/>
      <c r="O38" s="737"/>
      <c r="P38" s="737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727"/>
      <c r="AB38" s="727"/>
      <c r="AC38" s="727"/>
      <c r="AD38" s="727"/>
      <c r="AE38" s="727"/>
      <c r="AF38" s="727"/>
      <c r="AG38" s="727"/>
      <c r="AH38" s="727"/>
      <c r="AI38" s="727"/>
      <c r="AJ38" s="727"/>
      <c r="AK38" s="727"/>
      <c r="AL38" s="727"/>
      <c r="AM38" s="727"/>
      <c r="AN38" s="728"/>
      <c r="AO38" s="23">
        <f t="shared" si="26"/>
        <v>0</v>
      </c>
      <c r="AP38" s="23" t="e">
        <f t="shared" si="27"/>
        <v>#DIV/0!</v>
      </c>
      <c r="AQ38" s="23"/>
      <c r="AR38" s="23" t="e">
        <f t="shared" si="28"/>
        <v>#DIV/0!</v>
      </c>
      <c r="AS38" s="30"/>
    </row>
    <row r="39" spans="1:47">
      <c r="A39" s="692"/>
      <c r="B39" s="74"/>
      <c r="C39" s="87"/>
      <c r="D39" s="88"/>
      <c r="E39" s="736"/>
      <c r="F39" s="737"/>
      <c r="G39" s="737"/>
      <c r="H39" s="737"/>
      <c r="I39" s="737"/>
      <c r="J39" s="737"/>
      <c r="K39" s="737"/>
      <c r="L39" s="737"/>
      <c r="M39" s="737"/>
      <c r="N39" s="737"/>
      <c r="O39" s="737"/>
      <c r="P39" s="737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727"/>
      <c r="AB39" s="727"/>
      <c r="AC39" s="727"/>
      <c r="AD39" s="727"/>
      <c r="AE39" s="727"/>
      <c r="AF39" s="727"/>
      <c r="AG39" s="727"/>
      <c r="AH39" s="727"/>
      <c r="AI39" s="727"/>
      <c r="AJ39" s="727"/>
      <c r="AK39" s="727"/>
      <c r="AL39" s="727"/>
      <c r="AM39" s="727"/>
      <c r="AN39" s="728"/>
      <c r="AO39" s="23">
        <f t="shared" si="26"/>
        <v>0</v>
      </c>
      <c r="AP39" s="23" t="e">
        <f t="shared" si="27"/>
        <v>#DIV/0!</v>
      </c>
      <c r="AQ39" s="23"/>
      <c r="AR39" s="23" t="e">
        <f t="shared" si="28"/>
        <v>#DIV/0!</v>
      </c>
      <c r="AS39" s="25"/>
      <c r="AU39" s="89"/>
    </row>
    <row r="40" spans="1:47">
      <c r="A40" s="692"/>
      <c r="B40" s="74"/>
      <c r="C40" s="87"/>
      <c r="D40" s="88"/>
      <c r="E40" s="736"/>
      <c r="F40" s="737"/>
      <c r="G40" s="737"/>
      <c r="H40" s="737"/>
      <c r="I40" s="737"/>
      <c r="J40" s="737"/>
      <c r="K40" s="737"/>
      <c r="L40" s="737"/>
      <c r="M40" s="737"/>
      <c r="N40" s="737"/>
      <c r="O40" s="737"/>
      <c r="P40" s="737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727"/>
      <c r="AB40" s="727"/>
      <c r="AC40" s="727"/>
      <c r="AD40" s="727"/>
      <c r="AE40" s="727"/>
      <c r="AF40" s="727"/>
      <c r="AG40" s="727"/>
      <c r="AH40" s="727"/>
      <c r="AI40" s="727"/>
      <c r="AJ40" s="727"/>
      <c r="AK40" s="727"/>
      <c r="AL40" s="727"/>
      <c r="AM40" s="727"/>
      <c r="AN40" s="728"/>
      <c r="AO40" s="23">
        <f t="shared" si="26"/>
        <v>0</v>
      </c>
      <c r="AP40" s="23" t="e">
        <f t="shared" si="27"/>
        <v>#DIV/0!</v>
      </c>
      <c r="AQ40" s="23"/>
      <c r="AR40" s="23" t="e">
        <f t="shared" si="28"/>
        <v>#DIV/0!</v>
      </c>
      <c r="AS40" s="25"/>
    </row>
    <row r="41" spans="1:47">
      <c r="A41" s="692"/>
      <c r="B41" s="52"/>
      <c r="C41" s="87"/>
      <c r="D41" s="27"/>
      <c r="E41" s="736"/>
      <c r="F41" s="737"/>
      <c r="G41" s="737"/>
      <c r="H41" s="737"/>
      <c r="I41" s="737"/>
      <c r="J41" s="737"/>
      <c r="K41" s="737"/>
      <c r="L41" s="737"/>
      <c r="M41" s="737"/>
      <c r="N41" s="737"/>
      <c r="O41" s="737"/>
      <c r="P41" s="737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727"/>
      <c r="AB41" s="727"/>
      <c r="AC41" s="727"/>
      <c r="AD41" s="727"/>
      <c r="AE41" s="727"/>
      <c r="AF41" s="727"/>
      <c r="AG41" s="727"/>
      <c r="AH41" s="727"/>
      <c r="AI41" s="727"/>
      <c r="AJ41" s="727"/>
      <c r="AK41" s="727"/>
      <c r="AL41" s="727"/>
      <c r="AM41" s="727"/>
      <c r="AN41" s="728"/>
      <c r="AO41" s="23">
        <f t="shared" si="26"/>
        <v>0</v>
      </c>
      <c r="AP41" s="23" t="e">
        <f t="shared" si="27"/>
        <v>#DIV/0!</v>
      </c>
      <c r="AQ41" s="23"/>
      <c r="AR41" s="23" t="e">
        <f t="shared" si="28"/>
        <v>#DIV/0!</v>
      </c>
      <c r="AS41" s="25"/>
    </row>
    <row r="42" spans="1:47">
      <c r="A42" s="692"/>
      <c r="B42" s="90"/>
      <c r="C42" s="87"/>
      <c r="D42" s="80"/>
      <c r="E42" s="738"/>
      <c r="F42" s="739"/>
      <c r="G42" s="739"/>
      <c r="H42" s="739"/>
      <c r="I42" s="739"/>
      <c r="J42" s="739"/>
      <c r="K42" s="739"/>
      <c r="L42" s="739"/>
      <c r="M42" s="739"/>
      <c r="N42" s="739"/>
      <c r="O42" s="739"/>
      <c r="P42" s="739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729"/>
      <c r="AB42" s="729"/>
      <c r="AC42" s="729"/>
      <c r="AD42" s="729"/>
      <c r="AE42" s="729"/>
      <c r="AF42" s="729"/>
      <c r="AG42" s="729"/>
      <c r="AH42" s="729"/>
      <c r="AI42" s="729"/>
      <c r="AJ42" s="729"/>
      <c r="AK42" s="729"/>
      <c r="AL42" s="729"/>
      <c r="AM42" s="729"/>
      <c r="AN42" s="730"/>
      <c r="AO42" s="23"/>
      <c r="AP42" s="23" t="e">
        <f t="shared" si="27"/>
        <v>#DIV/0!</v>
      </c>
      <c r="AQ42" s="23"/>
      <c r="AR42" s="23" t="e">
        <f>AO42/$AO$45</f>
        <v>#DIV/0!</v>
      </c>
      <c r="AS42" s="25"/>
    </row>
    <row r="43" spans="1:47">
      <c r="A43" s="693"/>
      <c r="B43" s="731"/>
      <c r="C43" s="732"/>
      <c r="D43" s="732"/>
      <c r="E43" s="732"/>
      <c r="F43" s="732"/>
      <c r="G43" s="732"/>
      <c r="H43" s="732"/>
      <c r="I43" s="732"/>
      <c r="J43" s="732"/>
      <c r="K43" s="732"/>
      <c r="L43" s="732"/>
      <c r="M43" s="732"/>
      <c r="N43" s="732"/>
      <c r="O43" s="732"/>
      <c r="P43" s="732"/>
      <c r="Q43" s="733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5" t="e">
        <f>SUM(AP36:AP42)</f>
        <v>#DIV/0!</v>
      </c>
      <c r="AQ43" s="155"/>
      <c r="AR43" s="155"/>
      <c r="AS43" s="73"/>
    </row>
    <row r="44" spans="1:47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 t="shared" ref="AA44:AN44" si="29">AA24+AA35</f>
        <v>0</v>
      </c>
      <c r="AB44" s="93">
        <f t="shared" si="29"/>
        <v>0</v>
      </c>
      <c r="AC44" s="93"/>
      <c r="AD44" s="93">
        <f t="shared" si="29"/>
        <v>0</v>
      </c>
      <c r="AE44" s="93">
        <f t="shared" si="29"/>
        <v>0</v>
      </c>
      <c r="AF44" s="93">
        <f t="shared" si="29"/>
        <v>0</v>
      </c>
      <c r="AG44" s="93">
        <f t="shared" si="29"/>
        <v>0</v>
      </c>
      <c r="AH44" s="93"/>
      <c r="AI44" s="93">
        <f t="shared" si="29"/>
        <v>0</v>
      </c>
      <c r="AJ44" s="93">
        <f t="shared" si="29"/>
        <v>0</v>
      </c>
      <c r="AK44" s="93">
        <f t="shared" si="29"/>
        <v>0</v>
      </c>
      <c r="AL44" s="93">
        <f t="shared" si="29"/>
        <v>0</v>
      </c>
      <c r="AM44" s="93">
        <f t="shared" si="29"/>
        <v>0</v>
      </c>
      <c r="AN44" s="93">
        <f t="shared" si="29"/>
        <v>0</v>
      </c>
      <c r="AO44" s="93">
        <f>AO24+AO35</f>
        <v>0</v>
      </c>
      <c r="AP44" s="93"/>
      <c r="AQ44" s="93" t="e">
        <f>SUM(AQ10:AQ23)+SUM(AQ31:AQ34)</f>
        <v>#DIV/0!</v>
      </c>
      <c r="AR44" s="93" t="e">
        <f>SUM(AR10:AR23)+SUM(AR31:AR34)+SUM(AR36:AR42)</f>
        <v>#DIV/0!</v>
      </c>
      <c r="AS44" s="94"/>
      <c r="AT44" s="63"/>
    </row>
    <row r="45" spans="1:47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 t="shared" ref="AA45:AN45" si="30">AA24+AA35+AA43</f>
        <v>0</v>
      </c>
      <c r="AB45" s="93">
        <f t="shared" si="30"/>
        <v>0</v>
      </c>
      <c r="AC45" s="93"/>
      <c r="AD45" s="93">
        <f t="shared" si="30"/>
        <v>0</v>
      </c>
      <c r="AE45" s="93">
        <f t="shared" si="30"/>
        <v>0</v>
      </c>
      <c r="AF45" s="93">
        <f t="shared" si="30"/>
        <v>0</v>
      </c>
      <c r="AG45" s="93">
        <f t="shared" si="30"/>
        <v>0</v>
      </c>
      <c r="AH45" s="93"/>
      <c r="AI45" s="93">
        <f t="shared" si="30"/>
        <v>0</v>
      </c>
      <c r="AJ45" s="93">
        <f t="shared" si="30"/>
        <v>0</v>
      </c>
      <c r="AK45" s="93">
        <f t="shared" si="30"/>
        <v>0</v>
      </c>
      <c r="AL45" s="93">
        <f t="shared" si="30"/>
        <v>0</v>
      </c>
      <c r="AM45" s="93">
        <f t="shared" si="30"/>
        <v>0</v>
      </c>
      <c r="AN45" s="93">
        <f t="shared" si="30"/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47">
      <c r="A46" s="95" t="s">
        <v>35</v>
      </c>
      <c r="B46" s="723" t="str">
        <f>'Fr-01'!G4</f>
        <v>ชื่อผู้จัดทำ</v>
      </c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47">
      <c r="A47" s="89"/>
      <c r="B47" s="89"/>
      <c r="C47" s="98"/>
      <c r="D47" s="9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47">
      <c r="B48" s="89"/>
    </row>
    <row r="49" spans="2:2" ht="20.25">
      <c r="B49" s="101"/>
    </row>
    <row r="50" spans="2:2" ht="20.25">
      <c r="B50" s="101"/>
    </row>
    <row r="51" spans="2:2" ht="20.25">
      <c r="B51" s="101"/>
    </row>
  </sheetData>
  <mergeCells count="57">
    <mergeCell ref="AA31:AN34"/>
    <mergeCell ref="B35:Q35"/>
    <mergeCell ref="A36:A43"/>
    <mergeCell ref="E36:P42"/>
    <mergeCell ref="AA36:AN42"/>
    <mergeCell ref="B43:Q43"/>
    <mergeCell ref="A25:A30"/>
    <mergeCell ref="B30:Q30"/>
    <mergeCell ref="A31:A35"/>
    <mergeCell ref="E31:P34"/>
    <mergeCell ref="B46:Q46"/>
    <mergeCell ref="A10:A24"/>
    <mergeCell ref="E24:Q24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C3:F3"/>
    <mergeCell ref="B1:AN2"/>
    <mergeCell ref="AO1:AS2"/>
    <mergeCell ref="C4:F4"/>
    <mergeCell ref="I3:AA3"/>
    <mergeCell ref="I4:AA4"/>
    <mergeCell ref="AB3:AD3"/>
    <mergeCell ref="AE3:AN3"/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</mergeCells>
  <phoneticPr fontId="8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51"/>
  <sheetViews>
    <sheetView topLeftCell="T1" workbookViewId="0">
      <selection activeCell="AS6" sqref="AS6:AS9"/>
    </sheetView>
  </sheetViews>
  <sheetFormatPr defaultColWidth="8.85546875" defaultRowHeight="15"/>
  <cols>
    <col min="2" max="2" width="16.140625" customWidth="1"/>
    <col min="4" max="4" width="13.42578125" bestFit="1" customWidth="1"/>
    <col min="15" max="15" width="11.7109375" customWidth="1"/>
    <col min="17" max="17" width="13.140625" customWidth="1"/>
    <col min="18" max="25" width="3.140625" customWidth="1"/>
    <col min="26" max="26" width="16.42578125" customWidth="1"/>
    <col min="41" max="44" width="12.42578125" customWidth="1"/>
    <col min="45" max="45" width="44.42578125" customWidth="1"/>
    <col min="46" max="46" width="2.42578125" customWidth="1"/>
    <col min="47" max="47" width="10.28515625" bestFit="1" customWidth="1"/>
    <col min="48" max="48" width="9.42578125" bestFit="1" customWidth="1"/>
  </cols>
  <sheetData>
    <row r="1" spans="1:60" s="236" customFormat="1" ht="15" customHeight="1">
      <c r="A1" s="646"/>
      <c r="B1" s="740" t="s">
        <v>203</v>
      </c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741"/>
      <c r="AA1" s="741"/>
      <c r="AB1" s="741"/>
      <c r="AC1" s="741"/>
      <c r="AD1" s="741"/>
      <c r="AE1" s="741"/>
      <c r="AF1" s="741"/>
      <c r="AG1" s="741"/>
      <c r="AH1" s="741"/>
      <c r="AI1" s="741"/>
      <c r="AJ1" s="741"/>
      <c r="AK1" s="741"/>
      <c r="AL1" s="741"/>
      <c r="AM1" s="741"/>
      <c r="AN1" s="742"/>
      <c r="AO1" s="631" t="s">
        <v>516</v>
      </c>
      <c r="AP1" s="632"/>
      <c r="AQ1" s="632"/>
      <c r="AR1" s="632"/>
      <c r="AS1" s="633"/>
      <c r="BF1" s="244"/>
      <c r="BG1" s="244"/>
      <c r="BH1" s="244"/>
    </row>
    <row r="2" spans="1:60" s="236" customFormat="1" ht="15" customHeight="1">
      <c r="A2" s="647"/>
      <c r="B2" s="743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/>
      <c r="U2" s="744"/>
      <c r="V2" s="744"/>
      <c r="W2" s="744"/>
      <c r="X2" s="744"/>
      <c r="Y2" s="744"/>
      <c r="Z2" s="744"/>
      <c r="AA2" s="744"/>
      <c r="AB2" s="744"/>
      <c r="AC2" s="744"/>
      <c r="AD2" s="744"/>
      <c r="AE2" s="744"/>
      <c r="AF2" s="744"/>
      <c r="AG2" s="744"/>
      <c r="AH2" s="744"/>
      <c r="AI2" s="744"/>
      <c r="AJ2" s="744"/>
      <c r="AK2" s="744"/>
      <c r="AL2" s="744"/>
      <c r="AM2" s="744"/>
      <c r="AN2" s="745"/>
      <c r="AO2" s="634"/>
      <c r="AP2" s="635"/>
      <c r="AQ2" s="635"/>
      <c r="AR2" s="635"/>
      <c r="AS2" s="636"/>
      <c r="BF2" s="244"/>
      <c r="BG2" s="244"/>
      <c r="BH2" s="244"/>
    </row>
    <row r="3" spans="1:60" s="236" customFormat="1" ht="21.75" customHeight="1">
      <c r="A3" s="647"/>
      <c r="B3" s="245" t="s">
        <v>0</v>
      </c>
      <c r="C3" s="622" t="s">
        <v>97</v>
      </c>
      <c r="D3" s="623"/>
      <c r="E3" s="623"/>
      <c r="F3" s="624"/>
      <c r="G3" s="250"/>
      <c r="H3" s="246" t="s">
        <v>98</v>
      </c>
      <c r="I3" s="637" t="str">
        <f>'Fr-01'!$B$6</f>
        <v>ชื่อองค์กรที่ขอขึ้นทะเบียน</v>
      </c>
      <c r="J3" s="638"/>
      <c r="K3" s="638"/>
      <c r="L3" s="638"/>
      <c r="M3" s="638"/>
      <c r="N3" s="638"/>
      <c r="O3" s="638"/>
      <c r="P3" s="638"/>
      <c r="Q3" s="638"/>
      <c r="R3" s="638"/>
      <c r="S3" s="638"/>
      <c r="T3" s="638"/>
      <c r="U3" s="638"/>
      <c r="V3" s="638"/>
      <c r="W3" s="638"/>
      <c r="X3" s="638"/>
      <c r="Y3" s="638"/>
      <c r="Z3" s="638"/>
      <c r="AA3" s="639"/>
      <c r="AB3" s="643" t="s">
        <v>205</v>
      </c>
      <c r="AC3" s="644"/>
      <c r="AD3" s="645"/>
      <c r="AE3" s="637" t="str">
        <f>'Fr-01'!H24</f>
        <v xml:space="preserve"> ระบุปีฐาน เช่น ม.ค.61-ธ.ค.61</v>
      </c>
      <c r="AF3" s="638"/>
      <c r="AG3" s="638"/>
      <c r="AH3" s="638"/>
      <c r="AI3" s="638"/>
      <c r="AJ3" s="638"/>
      <c r="AK3" s="638"/>
      <c r="AL3" s="638"/>
      <c r="AM3" s="638"/>
      <c r="AN3" s="639"/>
      <c r="AO3" s="614" t="s">
        <v>99</v>
      </c>
      <c r="AP3" s="615"/>
      <c r="AQ3" s="616"/>
      <c r="AR3" s="617">
        <v>5</v>
      </c>
      <c r="AS3" s="618"/>
      <c r="BF3" s="244"/>
      <c r="BG3" s="244"/>
      <c r="BH3" s="244"/>
    </row>
    <row r="4" spans="1:60" s="236" customFormat="1" ht="21" customHeight="1">
      <c r="A4" s="648"/>
      <c r="B4" s="245" t="s">
        <v>1</v>
      </c>
      <c r="C4" s="622" t="s">
        <v>268</v>
      </c>
      <c r="D4" s="623"/>
      <c r="E4" s="623"/>
      <c r="F4" s="624"/>
      <c r="G4" s="250"/>
      <c r="H4" s="246" t="s">
        <v>101</v>
      </c>
      <c r="I4" s="640" t="str">
        <f>'Fr-01'!$G$4</f>
        <v>ชื่อผู้จัดทำ</v>
      </c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2"/>
      <c r="AB4" s="247"/>
      <c r="AC4" s="249"/>
      <c r="AD4" s="248"/>
      <c r="AE4" s="249"/>
      <c r="AF4" s="249"/>
      <c r="AG4" s="249"/>
      <c r="AH4" s="249"/>
      <c r="AI4" s="249"/>
      <c r="AJ4" s="249"/>
      <c r="AK4" s="249"/>
      <c r="AL4" s="249"/>
      <c r="AM4" s="249"/>
      <c r="AN4" s="248"/>
      <c r="AO4" s="614" t="s">
        <v>117</v>
      </c>
      <c r="AP4" s="615"/>
      <c r="AQ4" s="616"/>
      <c r="AR4" s="614"/>
      <c r="AS4" s="616"/>
      <c r="BF4" s="244"/>
      <c r="BG4" s="244"/>
      <c r="BH4" s="244"/>
    </row>
    <row r="5" spans="1:60">
      <c r="A5" s="651"/>
      <c r="B5" s="652"/>
      <c r="C5" s="652"/>
      <c r="D5" s="652"/>
      <c r="E5" s="652"/>
      <c r="F5" s="652"/>
      <c r="G5" s="652"/>
      <c r="H5" s="652"/>
      <c r="I5" s="652"/>
      <c r="J5" s="652"/>
      <c r="K5" s="652"/>
      <c r="L5" s="652"/>
      <c r="M5" s="652"/>
      <c r="N5" s="652"/>
      <c r="O5" s="652"/>
      <c r="P5" s="652"/>
      <c r="Q5" s="652"/>
      <c r="R5" s="652"/>
      <c r="S5" s="652"/>
      <c r="T5" s="652"/>
      <c r="U5" s="652"/>
      <c r="V5" s="652"/>
      <c r="W5" s="652"/>
      <c r="X5" s="652"/>
      <c r="Y5" s="652"/>
      <c r="Z5" s="652"/>
      <c r="AA5" s="652"/>
      <c r="AB5" s="652"/>
      <c r="AC5" s="652"/>
      <c r="AD5" s="652"/>
      <c r="AE5" s="652"/>
      <c r="AF5" s="652"/>
      <c r="AG5" s="652"/>
      <c r="AH5" s="652"/>
      <c r="AI5" s="652"/>
      <c r="AJ5" s="652"/>
      <c r="AK5" s="652"/>
      <c r="AL5" s="652"/>
      <c r="AM5" s="652"/>
      <c r="AN5" s="652"/>
      <c r="AO5" s="652"/>
      <c r="AP5" s="652"/>
      <c r="AQ5" s="652"/>
      <c r="AR5" s="652"/>
      <c r="AS5" s="653"/>
    </row>
    <row r="6" spans="1:60" ht="15" customHeight="1">
      <c r="A6" s="654" t="s">
        <v>3</v>
      </c>
      <c r="B6" s="657" t="s">
        <v>4</v>
      </c>
      <c r="C6" s="660" t="s">
        <v>5</v>
      </c>
      <c r="D6" s="661"/>
      <c r="E6" s="666" t="s">
        <v>6</v>
      </c>
      <c r="F6" s="667"/>
      <c r="G6" s="667"/>
      <c r="H6" s="667"/>
      <c r="I6" s="667"/>
      <c r="J6" s="667"/>
      <c r="K6" s="667"/>
      <c r="L6" s="667"/>
      <c r="M6" s="667"/>
      <c r="N6" s="668"/>
      <c r="O6" s="666" t="s">
        <v>7</v>
      </c>
      <c r="P6" s="668"/>
      <c r="Q6" s="672" t="s">
        <v>8</v>
      </c>
      <c r="R6" s="702" t="s">
        <v>13</v>
      </c>
      <c r="S6" s="703"/>
      <c r="T6" s="703"/>
      <c r="U6" s="703"/>
      <c r="V6" s="703"/>
      <c r="W6" s="703"/>
      <c r="X6" s="706"/>
      <c r="Y6" s="649" t="s">
        <v>118</v>
      </c>
      <c r="Z6" s="697" t="s">
        <v>119</v>
      </c>
      <c r="AA6" s="680" t="s">
        <v>128</v>
      </c>
      <c r="AB6" s="681"/>
      <c r="AC6" s="681"/>
      <c r="AD6" s="681"/>
      <c r="AE6" s="681"/>
      <c r="AF6" s="682"/>
      <c r="AG6" s="681" t="s">
        <v>9</v>
      </c>
      <c r="AH6" s="681"/>
      <c r="AI6" s="681"/>
      <c r="AJ6" s="681"/>
      <c r="AK6" s="681"/>
      <c r="AL6" s="681"/>
      <c r="AM6" s="681"/>
      <c r="AN6" s="682"/>
      <c r="AO6" s="689" t="s">
        <v>10</v>
      </c>
      <c r="AP6" s="611" t="s">
        <v>131</v>
      </c>
      <c r="AQ6" s="611" t="s">
        <v>132</v>
      </c>
      <c r="AR6" s="611" t="s">
        <v>133</v>
      </c>
      <c r="AS6" s="746" t="s">
        <v>204</v>
      </c>
      <c r="AU6" s="609" t="s">
        <v>12</v>
      </c>
      <c r="AV6" s="610"/>
    </row>
    <row r="7" spans="1:60" ht="15" customHeight="1">
      <c r="A7" s="655"/>
      <c r="B7" s="658"/>
      <c r="C7" s="662"/>
      <c r="D7" s="663"/>
      <c r="E7" s="669"/>
      <c r="F7" s="670"/>
      <c r="G7" s="670"/>
      <c r="H7" s="670"/>
      <c r="I7" s="670"/>
      <c r="J7" s="670"/>
      <c r="K7" s="670"/>
      <c r="L7" s="670"/>
      <c r="M7" s="670"/>
      <c r="N7" s="671"/>
      <c r="O7" s="669"/>
      <c r="P7" s="671"/>
      <c r="Q7" s="673"/>
      <c r="R7" s="707" t="s">
        <v>120</v>
      </c>
      <c r="S7" s="707"/>
      <c r="T7" s="702" t="s">
        <v>121</v>
      </c>
      <c r="U7" s="703"/>
      <c r="V7" s="703"/>
      <c r="W7" s="703"/>
      <c r="X7" s="649" t="s">
        <v>30</v>
      </c>
      <c r="Y7" s="699"/>
      <c r="Z7" s="698"/>
      <c r="AA7" s="683"/>
      <c r="AB7" s="684"/>
      <c r="AC7" s="684"/>
      <c r="AD7" s="684"/>
      <c r="AE7" s="684"/>
      <c r="AF7" s="685"/>
      <c r="AG7" s="684"/>
      <c r="AH7" s="684"/>
      <c r="AI7" s="684"/>
      <c r="AJ7" s="684"/>
      <c r="AK7" s="684"/>
      <c r="AL7" s="684"/>
      <c r="AM7" s="684"/>
      <c r="AN7" s="685"/>
      <c r="AO7" s="690"/>
      <c r="AP7" s="612"/>
      <c r="AQ7" s="612"/>
      <c r="AR7" s="612"/>
      <c r="AS7" s="747"/>
      <c r="AT7" s="1"/>
      <c r="AU7" s="2" t="s">
        <v>13</v>
      </c>
      <c r="AV7" s="136" t="s">
        <v>152</v>
      </c>
    </row>
    <row r="8" spans="1:60" ht="31.5" customHeight="1">
      <c r="A8" s="655"/>
      <c r="B8" s="658"/>
      <c r="C8" s="664"/>
      <c r="D8" s="665"/>
      <c r="E8" s="675" t="s">
        <v>129</v>
      </c>
      <c r="F8" s="676"/>
      <c r="G8" s="676"/>
      <c r="H8" s="676"/>
      <c r="I8" s="676"/>
      <c r="J8" s="676"/>
      <c r="K8" s="676"/>
      <c r="L8" s="677"/>
      <c r="M8" s="675" t="s">
        <v>15</v>
      </c>
      <c r="N8" s="677"/>
      <c r="O8" s="678" t="s">
        <v>129</v>
      </c>
      <c r="P8" s="678" t="s">
        <v>15</v>
      </c>
      <c r="Q8" s="673"/>
      <c r="R8" s="649" t="s">
        <v>122</v>
      </c>
      <c r="S8" s="704" t="s">
        <v>123</v>
      </c>
      <c r="T8" s="649" t="s">
        <v>124</v>
      </c>
      <c r="U8" s="649" t="s">
        <v>125</v>
      </c>
      <c r="V8" s="649" t="s">
        <v>126</v>
      </c>
      <c r="W8" s="700" t="s">
        <v>127</v>
      </c>
      <c r="X8" s="699"/>
      <c r="Y8" s="699"/>
      <c r="Z8" s="698"/>
      <c r="AA8" s="686"/>
      <c r="AB8" s="687"/>
      <c r="AC8" s="687"/>
      <c r="AD8" s="687"/>
      <c r="AE8" s="687"/>
      <c r="AF8" s="688"/>
      <c r="AG8" s="687"/>
      <c r="AH8" s="687"/>
      <c r="AI8" s="687"/>
      <c r="AJ8" s="687"/>
      <c r="AK8" s="687"/>
      <c r="AL8" s="687"/>
      <c r="AM8" s="687"/>
      <c r="AN8" s="688"/>
      <c r="AO8" s="3" t="s">
        <v>202</v>
      </c>
      <c r="AP8" s="612"/>
      <c r="AQ8" s="612"/>
      <c r="AR8" s="612"/>
      <c r="AS8" s="747"/>
      <c r="AT8" s="1"/>
      <c r="AU8" s="2" t="s">
        <v>16</v>
      </c>
      <c r="AV8" s="2">
        <v>1</v>
      </c>
    </row>
    <row r="9" spans="1:60" ht="21">
      <c r="A9" s="656"/>
      <c r="B9" s="659"/>
      <c r="C9" s="4" t="s">
        <v>17</v>
      </c>
      <c r="D9" s="5" t="s">
        <v>18</v>
      </c>
      <c r="E9" s="6" t="s">
        <v>19</v>
      </c>
      <c r="F9" s="7" t="s">
        <v>265</v>
      </c>
      <c r="G9" s="7" t="s">
        <v>20</v>
      </c>
      <c r="H9" s="6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7" t="s">
        <v>24</v>
      </c>
      <c r="N9" s="7" t="s">
        <v>25</v>
      </c>
      <c r="O9" s="679"/>
      <c r="P9" s="679"/>
      <c r="Q9" s="674"/>
      <c r="R9" s="650"/>
      <c r="S9" s="705"/>
      <c r="T9" s="650"/>
      <c r="U9" s="650"/>
      <c r="V9" s="650"/>
      <c r="W9" s="701"/>
      <c r="X9" s="650"/>
      <c r="Y9" s="650"/>
      <c r="Z9" s="698"/>
      <c r="AA9" s="9" t="s">
        <v>16</v>
      </c>
      <c r="AB9" s="10" t="s">
        <v>265</v>
      </c>
      <c r="AC9" s="10" t="s">
        <v>26</v>
      </c>
      <c r="AD9" s="11" t="s">
        <v>27</v>
      </c>
      <c r="AE9" s="11" t="s">
        <v>28</v>
      </c>
      <c r="AF9" s="12" t="s">
        <v>29</v>
      </c>
      <c r="AG9" s="10" t="s">
        <v>265</v>
      </c>
      <c r="AH9" s="10" t="s">
        <v>26</v>
      </c>
      <c r="AI9" s="11" t="s">
        <v>27</v>
      </c>
      <c r="AJ9" s="11" t="s">
        <v>28</v>
      </c>
      <c r="AK9" s="11" t="s">
        <v>29</v>
      </c>
      <c r="AL9" s="11" t="s">
        <v>24</v>
      </c>
      <c r="AM9" s="11" t="s">
        <v>25</v>
      </c>
      <c r="AN9" s="11" t="s">
        <v>30</v>
      </c>
      <c r="AO9" s="13"/>
      <c r="AP9" s="613"/>
      <c r="AQ9" s="613"/>
      <c r="AR9" s="613"/>
      <c r="AS9" s="748"/>
      <c r="AU9" s="2" t="s">
        <v>265</v>
      </c>
      <c r="AV9" s="173">
        <v>30</v>
      </c>
    </row>
    <row r="10" spans="1:60">
      <c r="A10" s="691" t="s">
        <v>31</v>
      </c>
      <c r="B10" s="14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 t="shared" ref="AA10:AA23" si="0">D10*E10/1000</f>
        <v>0</v>
      </c>
      <c r="AB10" s="23">
        <f t="shared" ref="AB10:AB23" si="1">D10*F10/1000</f>
        <v>0</v>
      </c>
      <c r="AC10" s="23">
        <f>D10*G10/1000</f>
        <v>0</v>
      </c>
      <c r="AD10" s="23">
        <f t="shared" ref="AD10:AD23" si="2">D10*H10/1000</f>
        <v>0</v>
      </c>
      <c r="AE10" s="23">
        <f t="shared" ref="AE10:AE23" si="3">D10*I10/1000</f>
        <v>0</v>
      </c>
      <c r="AF10" s="23">
        <f t="shared" ref="AF10:AF23" si="4">D10*J10/1000</f>
        <v>0</v>
      </c>
      <c r="AG10" s="23">
        <f>D10*F10*$AV$9/1000</f>
        <v>0</v>
      </c>
      <c r="AH10" s="23">
        <f>D10*G10*$AV$10/1000</f>
        <v>0</v>
      </c>
      <c r="AI10" s="23">
        <f t="shared" ref="AI10:AI23" si="5">D10*H10*$AV$11/1000</f>
        <v>0</v>
      </c>
      <c r="AJ10" s="23">
        <f t="shared" ref="AJ10:AJ23" si="6">D10*I10*$AV$12/1000</f>
        <v>0</v>
      </c>
      <c r="AK10" s="23">
        <f t="shared" ref="AK10:AK23" si="7"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23" t="e">
        <f>AO10/$AO$24</f>
        <v>#DIV/0!</v>
      </c>
      <c r="AQ10" s="23" t="e">
        <f>AO10/$AO$44</f>
        <v>#DIV/0!</v>
      </c>
      <c r="AR10" s="23" t="e">
        <f>AO10/$AO$45</f>
        <v>#DIV/0!</v>
      </c>
      <c r="AS10" s="25"/>
      <c r="AU10" s="2" t="s">
        <v>26</v>
      </c>
      <c r="AV10" s="173">
        <v>28</v>
      </c>
    </row>
    <row r="11" spans="1:60">
      <c r="A11" s="692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 t="shared" si="0"/>
        <v>0</v>
      </c>
      <c r="AB11" s="23">
        <f t="shared" si="1"/>
        <v>0</v>
      </c>
      <c r="AC11" s="23">
        <f t="shared" ref="AC11:AC23" si="8">D11*G11/1000</f>
        <v>0</v>
      </c>
      <c r="AD11" s="23">
        <f t="shared" si="2"/>
        <v>0</v>
      </c>
      <c r="AE11" s="23">
        <f t="shared" si="3"/>
        <v>0</v>
      </c>
      <c r="AF11" s="23">
        <f t="shared" si="4"/>
        <v>0</v>
      </c>
      <c r="AG11" s="23">
        <f t="shared" ref="AG11:AG23" si="9">D11*F11*$AV$9/1000</f>
        <v>0</v>
      </c>
      <c r="AH11" s="23">
        <f t="shared" ref="AH11:AH23" si="10">D11*G11*$AV$10/1000</f>
        <v>0</v>
      </c>
      <c r="AI11" s="23">
        <f t="shared" si="5"/>
        <v>0</v>
      </c>
      <c r="AJ11" s="23">
        <f t="shared" si="6"/>
        <v>0</v>
      </c>
      <c r="AK11" s="23">
        <f t="shared" si="7"/>
        <v>0</v>
      </c>
      <c r="AL11" s="23">
        <f t="shared" ref="AL11:AL23" si="11">D11*K11*M11/1000</f>
        <v>0</v>
      </c>
      <c r="AM11" s="23">
        <f t="shared" ref="AM11:AM23" si="12">D11*L11*N11/1000</f>
        <v>0</v>
      </c>
      <c r="AN11" s="24"/>
      <c r="AO11" s="23">
        <f t="shared" ref="AO11:AO23" si="13">D11*Q11/1000</f>
        <v>0</v>
      </c>
      <c r="AP11" s="23" t="e">
        <f t="shared" ref="AP11:AP23" si="14">AO11/$AO$24</f>
        <v>#DIV/0!</v>
      </c>
      <c r="AQ11" s="23" t="e">
        <f t="shared" ref="AQ11:AQ22" si="15">AO11/$AO$44</f>
        <v>#DIV/0!</v>
      </c>
      <c r="AR11" s="23" t="e">
        <f>AO11/$AO$45</f>
        <v>#DIV/0!</v>
      </c>
      <c r="AS11" s="30"/>
      <c r="AT11" s="31"/>
      <c r="AU11" s="2" t="s">
        <v>27</v>
      </c>
      <c r="AV11" s="2">
        <v>265</v>
      </c>
    </row>
    <row r="12" spans="1:60">
      <c r="A12" s="692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 t="shared" ref="Q12:Q23" si="16"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 t="shared" si="0"/>
        <v>0</v>
      </c>
      <c r="AB12" s="23">
        <f t="shared" si="1"/>
        <v>0</v>
      </c>
      <c r="AC12" s="23">
        <f t="shared" si="8"/>
        <v>0</v>
      </c>
      <c r="AD12" s="23">
        <f t="shared" si="2"/>
        <v>0</v>
      </c>
      <c r="AE12" s="23">
        <f t="shared" si="3"/>
        <v>0</v>
      </c>
      <c r="AF12" s="23">
        <f t="shared" si="4"/>
        <v>0</v>
      </c>
      <c r="AG12" s="23">
        <f t="shared" si="9"/>
        <v>0</v>
      </c>
      <c r="AH12" s="23">
        <f t="shared" si="10"/>
        <v>0</v>
      </c>
      <c r="AI12" s="23">
        <f t="shared" si="5"/>
        <v>0</v>
      </c>
      <c r="AJ12" s="23">
        <f t="shared" si="6"/>
        <v>0</v>
      </c>
      <c r="AK12" s="23">
        <f t="shared" si="7"/>
        <v>0</v>
      </c>
      <c r="AL12" s="23">
        <f t="shared" si="11"/>
        <v>0</v>
      </c>
      <c r="AM12" s="23">
        <f t="shared" si="12"/>
        <v>0</v>
      </c>
      <c r="AN12" s="24"/>
      <c r="AO12" s="23">
        <f t="shared" si="13"/>
        <v>0</v>
      </c>
      <c r="AP12" s="23" t="e">
        <f t="shared" si="14"/>
        <v>#DIV/0!</v>
      </c>
      <c r="AQ12" s="23" t="e">
        <f t="shared" si="15"/>
        <v>#DIV/0!</v>
      </c>
      <c r="AR12" s="23" t="e">
        <f t="shared" ref="AR12:AR18" si="17">AO12/$AO$45</f>
        <v>#DIV/0!</v>
      </c>
      <c r="AS12" s="30"/>
      <c r="AT12" s="31"/>
      <c r="AU12" s="2" t="s">
        <v>28</v>
      </c>
      <c r="AV12" s="2">
        <v>23500</v>
      </c>
    </row>
    <row r="13" spans="1:60">
      <c r="A13" s="692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16"/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 t="shared" si="0"/>
        <v>0</v>
      </c>
      <c r="AB13" s="23">
        <f t="shared" si="1"/>
        <v>0</v>
      </c>
      <c r="AC13" s="23">
        <f t="shared" si="8"/>
        <v>0</v>
      </c>
      <c r="AD13" s="23">
        <f t="shared" si="2"/>
        <v>0</v>
      </c>
      <c r="AE13" s="23">
        <f t="shared" si="3"/>
        <v>0</v>
      </c>
      <c r="AF13" s="23">
        <f>D13*J13/1000</f>
        <v>0</v>
      </c>
      <c r="AG13" s="23">
        <f t="shared" si="9"/>
        <v>0</v>
      </c>
      <c r="AH13" s="23">
        <f t="shared" si="10"/>
        <v>0</v>
      </c>
      <c r="AI13" s="23">
        <f t="shared" si="5"/>
        <v>0</v>
      </c>
      <c r="AJ13" s="23">
        <f t="shared" si="6"/>
        <v>0</v>
      </c>
      <c r="AK13" s="23">
        <f t="shared" si="7"/>
        <v>0</v>
      </c>
      <c r="AL13" s="23">
        <f t="shared" si="11"/>
        <v>0</v>
      </c>
      <c r="AM13" s="23">
        <f t="shared" si="12"/>
        <v>0</v>
      </c>
      <c r="AN13" s="24"/>
      <c r="AO13" s="23">
        <f t="shared" si="13"/>
        <v>0</v>
      </c>
      <c r="AP13" s="23" t="e">
        <f t="shared" si="14"/>
        <v>#DIV/0!</v>
      </c>
      <c r="AQ13" s="23" t="e">
        <f t="shared" si="15"/>
        <v>#DIV/0!</v>
      </c>
      <c r="AR13" s="23" t="e">
        <f t="shared" si="17"/>
        <v>#DIV/0!</v>
      </c>
      <c r="AS13" s="32"/>
      <c r="AT13" s="31"/>
      <c r="AU13" s="2" t="s">
        <v>29</v>
      </c>
      <c r="AV13" s="2">
        <v>16100</v>
      </c>
    </row>
    <row r="14" spans="1:60">
      <c r="A14" s="692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 t="shared" si="16"/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 t="shared" si="0"/>
        <v>0</v>
      </c>
      <c r="AB14" s="23">
        <f t="shared" si="1"/>
        <v>0</v>
      </c>
      <c r="AC14" s="23">
        <f t="shared" si="8"/>
        <v>0</v>
      </c>
      <c r="AD14" s="23">
        <f t="shared" si="2"/>
        <v>0</v>
      </c>
      <c r="AE14" s="23">
        <f t="shared" si="3"/>
        <v>0</v>
      </c>
      <c r="AF14" s="23">
        <f t="shared" si="4"/>
        <v>0</v>
      </c>
      <c r="AG14" s="23">
        <f t="shared" si="9"/>
        <v>0</v>
      </c>
      <c r="AH14" s="23">
        <f t="shared" si="10"/>
        <v>0</v>
      </c>
      <c r="AI14" s="23">
        <f t="shared" si="5"/>
        <v>0</v>
      </c>
      <c r="AJ14" s="23">
        <f t="shared" si="6"/>
        <v>0</v>
      </c>
      <c r="AK14" s="23">
        <f t="shared" si="7"/>
        <v>0</v>
      </c>
      <c r="AL14" s="23">
        <f t="shared" si="11"/>
        <v>0</v>
      </c>
      <c r="AM14" s="23">
        <f t="shared" si="12"/>
        <v>0</v>
      </c>
      <c r="AN14" s="24"/>
      <c r="AO14" s="23">
        <f t="shared" si="13"/>
        <v>0</v>
      </c>
      <c r="AP14" s="23" t="e">
        <f t="shared" si="14"/>
        <v>#DIV/0!</v>
      </c>
      <c r="AQ14" s="23" t="e">
        <f t="shared" si="15"/>
        <v>#DIV/0!</v>
      </c>
      <c r="AR14" s="23" t="e">
        <f t="shared" si="17"/>
        <v>#DIV/0!</v>
      </c>
      <c r="AS14" s="30"/>
      <c r="AT14" s="31"/>
    </row>
    <row r="15" spans="1:60">
      <c r="A15" s="692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 t="shared" si="16"/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 t="shared" si="0"/>
        <v>0</v>
      </c>
      <c r="AB15" s="23">
        <f t="shared" si="1"/>
        <v>0</v>
      </c>
      <c r="AC15" s="23">
        <f t="shared" si="8"/>
        <v>0</v>
      </c>
      <c r="AD15" s="23">
        <f t="shared" si="2"/>
        <v>0</v>
      </c>
      <c r="AE15" s="23">
        <f t="shared" si="3"/>
        <v>0</v>
      </c>
      <c r="AF15" s="23">
        <f t="shared" si="4"/>
        <v>0</v>
      </c>
      <c r="AG15" s="23">
        <f t="shared" si="9"/>
        <v>0</v>
      </c>
      <c r="AH15" s="23">
        <f t="shared" si="10"/>
        <v>0</v>
      </c>
      <c r="AI15" s="23">
        <f t="shared" si="5"/>
        <v>0</v>
      </c>
      <c r="AJ15" s="23">
        <f t="shared" si="6"/>
        <v>0</v>
      </c>
      <c r="AK15" s="23">
        <f t="shared" si="7"/>
        <v>0</v>
      </c>
      <c r="AL15" s="23">
        <f t="shared" si="11"/>
        <v>0</v>
      </c>
      <c r="AM15" s="23">
        <f t="shared" si="12"/>
        <v>0</v>
      </c>
      <c r="AN15" s="24"/>
      <c r="AO15" s="23">
        <f t="shared" si="13"/>
        <v>0</v>
      </c>
      <c r="AP15" s="23" t="e">
        <f t="shared" si="14"/>
        <v>#DIV/0!</v>
      </c>
      <c r="AQ15" s="23" t="e">
        <f t="shared" si="15"/>
        <v>#DIV/0!</v>
      </c>
      <c r="AR15" s="23" t="e">
        <f t="shared" si="17"/>
        <v>#DIV/0!</v>
      </c>
      <c r="AS15" s="30"/>
      <c r="AT15" s="31"/>
    </row>
    <row r="16" spans="1:60">
      <c r="A16" s="692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 t="shared" si="16"/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 t="shared" si="0"/>
        <v>0</v>
      </c>
      <c r="AB16" s="23">
        <f t="shared" si="1"/>
        <v>0</v>
      </c>
      <c r="AC16" s="23">
        <f t="shared" si="8"/>
        <v>0</v>
      </c>
      <c r="AD16" s="23">
        <f t="shared" si="2"/>
        <v>0</v>
      </c>
      <c r="AE16" s="23">
        <f t="shared" si="3"/>
        <v>0</v>
      </c>
      <c r="AF16" s="23">
        <f t="shared" si="4"/>
        <v>0</v>
      </c>
      <c r="AG16" s="23">
        <f t="shared" si="9"/>
        <v>0</v>
      </c>
      <c r="AH16" s="23">
        <f t="shared" si="10"/>
        <v>0</v>
      </c>
      <c r="AI16" s="23">
        <f t="shared" si="5"/>
        <v>0</v>
      </c>
      <c r="AJ16" s="23">
        <f t="shared" si="6"/>
        <v>0</v>
      </c>
      <c r="AK16" s="23">
        <f t="shared" si="7"/>
        <v>0</v>
      </c>
      <c r="AL16" s="23">
        <f t="shared" si="11"/>
        <v>0</v>
      </c>
      <c r="AM16" s="23">
        <f t="shared" si="12"/>
        <v>0</v>
      </c>
      <c r="AN16" s="24"/>
      <c r="AO16" s="23">
        <f t="shared" si="13"/>
        <v>0</v>
      </c>
      <c r="AP16" s="23" t="e">
        <f t="shared" si="14"/>
        <v>#DIV/0!</v>
      </c>
      <c r="AQ16" s="23" t="e">
        <f t="shared" si="15"/>
        <v>#DIV/0!</v>
      </c>
      <c r="AR16" s="23" t="e">
        <f t="shared" si="17"/>
        <v>#DIV/0!</v>
      </c>
      <c r="AS16" s="30"/>
      <c r="AT16" s="31"/>
    </row>
    <row r="17" spans="1:47">
      <c r="A17" s="692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16"/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 t="shared" si="0"/>
        <v>0</v>
      </c>
      <c r="AB17" s="23">
        <f t="shared" si="1"/>
        <v>0</v>
      </c>
      <c r="AC17" s="23">
        <f t="shared" si="8"/>
        <v>0</v>
      </c>
      <c r="AD17" s="23">
        <f t="shared" si="2"/>
        <v>0</v>
      </c>
      <c r="AE17" s="23">
        <f t="shared" si="3"/>
        <v>0</v>
      </c>
      <c r="AF17" s="23">
        <f t="shared" si="4"/>
        <v>0</v>
      </c>
      <c r="AG17" s="23">
        <f t="shared" si="9"/>
        <v>0</v>
      </c>
      <c r="AH17" s="23">
        <f t="shared" si="10"/>
        <v>0</v>
      </c>
      <c r="AI17" s="23">
        <f t="shared" si="5"/>
        <v>0</v>
      </c>
      <c r="AJ17" s="23">
        <f t="shared" si="6"/>
        <v>0</v>
      </c>
      <c r="AK17" s="23">
        <f t="shared" si="7"/>
        <v>0</v>
      </c>
      <c r="AL17" s="23">
        <f t="shared" si="11"/>
        <v>0</v>
      </c>
      <c r="AM17" s="23">
        <f t="shared" si="12"/>
        <v>0</v>
      </c>
      <c r="AN17" s="24"/>
      <c r="AO17" s="23">
        <f t="shared" si="13"/>
        <v>0</v>
      </c>
      <c r="AP17" s="23" t="e">
        <f t="shared" si="14"/>
        <v>#DIV/0!</v>
      </c>
      <c r="AQ17" s="23" t="e">
        <f t="shared" si="15"/>
        <v>#DIV/0!</v>
      </c>
      <c r="AR17" s="23" t="e">
        <f t="shared" si="17"/>
        <v>#DIV/0!</v>
      </c>
      <c r="AS17" s="30"/>
      <c r="AT17" s="31"/>
    </row>
    <row r="18" spans="1:47">
      <c r="A18" s="692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16"/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 t="shared" si="0"/>
        <v>0</v>
      </c>
      <c r="AB18" s="23">
        <f t="shared" si="1"/>
        <v>0</v>
      </c>
      <c r="AC18" s="23">
        <f t="shared" si="8"/>
        <v>0</v>
      </c>
      <c r="AD18" s="23">
        <f t="shared" si="2"/>
        <v>0</v>
      </c>
      <c r="AE18" s="23">
        <f t="shared" si="3"/>
        <v>0</v>
      </c>
      <c r="AF18" s="23">
        <f t="shared" si="4"/>
        <v>0</v>
      </c>
      <c r="AG18" s="23">
        <f t="shared" si="9"/>
        <v>0</v>
      </c>
      <c r="AH18" s="23">
        <f t="shared" si="10"/>
        <v>0</v>
      </c>
      <c r="AI18" s="23">
        <f t="shared" si="5"/>
        <v>0</v>
      </c>
      <c r="AJ18" s="23">
        <f t="shared" si="6"/>
        <v>0</v>
      </c>
      <c r="AK18" s="23">
        <f t="shared" si="7"/>
        <v>0</v>
      </c>
      <c r="AL18" s="23">
        <f t="shared" si="11"/>
        <v>0</v>
      </c>
      <c r="AM18" s="23">
        <f t="shared" si="12"/>
        <v>0</v>
      </c>
      <c r="AN18" s="24"/>
      <c r="AO18" s="23">
        <f t="shared" si="13"/>
        <v>0</v>
      </c>
      <c r="AP18" s="23" t="e">
        <f t="shared" si="14"/>
        <v>#DIV/0!</v>
      </c>
      <c r="AQ18" s="23" t="e">
        <f t="shared" si="15"/>
        <v>#DIV/0!</v>
      </c>
      <c r="AR18" s="23" t="e">
        <f t="shared" si="17"/>
        <v>#DIV/0!</v>
      </c>
      <c r="AS18" s="30"/>
      <c r="AT18" s="31"/>
    </row>
    <row r="19" spans="1:47">
      <c r="A19" s="692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 t="shared" si="16"/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 t="shared" si="0"/>
        <v>0</v>
      </c>
      <c r="AB19" s="23">
        <f t="shared" si="1"/>
        <v>0</v>
      </c>
      <c r="AC19" s="23">
        <f t="shared" si="8"/>
        <v>0</v>
      </c>
      <c r="AD19" s="23">
        <f t="shared" si="2"/>
        <v>0</v>
      </c>
      <c r="AE19" s="23">
        <f t="shared" si="3"/>
        <v>0</v>
      </c>
      <c r="AF19" s="23">
        <f t="shared" si="4"/>
        <v>0</v>
      </c>
      <c r="AG19" s="23">
        <f t="shared" si="9"/>
        <v>0</v>
      </c>
      <c r="AH19" s="23">
        <f t="shared" si="10"/>
        <v>0</v>
      </c>
      <c r="AI19" s="23">
        <f t="shared" si="5"/>
        <v>0</v>
      </c>
      <c r="AJ19" s="23">
        <f t="shared" si="6"/>
        <v>0</v>
      </c>
      <c r="AK19" s="23">
        <f t="shared" si="7"/>
        <v>0</v>
      </c>
      <c r="AL19" s="23">
        <f t="shared" si="11"/>
        <v>0</v>
      </c>
      <c r="AM19" s="23">
        <f t="shared" si="12"/>
        <v>0</v>
      </c>
      <c r="AN19" s="24"/>
      <c r="AO19" s="23">
        <f t="shared" si="13"/>
        <v>0</v>
      </c>
      <c r="AP19" s="23" t="e">
        <f t="shared" si="14"/>
        <v>#DIV/0!</v>
      </c>
      <c r="AQ19" s="23" t="e">
        <f t="shared" si="15"/>
        <v>#DIV/0!</v>
      </c>
      <c r="AR19" s="23" t="e">
        <f>AO19/$AO$45</f>
        <v>#DIV/0!</v>
      </c>
      <c r="AS19" s="30"/>
      <c r="AT19" s="31"/>
    </row>
    <row r="20" spans="1:47">
      <c r="A20" s="692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 t="shared" si="16"/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 t="shared" si="0"/>
        <v>0</v>
      </c>
      <c r="AB20" s="23">
        <f t="shared" si="1"/>
        <v>0</v>
      </c>
      <c r="AC20" s="23">
        <f t="shared" si="8"/>
        <v>0</v>
      </c>
      <c r="AD20" s="23">
        <f t="shared" si="2"/>
        <v>0</v>
      </c>
      <c r="AE20" s="23">
        <f t="shared" si="3"/>
        <v>0</v>
      </c>
      <c r="AF20" s="23">
        <f t="shared" si="4"/>
        <v>0</v>
      </c>
      <c r="AG20" s="23">
        <f t="shared" si="9"/>
        <v>0</v>
      </c>
      <c r="AH20" s="23">
        <f t="shared" si="10"/>
        <v>0</v>
      </c>
      <c r="AI20" s="23">
        <f t="shared" si="5"/>
        <v>0</v>
      </c>
      <c r="AJ20" s="23">
        <f t="shared" si="6"/>
        <v>0</v>
      </c>
      <c r="AK20" s="23">
        <f t="shared" si="7"/>
        <v>0</v>
      </c>
      <c r="AL20" s="23">
        <f t="shared" si="11"/>
        <v>0</v>
      </c>
      <c r="AM20" s="23">
        <f t="shared" si="12"/>
        <v>0</v>
      </c>
      <c r="AN20" s="24"/>
      <c r="AO20" s="23">
        <f t="shared" si="13"/>
        <v>0</v>
      </c>
      <c r="AP20" s="23" t="e">
        <f>AO20/$AO$24</f>
        <v>#DIV/0!</v>
      </c>
      <c r="AQ20" s="23" t="e">
        <f t="shared" si="15"/>
        <v>#DIV/0!</v>
      </c>
      <c r="AR20" s="23" t="e">
        <f t="shared" ref="AR20:AR23" si="18">AO20/$AO$45</f>
        <v>#DIV/0!</v>
      </c>
      <c r="AS20" s="30"/>
      <c r="AT20" s="31"/>
    </row>
    <row r="21" spans="1:47">
      <c r="A21" s="692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 t="shared" si="16"/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 t="shared" si="0"/>
        <v>0</v>
      </c>
      <c r="AB21" s="23">
        <f t="shared" si="1"/>
        <v>0</v>
      </c>
      <c r="AC21" s="23">
        <f t="shared" si="8"/>
        <v>0</v>
      </c>
      <c r="AD21" s="23">
        <f t="shared" si="2"/>
        <v>0</v>
      </c>
      <c r="AE21" s="23">
        <f t="shared" si="3"/>
        <v>0</v>
      </c>
      <c r="AF21" s="23">
        <f t="shared" si="4"/>
        <v>0</v>
      </c>
      <c r="AG21" s="23">
        <f t="shared" si="9"/>
        <v>0</v>
      </c>
      <c r="AH21" s="23">
        <f t="shared" si="10"/>
        <v>0</v>
      </c>
      <c r="AI21" s="23">
        <f t="shared" si="5"/>
        <v>0</v>
      </c>
      <c r="AJ21" s="23">
        <f t="shared" si="6"/>
        <v>0</v>
      </c>
      <c r="AK21" s="23">
        <f t="shared" si="7"/>
        <v>0</v>
      </c>
      <c r="AL21" s="23">
        <f t="shared" si="11"/>
        <v>0</v>
      </c>
      <c r="AM21" s="23">
        <f t="shared" si="12"/>
        <v>0</v>
      </c>
      <c r="AN21" s="24"/>
      <c r="AO21" s="23">
        <f t="shared" si="13"/>
        <v>0</v>
      </c>
      <c r="AP21" s="23" t="e">
        <f t="shared" si="14"/>
        <v>#DIV/0!</v>
      </c>
      <c r="AQ21" s="23" t="e">
        <f>AO21/$AO$44</f>
        <v>#DIV/0!</v>
      </c>
      <c r="AR21" s="23" t="e">
        <f t="shared" si="18"/>
        <v>#DIV/0!</v>
      </c>
      <c r="AS21" s="30"/>
      <c r="AT21" s="31"/>
    </row>
    <row r="22" spans="1:47">
      <c r="A22" s="692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 t="shared" si="16"/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 t="shared" si="0"/>
        <v>0</v>
      </c>
      <c r="AB22" s="23">
        <f t="shared" si="1"/>
        <v>0</v>
      </c>
      <c r="AC22" s="23">
        <f t="shared" si="8"/>
        <v>0</v>
      </c>
      <c r="AD22" s="23">
        <f t="shared" si="2"/>
        <v>0</v>
      </c>
      <c r="AE22" s="23">
        <f t="shared" si="3"/>
        <v>0</v>
      </c>
      <c r="AF22" s="23">
        <f t="shared" si="4"/>
        <v>0</v>
      </c>
      <c r="AG22" s="23">
        <f t="shared" si="9"/>
        <v>0</v>
      </c>
      <c r="AH22" s="23">
        <f t="shared" si="10"/>
        <v>0</v>
      </c>
      <c r="AI22" s="23">
        <f t="shared" si="5"/>
        <v>0</v>
      </c>
      <c r="AJ22" s="23">
        <f t="shared" si="6"/>
        <v>0</v>
      </c>
      <c r="AK22" s="23">
        <f t="shared" si="7"/>
        <v>0</v>
      </c>
      <c r="AL22" s="23">
        <f t="shared" si="11"/>
        <v>0</v>
      </c>
      <c r="AM22" s="23">
        <f t="shared" si="12"/>
        <v>0</v>
      </c>
      <c r="AN22" s="24"/>
      <c r="AO22" s="23">
        <f t="shared" si="13"/>
        <v>0</v>
      </c>
      <c r="AP22" s="23" t="e">
        <f t="shared" si="14"/>
        <v>#DIV/0!</v>
      </c>
      <c r="AQ22" s="23" t="e">
        <f t="shared" si="15"/>
        <v>#DIV/0!</v>
      </c>
      <c r="AR22" s="23" t="e">
        <f t="shared" si="18"/>
        <v>#DIV/0!</v>
      </c>
      <c r="AS22" s="35"/>
      <c r="AT22" s="31"/>
    </row>
    <row r="23" spans="1:47">
      <c r="A23" s="692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 t="shared" si="16"/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 t="shared" si="0"/>
        <v>0</v>
      </c>
      <c r="AB23" s="23">
        <f t="shared" si="1"/>
        <v>0</v>
      </c>
      <c r="AC23" s="23">
        <f t="shared" si="8"/>
        <v>0</v>
      </c>
      <c r="AD23" s="23">
        <f t="shared" si="2"/>
        <v>0</v>
      </c>
      <c r="AE23" s="23">
        <f t="shared" si="3"/>
        <v>0</v>
      </c>
      <c r="AF23" s="23">
        <f t="shared" si="4"/>
        <v>0</v>
      </c>
      <c r="AG23" s="23">
        <f t="shared" si="9"/>
        <v>0</v>
      </c>
      <c r="AH23" s="23">
        <f t="shared" si="10"/>
        <v>0</v>
      </c>
      <c r="AI23" s="23">
        <f t="shared" si="5"/>
        <v>0</v>
      </c>
      <c r="AJ23" s="23">
        <f t="shared" si="6"/>
        <v>0</v>
      </c>
      <c r="AK23" s="23">
        <f t="shared" si="7"/>
        <v>0</v>
      </c>
      <c r="AL23" s="23">
        <f t="shared" si="11"/>
        <v>0</v>
      </c>
      <c r="AM23" s="23">
        <f t="shared" si="12"/>
        <v>0</v>
      </c>
      <c r="AN23" s="24"/>
      <c r="AO23" s="23">
        <f t="shared" si="13"/>
        <v>0</v>
      </c>
      <c r="AP23" s="23" t="e">
        <f t="shared" si="14"/>
        <v>#DIV/0!</v>
      </c>
      <c r="AQ23" s="23" t="e">
        <f>AO23/$AO$44</f>
        <v>#DIV/0!</v>
      </c>
      <c r="AR23" s="23" t="e">
        <f t="shared" si="18"/>
        <v>#DIV/0!</v>
      </c>
      <c r="AS23" s="25"/>
      <c r="AT23" s="31"/>
    </row>
    <row r="24" spans="1:47">
      <c r="A24" s="693"/>
      <c r="B24" s="39"/>
      <c r="C24" s="40"/>
      <c r="D24" s="41"/>
      <c r="E24" s="694"/>
      <c r="F24" s="695"/>
      <c r="G24" s="695"/>
      <c r="H24" s="695"/>
      <c r="I24" s="695"/>
      <c r="J24" s="695"/>
      <c r="K24" s="695"/>
      <c r="L24" s="695"/>
      <c r="M24" s="695"/>
      <c r="N24" s="695"/>
      <c r="O24" s="695"/>
      <c r="P24" s="695"/>
      <c r="Q24" s="696"/>
      <c r="R24" s="113"/>
      <c r="S24" s="113"/>
      <c r="T24" s="113"/>
      <c r="U24" s="113"/>
      <c r="V24" s="113"/>
      <c r="W24" s="113"/>
      <c r="X24" s="113"/>
      <c r="Y24" s="113"/>
      <c r="Z24" s="113"/>
      <c r="AA24" s="42">
        <f>SUM(AA10:AA23)</f>
        <v>0</v>
      </c>
      <c r="AB24" s="42">
        <f t="shared" ref="AB24:AN24" si="19">SUM(AB10:AB23)</f>
        <v>0</v>
      </c>
      <c r="AC24" s="42">
        <f>SUM(AC10:AC23)</f>
        <v>0</v>
      </c>
      <c r="AD24" s="42">
        <f t="shared" si="19"/>
        <v>0</v>
      </c>
      <c r="AE24" s="42">
        <f t="shared" si="19"/>
        <v>0</v>
      </c>
      <c r="AF24" s="42">
        <f t="shared" si="19"/>
        <v>0</v>
      </c>
      <c r="AG24" s="42">
        <f t="shared" si="19"/>
        <v>0</v>
      </c>
      <c r="AH24" s="42">
        <f t="shared" si="19"/>
        <v>0</v>
      </c>
      <c r="AI24" s="42">
        <f t="shared" si="19"/>
        <v>0</v>
      </c>
      <c r="AJ24" s="42">
        <f t="shared" si="19"/>
        <v>0</v>
      </c>
      <c r="AK24" s="42">
        <f>SUM(AK10:AK23)</f>
        <v>0</v>
      </c>
      <c r="AL24" s="42">
        <f t="shared" si="19"/>
        <v>0</v>
      </c>
      <c r="AM24" s="42">
        <f t="shared" si="19"/>
        <v>0</v>
      </c>
      <c r="AN24" s="42">
        <f t="shared" si="19"/>
        <v>0</v>
      </c>
      <c r="AO24" s="42">
        <f>SUM(AO10:AO23)</f>
        <v>0</v>
      </c>
      <c r="AP24" s="42" t="e">
        <f>SUM(AP10:AP23)</f>
        <v>#DIV/0!</v>
      </c>
      <c r="AQ24" s="42"/>
      <c r="AR24" s="42"/>
      <c r="AS24" s="43"/>
    </row>
    <row r="25" spans="1:47">
      <c r="A25" s="708" t="s">
        <v>32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23" t="e">
        <f>AO25/$AO$30</f>
        <v>#DIV/0!</v>
      </c>
      <c r="AQ25" s="23"/>
      <c r="AR25" s="23"/>
      <c r="AS25" s="30"/>
    </row>
    <row r="26" spans="1:47">
      <c r="A26" s="709"/>
      <c r="B26" s="52"/>
      <c r="C26" s="53"/>
      <c r="D26" s="54"/>
      <c r="E26" s="19"/>
      <c r="F26" s="34"/>
      <c r="G26" s="223"/>
      <c r="H26" s="21"/>
      <c r="I26" s="21"/>
      <c r="J26" s="21"/>
      <c r="K26" s="21"/>
      <c r="L26" s="21"/>
      <c r="M26" s="21"/>
      <c r="N26" s="55"/>
      <c r="O26" s="28"/>
      <c r="P26" s="28"/>
      <c r="Q26" s="22">
        <f t="shared" ref="Q26:Q29" si="20"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 t="shared" ref="AA26:AA29" si="21">D26*E26*$AV$8/1000</f>
        <v>0</v>
      </c>
      <c r="AB26" s="56"/>
      <c r="AC26" s="224"/>
      <c r="AD26" s="57"/>
      <c r="AE26" s="57"/>
      <c r="AF26" s="57"/>
      <c r="AG26" s="56"/>
      <c r="AH26" s="224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23" t="e">
        <f>AO26/$AO$30</f>
        <v>#DIV/0!</v>
      </c>
      <c r="AQ26" s="154"/>
      <c r="AR26" s="154"/>
      <c r="AS26" s="58"/>
    </row>
    <row r="27" spans="1:47">
      <c r="A27" s="709"/>
      <c r="B27" s="52"/>
      <c r="C27" s="53"/>
      <c r="D27" s="54"/>
      <c r="E27" s="19"/>
      <c r="F27" s="34"/>
      <c r="G27" s="223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 t="shared" si="21"/>
        <v>0</v>
      </c>
      <c r="AB27" s="56"/>
      <c r="AC27" s="224"/>
      <c r="AD27" s="57"/>
      <c r="AE27" s="57"/>
      <c r="AF27" s="57"/>
      <c r="AG27" s="56"/>
      <c r="AH27" s="224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23" t="e">
        <f t="shared" ref="AP27:AP29" si="22">AO27/$AO$30</f>
        <v>#DIV/0!</v>
      </c>
      <c r="AQ27" s="154"/>
      <c r="AR27" s="154"/>
      <c r="AS27" s="58"/>
    </row>
    <row r="28" spans="1:47">
      <c r="A28" s="709"/>
      <c r="B28" s="52"/>
      <c r="C28" s="59"/>
      <c r="D28" s="54"/>
      <c r="E28" s="60"/>
      <c r="F28" s="34"/>
      <c r="G28" s="223"/>
      <c r="H28" s="21"/>
      <c r="I28" s="21"/>
      <c r="J28" s="21"/>
      <c r="K28" s="21"/>
      <c r="L28" s="21"/>
      <c r="M28" s="61"/>
      <c r="N28" s="55"/>
      <c r="O28" s="28"/>
      <c r="P28" s="54"/>
      <c r="Q28" s="22">
        <f t="shared" si="20"/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 t="shared" si="21"/>
        <v>0</v>
      </c>
      <c r="AB28" s="56"/>
      <c r="AC28" s="224"/>
      <c r="AD28" s="57"/>
      <c r="AE28" s="57"/>
      <c r="AF28" s="57"/>
      <c r="AG28" s="56"/>
      <c r="AH28" s="224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23" t="e">
        <f t="shared" si="22"/>
        <v>#DIV/0!</v>
      </c>
      <c r="AQ28" s="154"/>
      <c r="AR28" s="154"/>
      <c r="AS28" s="62"/>
      <c r="AT28" s="63"/>
    </row>
    <row r="29" spans="1:47">
      <c r="A29" s="709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 t="shared" si="20"/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 t="shared" si="21"/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23" t="e">
        <f t="shared" si="22"/>
        <v>#DIV/0!</v>
      </c>
      <c r="AQ29" s="154"/>
      <c r="AR29" s="154"/>
      <c r="AS29" s="62"/>
      <c r="AT29" s="63"/>
    </row>
    <row r="30" spans="1:47">
      <c r="A30" s="710"/>
      <c r="B30" s="711"/>
      <c r="C30" s="712"/>
      <c r="D30" s="712"/>
      <c r="E30" s="712"/>
      <c r="F30" s="712"/>
      <c r="G30" s="712"/>
      <c r="H30" s="712"/>
      <c r="I30" s="712"/>
      <c r="J30" s="712"/>
      <c r="K30" s="712"/>
      <c r="L30" s="712"/>
      <c r="M30" s="712"/>
      <c r="N30" s="712"/>
      <c r="O30" s="712"/>
      <c r="P30" s="712"/>
      <c r="Q30" s="713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5" t="e">
        <f>SUM(AP25:AP29)</f>
        <v>#DIV/0!</v>
      </c>
      <c r="AQ30" s="155"/>
      <c r="AR30" s="155"/>
      <c r="AS30" s="73"/>
      <c r="AT30" s="63"/>
    </row>
    <row r="31" spans="1:47">
      <c r="A31" s="691" t="s">
        <v>33</v>
      </c>
      <c r="B31" s="74"/>
      <c r="C31" s="15"/>
      <c r="D31" s="75"/>
      <c r="E31" s="714"/>
      <c r="F31" s="715"/>
      <c r="G31" s="715"/>
      <c r="H31" s="715"/>
      <c r="I31" s="715"/>
      <c r="J31" s="715"/>
      <c r="K31" s="715"/>
      <c r="L31" s="715"/>
      <c r="M31" s="715"/>
      <c r="N31" s="715"/>
      <c r="O31" s="715"/>
      <c r="P31" s="716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725"/>
      <c r="AB31" s="725"/>
      <c r="AC31" s="725"/>
      <c r="AD31" s="725"/>
      <c r="AE31" s="725"/>
      <c r="AF31" s="725"/>
      <c r="AG31" s="725"/>
      <c r="AH31" s="725"/>
      <c r="AI31" s="725"/>
      <c r="AJ31" s="725"/>
      <c r="AK31" s="725"/>
      <c r="AL31" s="725"/>
      <c r="AM31" s="725"/>
      <c r="AN31" s="726"/>
      <c r="AO31" s="23">
        <f>D31*Q31/1000</f>
        <v>0</v>
      </c>
      <c r="AP31" s="23" t="e">
        <f>AO31/$AO$35</f>
        <v>#DIV/0!</v>
      </c>
      <c r="AQ31" s="23" t="e">
        <f>AO31/$AO$44</f>
        <v>#DIV/0!</v>
      </c>
      <c r="AR31" s="23" t="e">
        <f>AO31/$AO$45</f>
        <v>#DIV/0!</v>
      </c>
      <c r="AS31" s="25"/>
      <c r="AU31" s="77"/>
    </row>
    <row r="32" spans="1:47">
      <c r="A32" s="692"/>
      <c r="B32" s="74"/>
      <c r="C32" s="15"/>
      <c r="D32" s="27"/>
      <c r="E32" s="717"/>
      <c r="F32" s="718"/>
      <c r="G32" s="718"/>
      <c r="H32" s="718"/>
      <c r="I32" s="718"/>
      <c r="J32" s="718"/>
      <c r="K32" s="718"/>
      <c r="L32" s="718"/>
      <c r="M32" s="718"/>
      <c r="N32" s="718"/>
      <c r="O32" s="718"/>
      <c r="P32" s="719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727"/>
      <c r="AB32" s="727"/>
      <c r="AC32" s="727"/>
      <c r="AD32" s="727"/>
      <c r="AE32" s="727"/>
      <c r="AF32" s="727"/>
      <c r="AG32" s="727"/>
      <c r="AH32" s="727"/>
      <c r="AI32" s="727"/>
      <c r="AJ32" s="727"/>
      <c r="AK32" s="727"/>
      <c r="AL32" s="727"/>
      <c r="AM32" s="727"/>
      <c r="AN32" s="728"/>
      <c r="AO32" s="23">
        <f>D32*Q32/1000</f>
        <v>0</v>
      </c>
      <c r="AP32" s="23" t="e">
        <f>AO32/$AO$35</f>
        <v>#DIV/0!</v>
      </c>
      <c r="AQ32" s="23" t="e">
        <f t="shared" ref="AQ32" si="23">AO32/$AO$44</f>
        <v>#DIV/0!</v>
      </c>
      <c r="AR32" s="23" t="e">
        <f t="shared" ref="AR32:AR34" si="24">AO32/$AO$45</f>
        <v>#DIV/0!</v>
      </c>
      <c r="AS32" s="30"/>
      <c r="AT32" s="31"/>
      <c r="AU32" s="79"/>
    </row>
    <row r="33" spans="1:47">
      <c r="A33" s="692"/>
      <c r="B33" s="74"/>
      <c r="C33" s="15"/>
      <c r="D33" s="27"/>
      <c r="E33" s="717"/>
      <c r="F33" s="718"/>
      <c r="G33" s="718"/>
      <c r="H33" s="718"/>
      <c r="I33" s="718"/>
      <c r="J33" s="718"/>
      <c r="K33" s="718"/>
      <c r="L33" s="718"/>
      <c r="M33" s="718"/>
      <c r="N33" s="718"/>
      <c r="O33" s="718"/>
      <c r="P33" s="719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727"/>
      <c r="AB33" s="727"/>
      <c r="AC33" s="727"/>
      <c r="AD33" s="727"/>
      <c r="AE33" s="727"/>
      <c r="AF33" s="727"/>
      <c r="AG33" s="727"/>
      <c r="AH33" s="727"/>
      <c r="AI33" s="727"/>
      <c r="AJ33" s="727"/>
      <c r="AK33" s="727"/>
      <c r="AL33" s="727"/>
      <c r="AM33" s="727"/>
      <c r="AN33" s="728"/>
      <c r="AO33" s="23">
        <f>D33*Q33/1000</f>
        <v>0</v>
      </c>
      <c r="AP33" s="23" t="e">
        <f t="shared" ref="AP33:AP34" si="25">AO33/$AO$35</f>
        <v>#DIV/0!</v>
      </c>
      <c r="AQ33" s="23" t="e">
        <f>AO33/$AO$44</f>
        <v>#DIV/0!</v>
      </c>
      <c r="AR33" s="23" t="e">
        <f t="shared" si="24"/>
        <v>#DIV/0!</v>
      </c>
      <c r="AS33" s="25"/>
    </row>
    <row r="34" spans="1:47">
      <c r="A34" s="692"/>
      <c r="B34" s="74"/>
      <c r="C34" s="15"/>
      <c r="D34" s="80"/>
      <c r="E34" s="720"/>
      <c r="F34" s="721"/>
      <c r="G34" s="721"/>
      <c r="H34" s="721"/>
      <c r="I34" s="721"/>
      <c r="J34" s="721"/>
      <c r="K34" s="721"/>
      <c r="L34" s="721"/>
      <c r="M34" s="721"/>
      <c r="N34" s="721"/>
      <c r="O34" s="721"/>
      <c r="P34" s="722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729"/>
      <c r="AB34" s="729"/>
      <c r="AC34" s="729"/>
      <c r="AD34" s="729"/>
      <c r="AE34" s="729"/>
      <c r="AF34" s="729"/>
      <c r="AG34" s="729"/>
      <c r="AH34" s="729"/>
      <c r="AI34" s="729"/>
      <c r="AJ34" s="729"/>
      <c r="AK34" s="729"/>
      <c r="AL34" s="729"/>
      <c r="AM34" s="729"/>
      <c r="AN34" s="730"/>
      <c r="AO34" s="23"/>
      <c r="AP34" s="23" t="e">
        <f t="shared" si="25"/>
        <v>#DIV/0!</v>
      </c>
      <c r="AQ34" s="23" t="e">
        <f>AO34/$AO$44</f>
        <v>#DIV/0!</v>
      </c>
      <c r="AR34" s="23" t="e">
        <f t="shared" si="24"/>
        <v>#DIV/0!</v>
      </c>
      <c r="AS34" s="25"/>
      <c r="AU34" s="82"/>
    </row>
    <row r="35" spans="1:47">
      <c r="A35" s="693"/>
      <c r="B35" s="731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3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71" t="e">
        <f>SUM(AP31:AP34)</f>
        <v>#DIV/0!</v>
      </c>
      <c r="AQ35" s="71"/>
      <c r="AR35" s="71"/>
      <c r="AS35" s="83"/>
    </row>
    <row r="36" spans="1:47">
      <c r="A36" s="691" t="s">
        <v>34</v>
      </c>
      <c r="B36" s="84"/>
      <c r="C36" s="85"/>
      <c r="D36" s="86"/>
      <c r="E36" s="734"/>
      <c r="F36" s="735"/>
      <c r="G36" s="735"/>
      <c r="H36" s="735"/>
      <c r="I36" s="735"/>
      <c r="J36" s="735"/>
      <c r="K36" s="735"/>
      <c r="L36" s="735"/>
      <c r="M36" s="735"/>
      <c r="N36" s="735"/>
      <c r="O36" s="735"/>
      <c r="P36" s="735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725"/>
      <c r="AB36" s="725"/>
      <c r="AC36" s="725"/>
      <c r="AD36" s="725"/>
      <c r="AE36" s="725"/>
      <c r="AF36" s="725"/>
      <c r="AG36" s="725"/>
      <c r="AH36" s="725"/>
      <c r="AI36" s="725"/>
      <c r="AJ36" s="725"/>
      <c r="AK36" s="725"/>
      <c r="AL36" s="725"/>
      <c r="AM36" s="725"/>
      <c r="AN36" s="726"/>
      <c r="AO36" s="23">
        <f t="shared" ref="AO36:AO41" si="26">D36*Q36/1000</f>
        <v>0</v>
      </c>
      <c r="AP36" s="23" t="e">
        <f>AO36/$AO$43</f>
        <v>#DIV/0!</v>
      </c>
      <c r="AQ36" s="23"/>
      <c r="AR36" s="23" t="e">
        <f>AO36/$AO$45</f>
        <v>#DIV/0!</v>
      </c>
      <c r="AS36" s="25"/>
    </row>
    <row r="37" spans="1:47">
      <c r="A37" s="692"/>
      <c r="B37" s="74"/>
      <c r="C37" s="87"/>
      <c r="D37" s="88"/>
      <c r="E37" s="736"/>
      <c r="F37" s="737"/>
      <c r="G37" s="737"/>
      <c r="H37" s="737"/>
      <c r="I37" s="737"/>
      <c r="J37" s="737"/>
      <c r="K37" s="737"/>
      <c r="L37" s="737"/>
      <c r="M37" s="737"/>
      <c r="N37" s="737"/>
      <c r="O37" s="737"/>
      <c r="P37" s="737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727"/>
      <c r="AB37" s="727"/>
      <c r="AC37" s="727"/>
      <c r="AD37" s="727"/>
      <c r="AE37" s="727"/>
      <c r="AF37" s="727"/>
      <c r="AG37" s="727"/>
      <c r="AH37" s="727"/>
      <c r="AI37" s="727"/>
      <c r="AJ37" s="727"/>
      <c r="AK37" s="727"/>
      <c r="AL37" s="727"/>
      <c r="AM37" s="727"/>
      <c r="AN37" s="728"/>
      <c r="AO37" s="23">
        <f t="shared" si="26"/>
        <v>0</v>
      </c>
      <c r="AP37" s="23" t="e">
        <f t="shared" ref="AP37:AP42" si="27">AO37/$AO$43</f>
        <v>#DIV/0!</v>
      </c>
      <c r="AQ37" s="23"/>
      <c r="AR37" s="23" t="e">
        <f t="shared" ref="AR37:AR41" si="28">AO37/$AO$45</f>
        <v>#DIV/0!</v>
      </c>
      <c r="AS37" s="30"/>
      <c r="AT37" s="31"/>
    </row>
    <row r="38" spans="1:47">
      <c r="A38" s="692"/>
      <c r="B38" s="74"/>
      <c r="C38" s="87"/>
      <c r="D38" s="88"/>
      <c r="E38" s="736"/>
      <c r="F38" s="737"/>
      <c r="G38" s="737"/>
      <c r="H38" s="737"/>
      <c r="I38" s="737"/>
      <c r="J38" s="737"/>
      <c r="K38" s="737"/>
      <c r="L38" s="737"/>
      <c r="M38" s="737"/>
      <c r="N38" s="737"/>
      <c r="O38" s="737"/>
      <c r="P38" s="737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727"/>
      <c r="AB38" s="727"/>
      <c r="AC38" s="727"/>
      <c r="AD38" s="727"/>
      <c r="AE38" s="727"/>
      <c r="AF38" s="727"/>
      <c r="AG38" s="727"/>
      <c r="AH38" s="727"/>
      <c r="AI38" s="727"/>
      <c r="AJ38" s="727"/>
      <c r="AK38" s="727"/>
      <c r="AL38" s="727"/>
      <c r="AM38" s="727"/>
      <c r="AN38" s="728"/>
      <c r="AO38" s="23">
        <f t="shared" si="26"/>
        <v>0</v>
      </c>
      <c r="AP38" s="23" t="e">
        <f t="shared" si="27"/>
        <v>#DIV/0!</v>
      </c>
      <c r="AQ38" s="23"/>
      <c r="AR38" s="23" t="e">
        <f t="shared" si="28"/>
        <v>#DIV/0!</v>
      </c>
      <c r="AS38" s="30"/>
    </row>
    <row r="39" spans="1:47">
      <c r="A39" s="692"/>
      <c r="B39" s="74"/>
      <c r="C39" s="87"/>
      <c r="D39" s="88"/>
      <c r="E39" s="736"/>
      <c r="F39" s="737"/>
      <c r="G39" s="737"/>
      <c r="H39" s="737"/>
      <c r="I39" s="737"/>
      <c r="J39" s="737"/>
      <c r="K39" s="737"/>
      <c r="L39" s="737"/>
      <c r="M39" s="737"/>
      <c r="N39" s="737"/>
      <c r="O39" s="737"/>
      <c r="P39" s="737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727"/>
      <c r="AB39" s="727"/>
      <c r="AC39" s="727"/>
      <c r="AD39" s="727"/>
      <c r="AE39" s="727"/>
      <c r="AF39" s="727"/>
      <c r="AG39" s="727"/>
      <c r="AH39" s="727"/>
      <c r="AI39" s="727"/>
      <c r="AJ39" s="727"/>
      <c r="AK39" s="727"/>
      <c r="AL39" s="727"/>
      <c r="AM39" s="727"/>
      <c r="AN39" s="728"/>
      <c r="AO39" s="23">
        <f t="shared" si="26"/>
        <v>0</v>
      </c>
      <c r="AP39" s="23" t="e">
        <f t="shared" si="27"/>
        <v>#DIV/0!</v>
      </c>
      <c r="AQ39" s="23"/>
      <c r="AR39" s="23" t="e">
        <f t="shared" si="28"/>
        <v>#DIV/0!</v>
      </c>
      <c r="AS39" s="25"/>
      <c r="AU39" s="89"/>
    </row>
    <row r="40" spans="1:47">
      <c r="A40" s="692"/>
      <c r="B40" s="74"/>
      <c r="C40" s="87"/>
      <c r="D40" s="88"/>
      <c r="E40" s="736"/>
      <c r="F40" s="737"/>
      <c r="G40" s="737"/>
      <c r="H40" s="737"/>
      <c r="I40" s="737"/>
      <c r="J40" s="737"/>
      <c r="K40" s="737"/>
      <c r="L40" s="737"/>
      <c r="M40" s="737"/>
      <c r="N40" s="737"/>
      <c r="O40" s="737"/>
      <c r="P40" s="737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727"/>
      <c r="AB40" s="727"/>
      <c r="AC40" s="727"/>
      <c r="AD40" s="727"/>
      <c r="AE40" s="727"/>
      <c r="AF40" s="727"/>
      <c r="AG40" s="727"/>
      <c r="AH40" s="727"/>
      <c r="AI40" s="727"/>
      <c r="AJ40" s="727"/>
      <c r="AK40" s="727"/>
      <c r="AL40" s="727"/>
      <c r="AM40" s="727"/>
      <c r="AN40" s="728"/>
      <c r="AO40" s="23">
        <f t="shared" si="26"/>
        <v>0</v>
      </c>
      <c r="AP40" s="23" t="e">
        <f t="shared" si="27"/>
        <v>#DIV/0!</v>
      </c>
      <c r="AQ40" s="23"/>
      <c r="AR40" s="23" t="e">
        <f t="shared" si="28"/>
        <v>#DIV/0!</v>
      </c>
      <c r="AS40" s="25"/>
    </row>
    <row r="41" spans="1:47">
      <c r="A41" s="692"/>
      <c r="B41" s="52"/>
      <c r="C41" s="87"/>
      <c r="D41" s="27"/>
      <c r="E41" s="736"/>
      <c r="F41" s="737"/>
      <c r="G41" s="737"/>
      <c r="H41" s="737"/>
      <c r="I41" s="737"/>
      <c r="J41" s="737"/>
      <c r="K41" s="737"/>
      <c r="L41" s="737"/>
      <c r="M41" s="737"/>
      <c r="N41" s="737"/>
      <c r="O41" s="737"/>
      <c r="P41" s="737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727"/>
      <c r="AB41" s="727"/>
      <c r="AC41" s="727"/>
      <c r="AD41" s="727"/>
      <c r="AE41" s="727"/>
      <c r="AF41" s="727"/>
      <c r="AG41" s="727"/>
      <c r="AH41" s="727"/>
      <c r="AI41" s="727"/>
      <c r="AJ41" s="727"/>
      <c r="AK41" s="727"/>
      <c r="AL41" s="727"/>
      <c r="AM41" s="727"/>
      <c r="AN41" s="728"/>
      <c r="AO41" s="23">
        <f t="shared" si="26"/>
        <v>0</v>
      </c>
      <c r="AP41" s="23" t="e">
        <f t="shared" si="27"/>
        <v>#DIV/0!</v>
      </c>
      <c r="AQ41" s="23"/>
      <c r="AR41" s="23" t="e">
        <f t="shared" si="28"/>
        <v>#DIV/0!</v>
      </c>
      <c r="AS41" s="25"/>
    </row>
    <row r="42" spans="1:47">
      <c r="A42" s="692"/>
      <c r="B42" s="90"/>
      <c r="C42" s="87"/>
      <c r="D42" s="80"/>
      <c r="E42" s="738"/>
      <c r="F42" s="739"/>
      <c r="G42" s="739"/>
      <c r="H42" s="739"/>
      <c r="I42" s="739"/>
      <c r="J42" s="739"/>
      <c r="K42" s="739"/>
      <c r="L42" s="739"/>
      <c r="M42" s="739"/>
      <c r="N42" s="739"/>
      <c r="O42" s="739"/>
      <c r="P42" s="739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729"/>
      <c r="AB42" s="729"/>
      <c r="AC42" s="729"/>
      <c r="AD42" s="729"/>
      <c r="AE42" s="729"/>
      <c r="AF42" s="729"/>
      <c r="AG42" s="729"/>
      <c r="AH42" s="729"/>
      <c r="AI42" s="729"/>
      <c r="AJ42" s="729"/>
      <c r="AK42" s="729"/>
      <c r="AL42" s="729"/>
      <c r="AM42" s="729"/>
      <c r="AN42" s="730"/>
      <c r="AO42" s="23"/>
      <c r="AP42" s="23" t="e">
        <f t="shared" si="27"/>
        <v>#DIV/0!</v>
      </c>
      <c r="AQ42" s="23"/>
      <c r="AR42" s="23" t="e">
        <f>AO42/$AO$45</f>
        <v>#DIV/0!</v>
      </c>
      <c r="AS42" s="25"/>
    </row>
    <row r="43" spans="1:47">
      <c r="A43" s="693"/>
      <c r="B43" s="731"/>
      <c r="C43" s="732"/>
      <c r="D43" s="732"/>
      <c r="E43" s="732"/>
      <c r="F43" s="732"/>
      <c r="G43" s="732"/>
      <c r="H43" s="732"/>
      <c r="I43" s="732"/>
      <c r="J43" s="732"/>
      <c r="K43" s="732"/>
      <c r="L43" s="732"/>
      <c r="M43" s="732"/>
      <c r="N43" s="732"/>
      <c r="O43" s="732"/>
      <c r="P43" s="732"/>
      <c r="Q43" s="733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5" t="e">
        <f>SUM(AP36:AP42)</f>
        <v>#DIV/0!</v>
      </c>
      <c r="AQ43" s="155"/>
      <c r="AR43" s="155"/>
      <c r="AS43" s="73"/>
    </row>
    <row r="44" spans="1:47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 t="shared" ref="AA44:AN44" si="29">AA24+AA35</f>
        <v>0</v>
      </c>
      <c r="AB44" s="93">
        <f t="shared" si="29"/>
        <v>0</v>
      </c>
      <c r="AC44" s="93"/>
      <c r="AD44" s="93">
        <f t="shared" si="29"/>
        <v>0</v>
      </c>
      <c r="AE44" s="93">
        <f t="shared" si="29"/>
        <v>0</v>
      </c>
      <c r="AF44" s="93">
        <f t="shared" si="29"/>
        <v>0</v>
      </c>
      <c r="AG44" s="93">
        <f t="shared" si="29"/>
        <v>0</v>
      </c>
      <c r="AH44" s="93"/>
      <c r="AI44" s="93">
        <f t="shared" si="29"/>
        <v>0</v>
      </c>
      <c r="AJ44" s="93">
        <f t="shared" si="29"/>
        <v>0</v>
      </c>
      <c r="AK44" s="93">
        <f t="shared" si="29"/>
        <v>0</v>
      </c>
      <c r="AL44" s="93">
        <f t="shared" si="29"/>
        <v>0</v>
      </c>
      <c r="AM44" s="93">
        <f t="shared" si="29"/>
        <v>0</v>
      </c>
      <c r="AN44" s="93">
        <f t="shared" si="29"/>
        <v>0</v>
      </c>
      <c r="AO44" s="93">
        <f>AO24+AO35</f>
        <v>0</v>
      </c>
      <c r="AP44" s="93"/>
      <c r="AQ44" s="93" t="e">
        <f>SUM(AQ10:AQ23)+SUM(AQ31:AQ34)</f>
        <v>#DIV/0!</v>
      </c>
      <c r="AR44" s="93" t="e">
        <f>SUM(AR10:AR23)+SUM(AR31:AR34)+SUM(AR36:AR42)</f>
        <v>#DIV/0!</v>
      </c>
      <c r="AS44" s="94"/>
      <c r="AT44" s="63"/>
    </row>
    <row r="45" spans="1:47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 t="shared" ref="AA45:AN45" si="30">AA24+AA35+AA43</f>
        <v>0</v>
      </c>
      <c r="AB45" s="93">
        <f t="shared" si="30"/>
        <v>0</v>
      </c>
      <c r="AC45" s="93"/>
      <c r="AD45" s="93">
        <f t="shared" si="30"/>
        <v>0</v>
      </c>
      <c r="AE45" s="93">
        <f t="shared" si="30"/>
        <v>0</v>
      </c>
      <c r="AF45" s="93">
        <f t="shared" si="30"/>
        <v>0</v>
      </c>
      <c r="AG45" s="93">
        <f t="shared" si="30"/>
        <v>0</v>
      </c>
      <c r="AH45" s="93"/>
      <c r="AI45" s="93">
        <f t="shared" si="30"/>
        <v>0</v>
      </c>
      <c r="AJ45" s="93">
        <f t="shared" si="30"/>
        <v>0</v>
      </c>
      <c r="AK45" s="93">
        <f t="shared" si="30"/>
        <v>0</v>
      </c>
      <c r="AL45" s="93">
        <f t="shared" si="30"/>
        <v>0</v>
      </c>
      <c r="AM45" s="93">
        <f t="shared" si="30"/>
        <v>0</v>
      </c>
      <c r="AN45" s="93">
        <f t="shared" si="30"/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47">
      <c r="A46" s="95" t="s">
        <v>35</v>
      </c>
      <c r="B46" s="548" t="str">
        <f>'Fr-01'!G4</f>
        <v>ชื่อผู้จัดทำ</v>
      </c>
      <c r="C46" s="549"/>
      <c r="D46" s="549"/>
      <c r="E46" s="549"/>
      <c r="F46" s="549"/>
      <c r="G46" s="549"/>
      <c r="H46" s="549"/>
      <c r="I46" s="549"/>
      <c r="J46" s="549"/>
      <c r="K46" s="549"/>
      <c r="L46" s="549"/>
      <c r="M46" s="549"/>
      <c r="N46" s="549"/>
      <c r="O46" s="549"/>
      <c r="P46" s="549"/>
      <c r="Q46" s="549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47">
      <c r="A47" s="89"/>
      <c r="B47" s="89"/>
      <c r="C47" s="98"/>
      <c r="D47" s="9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47">
      <c r="B48" s="89"/>
    </row>
    <row r="49" spans="2:2" ht="20.25">
      <c r="B49" s="101"/>
    </row>
    <row r="50" spans="2:2" ht="20.25">
      <c r="B50" s="101"/>
    </row>
    <row r="51" spans="2:2" ht="20.25">
      <c r="B51" s="101"/>
    </row>
  </sheetData>
  <mergeCells count="57">
    <mergeCell ref="B46:Q46"/>
    <mergeCell ref="I3:AA3"/>
    <mergeCell ref="I4:AA4"/>
    <mergeCell ref="AB3:AD3"/>
    <mergeCell ref="AE3:AN3"/>
    <mergeCell ref="AA31:AN34"/>
    <mergeCell ref="B35:Q35"/>
    <mergeCell ref="E8:L8"/>
    <mergeCell ref="M8:N8"/>
    <mergeCell ref="O8:O9"/>
    <mergeCell ref="P8:P9"/>
    <mergeCell ref="R8:R9"/>
    <mergeCell ref="S8:S9"/>
    <mergeCell ref="R7:S7"/>
    <mergeCell ref="T7:W7"/>
    <mergeCell ref="X7:X9"/>
    <mergeCell ref="A36:A43"/>
    <mergeCell ref="E36:P42"/>
    <mergeCell ref="AA36:AN42"/>
    <mergeCell ref="B43:Q43"/>
    <mergeCell ref="A10:A24"/>
    <mergeCell ref="E24:Q24"/>
    <mergeCell ref="A25:A30"/>
    <mergeCell ref="B30:Q30"/>
    <mergeCell ref="A31:A35"/>
    <mergeCell ref="E31:P34"/>
    <mergeCell ref="AP6:AP9"/>
    <mergeCell ref="AQ6:AQ9"/>
    <mergeCell ref="AR6:AR9"/>
    <mergeCell ref="AS6:AS9"/>
    <mergeCell ref="AU6:AV6"/>
    <mergeCell ref="T8:T9"/>
    <mergeCell ref="U8:U9"/>
    <mergeCell ref="R6:X6"/>
    <mergeCell ref="Y6:Y9"/>
    <mergeCell ref="Z6:Z9"/>
    <mergeCell ref="AA6:AF8"/>
    <mergeCell ref="AG6:AN8"/>
    <mergeCell ref="AO6:AO7"/>
    <mergeCell ref="V8:V9"/>
    <mergeCell ref="W8:W9"/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7"/>
  <sheetViews>
    <sheetView workbookViewId="0">
      <selection activeCell="M10" sqref="M10"/>
    </sheetView>
  </sheetViews>
  <sheetFormatPr defaultColWidth="9.140625" defaultRowHeight="14.25"/>
  <cols>
    <col min="1" max="1" width="13.42578125" style="233" customWidth="1"/>
    <col min="2" max="3" width="14.42578125" style="233" customWidth="1"/>
    <col min="4" max="4" width="13.7109375" style="233" customWidth="1"/>
    <col min="5" max="5" width="13.28515625" style="233" customWidth="1"/>
    <col min="6" max="16384" width="9.140625" style="233"/>
  </cols>
  <sheetData>
    <row r="1" spans="1:18" ht="15" customHeight="1">
      <c r="A1" s="755"/>
      <c r="B1" s="761" t="s">
        <v>39</v>
      </c>
      <c r="C1" s="761"/>
      <c r="D1" s="761"/>
      <c r="E1" s="761"/>
      <c r="F1" s="761"/>
      <c r="G1" s="761"/>
      <c r="H1" s="761"/>
      <c r="I1" s="759" t="s">
        <v>517</v>
      </c>
      <c r="J1" s="760"/>
      <c r="K1" s="131"/>
      <c r="L1" s="131"/>
      <c r="M1" s="131"/>
      <c r="N1" s="131"/>
      <c r="O1" s="131"/>
      <c r="P1" s="131"/>
      <c r="Q1" s="131"/>
      <c r="R1" s="131"/>
    </row>
    <row r="2" spans="1:18" ht="15" customHeight="1">
      <c r="A2" s="756"/>
      <c r="B2" s="761"/>
      <c r="C2" s="761"/>
      <c r="D2" s="761"/>
      <c r="E2" s="761"/>
      <c r="F2" s="761"/>
      <c r="G2" s="761"/>
      <c r="H2" s="761"/>
      <c r="I2" s="760"/>
      <c r="J2" s="760"/>
      <c r="K2" s="131"/>
      <c r="L2" s="131"/>
      <c r="M2" s="131"/>
      <c r="N2" s="131"/>
      <c r="O2" s="131"/>
      <c r="P2" s="131"/>
      <c r="Q2" s="131"/>
      <c r="R2" s="131"/>
    </row>
    <row r="3" spans="1:18" ht="15" customHeight="1">
      <c r="A3" s="756"/>
      <c r="B3" s="228" t="s">
        <v>0</v>
      </c>
      <c r="C3" s="758" t="s">
        <v>97</v>
      </c>
      <c r="D3" s="758"/>
      <c r="E3" s="228" t="s">
        <v>98</v>
      </c>
      <c r="F3" s="762" t="str">
        <f>'Fr-01'!$B$6</f>
        <v>ชื่อองค์กรที่ขอขึ้นทะเบียน</v>
      </c>
      <c r="G3" s="763"/>
      <c r="H3" s="764"/>
      <c r="I3" s="229" t="s">
        <v>99</v>
      </c>
      <c r="J3" s="230">
        <v>6</v>
      </c>
      <c r="K3" s="131"/>
      <c r="L3" s="131"/>
      <c r="M3" s="131"/>
      <c r="N3" s="131"/>
      <c r="O3" s="131"/>
      <c r="P3" s="131"/>
      <c r="Q3" s="131"/>
      <c r="R3" s="131"/>
    </row>
    <row r="4" spans="1:18" ht="15" customHeight="1">
      <c r="A4" s="757"/>
      <c r="B4" s="228" t="s">
        <v>1</v>
      </c>
      <c r="C4" s="758" t="s">
        <v>40</v>
      </c>
      <c r="D4" s="758"/>
      <c r="E4" s="228" t="s">
        <v>101</v>
      </c>
      <c r="F4" s="762" t="str">
        <f>'Fr-01'!$G$4</f>
        <v>ชื่อผู้จัดทำ</v>
      </c>
      <c r="G4" s="763"/>
      <c r="H4" s="764"/>
      <c r="I4" s="229" t="s">
        <v>102</v>
      </c>
      <c r="J4" s="230"/>
      <c r="K4" s="131"/>
      <c r="L4" s="131"/>
      <c r="M4" s="131"/>
      <c r="N4" s="131"/>
      <c r="O4" s="131"/>
      <c r="P4" s="131"/>
      <c r="Q4" s="131"/>
      <c r="R4" s="131"/>
    </row>
    <row r="5" spans="1:18" s="236" customFormat="1" ht="15" customHeight="1">
      <c r="A5" s="231" t="s">
        <v>206</v>
      </c>
      <c r="B5" s="232" t="str">
        <f>'Fr-01'!H22</f>
        <v xml:space="preserve"> ระบุปีที่เก็บข้อมูล เช่น ม.ค.63-ธ.ค.63</v>
      </c>
      <c r="C5" s="234"/>
      <c r="D5" s="234"/>
      <c r="E5" s="234"/>
      <c r="F5" s="234"/>
      <c r="G5" s="234"/>
      <c r="H5" s="234"/>
      <c r="I5" s="234"/>
      <c r="J5" s="235"/>
      <c r="K5" s="237"/>
      <c r="L5" s="237"/>
      <c r="M5" s="237"/>
      <c r="N5" s="237"/>
      <c r="O5" s="237"/>
      <c r="P5" s="237"/>
      <c r="Q5" s="237"/>
      <c r="R5" s="237"/>
    </row>
    <row r="6" spans="1:18">
      <c r="A6" s="749"/>
      <c r="B6" s="774" t="s">
        <v>3</v>
      </c>
      <c r="C6" s="775" t="s">
        <v>41</v>
      </c>
      <c r="D6" s="777" t="s">
        <v>42</v>
      </c>
      <c r="E6" s="777" t="s">
        <v>43</v>
      </c>
      <c r="F6" s="750"/>
      <c r="G6" s="751"/>
      <c r="H6" s="751"/>
      <c r="I6" s="751"/>
      <c r="J6" s="752"/>
    </row>
    <row r="7" spans="1:18">
      <c r="A7" s="749"/>
      <c r="B7" s="774"/>
      <c r="C7" s="775"/>
      <c r="D7" s="777"/>
      <c r="E7" s="777"/>
      <c r="F7" s="750"/>
      <c r="G7" s="751"/>
      <c r="H7" s="751"/>
      <c r="I7" s="751"/>
      <c r="J7" s="752"/>
      <c r="L7" s="74"/>
      <c r="M7" s="74"/>
    </row>
    <row r="8" spans="1:18">
      <c r="A8" s="749"/>
      <c r="B8" s="774"/>
      <c r="C8" s="775"/>
      <c r="D8" s="777"/>
      <c r="E8" s="777"/>
      <c r="F8" s="750"/>
      <c r="G8" s="751"/>
      <c r="H8" s="751"/>
      <c r="I8" s="751"/>
      <c r="J8" s="752"/>
      <c r="L8" s="74"/>
      <c r="M8" s="74"/>
    </row>
    <row r="9" spans="1:18">
      <c r="A9" s="749"/>
      <c r="B9" s="774"/>
      <c r="C9" s="776"/>
      <c r="D9" s="778"/>
      <c r="E9" s="778"/>
      <c r="F9" s="750"/>
      <c r="G9" s="751"/>
      <c r="H9" s="751"/>
      <c r="I9" s="751"/>
      <c r="J9" s="752"/>
      <c r="L9" s="74"/>
      <c r="M9" s="74"/>
    </row>
    <row r="10" spans="1:18" ht="32.25" customHeight="1">
      <c r="A10" s="749"/>
      <c r="B10" s="105" t="s">
        <v>130</v>
      </c>
      <c r="C10" s="110">
        <f>ROUNDUP('Fr-04.1'!AO24,0)</f>
        <v>0</v>
      </c>
      <c r="D10" s="106" t="e">
        <f>C10/C$14%</f>
        <v>#DIV/0!</v>
      </c>
      <c r="E10" s="106" t="e">
        <f>C10/SUM(C10:C12)%</f>
        <v>#DIV/0!</v>
      </c>
      <c r="F10" s="750"/>
      <c r="G10" s="751"/>
      <c r="H10" s="751"/>
      <c r="I10" s="751"/>
      <c r="J10" s="752"/>
      <c r="L10" s="107"/>
      <c r="M10" s="107"/>
    </row>
    <row r="11" spans="1:18" ht="32.25" customHeight="1">
      <c r="A11" s="749"/>
      <c r="B11" s="108" t="s">
        <v>107</v>
      </c>
      <c r="C11" s="110">
        <f>ROUNDUP('Fr-04.1'!AO35,0)</f>
        <v>0</v>
      </c>
      <c r="D11" s="106" t="e">
        <f>C11/C$14%</f>
        <v>#DIV/0!</v>
      </c>
      <c r="E11" s="106" t="e">
        <f>C11/SUM(C10:C12)%</f>
        <v>#DIV/0!</v>
      </c>
      <c r="F11" s="750"/>
      <c r="G11" s="751"/>
      <c r="H11" s="751"/>
      <c r="I11" s="751"/>
      <c r="J11" s="752"/>
    </row>
    <row r="12" spans="1:18" ht="32.25" customHeight="1">
      <c r="A12" s="749"/>
      <c r="B12" s="108" t="s">
        <v>108</v>
      </c>
      <c r="C12" s="110">
        <f>ROUNDUP('Fr-04.1'!AO43,0)</f>
        <v>0</v>
      </c>
      <c r="D12" s="765"/>
      <c r="E12" s="106" t="e">
        <f>C12/SUM(C10:C12)%</f>
        <v>#DIV/0!</v>
      </c>
      <c r="F12" s="750"/>
      <c r="G12" s="751"/>
      <c r="H12" s="751"/>
      <c r="I12" s="751"/>
      <c r="J12" s="752"/>
    </row>
    <row r="13" spans="1:18" ht="32.25" customHeight="1">
      <c r="A13" s="749"/>
      <c r="B13" s="109" t="s">
        <v>38</v>
      </c>
      <c r="C13" s="174">
        <f>ROUNDUP('Fr-04.1'!AO30,0)</f>
        <v>0</v>
      </c>
      <c r="D13" s="766"/>
      <c r="E13" s="110"/>
      <c r="F13" s="750"/>
      <c r="G13" s="751"/>
      <c r="H13" s="751"/>
      <c r="I13" s="751"/>
      <c r="J13" s="752"/>
    </row>
    <row r="14" spans="1:18" ht="32.25" customHeight="1">
      <c r="A14" s="749"/>
      <c r="B14" s="191" t="s">
        <v>44</v>
      </c>
      <c r="C14" s="135">
        <f>SUM(C10:C11)</f>
        <v>0</v>
      </c>
      <c r="D14" s="111" t="e">
        <f>SUM(D10:D11)</f>
        <v>#DIV/0!</v>
      </c>
      <c r="E14" s="111"/>
      <c r="F14" s="750"/>
      <c r="G14" s="751"/>
      <c r="H14" s="751"/>
      <c r="I14" s="751"/>
      <c r="J14" s="752"/>
    </row>
    <row r="15" spans="1:18" ht="32.25" customHeight="1">
      <c r="A15" s="749"/>
      <c r="B15" s="191" t="s">
        <v>143</v>
      </c>
      <c r="C15" s="135">
        <f>SUM(C10:C12)</f>
        <v>0</v>
      </c>
      <c r="D15" s="111"/>
      <c r="E15" s="111" t="e">
        <f>SUM(E10:E12)</f>
        <v>#DIV/0!</v>
      </c>
      <c r="F15" s="750"/>
      <c r="G15" s="751"/>
      <c r="H15" s="751"/>
      <c r="I15" s="751"/>
      <c r="J15" s="752"/>
    </row>
    <row r="16" spans="1:18">
      <c r="A16" s="192"/>
      <c r="B16" s="190"/>
      <c r="C16" s="190"/>
      <c r="D16" s="190"/>
      <c r="E16" s="190"/>
      <c r="F16" s="190"/>
      <c r="G16" s="190"/>
      <c r="H16" s="190"/>
      <c r="I16" s="190"/>
      <c r="J16" s="193"/>
    </row>
    <row r="17" spans="1:10">
      <c r="A17" s="192"/>
      <c r="B17" s="753" t="s">
        <v>178</v>
      </c>
      <c r="C17" s="754"/>
      <c r="D17" s="196" t="e">
        <f>C14/'Fr-01'!H23</f>
        <v>#DIV/0!</v>
      </c>
      <c r="E17" s="198" t="s">
        <v>183</v>
      </c>
      <c r="F17" s="199" t="str">
        <f>'Fr-01'!J23</f>
        <v>ระบุหน่วย</v>
      </c>
      <c r="G17" s="190"/>
      <c r="H17" s="190"/>
      <c r="I17" s="190"/>
      <c r="J17" s="193"/>
    </row>
    <row r="18" spans="1:10">
      <c r="A18" s="192"/>
      <c r="B18" s="753" t="s">
        <v>179</v>
      </c>
      <c r="C18" s="754"/>
      <c r="D18" s="197" t="e">
        <f>C15/'Fr-01'!H23</f>
        <v>#DIV/0!</v>
      </c>
      <c r="E18" s="198" t="s">
        <v>183</v>
      </c>
      <c r="F18" s="199" t="str">
        <f>'Fr-01'!J23</f>
        <v>ระบุหน่วย</v>
      </c>
      <c r="G18" s="190"/>
      <c r="H18" s="190"/>
      <c r="I18" s="190"/>
      <c r="J18" s="193"/>
    </row>
    <row r="19" spans="1:10">
      <c r="A19" s="187"/>
      <c r="B19" s="188"/>
      <c r="C19" s="188"/>
      <c r="D19" s="188"/>
      <c r="E19" s="188"/>
      <c r="F19" s="188"/>
      <c r="G19" s="188"/>
      <c r="H19" s="188"/>
      <c r="I19" s="188"/>
      <c r="J19" s="189"/>
    </row>
    <row r="20" spans="1:10" s="236" customFormat="1" ht="12.75">
      <c r="A20" s="231" t="s">
        <v>205</v>
      </c>
      <c r="B20" s="232" t="str">
        <f>'Fr-01'!H24</f>
        <v xml:space="preserve"> ระบุปีฐาน เช่น ม.ค.61-ธ.ค.61</v>
      </c>
      <c r="C20" s="234"/>
      <c r="D20" s="234"/>
      <c r="E20" s="234"/>
      <c r="F20" s="234"/>
      <c r="G20" s="234"/>
      <c r="H20" s="234"/>
      <c r="I20" s="234"/>
      <c r="J20" s="235"/>
    </row>
    <row r="21" spans="1:10">
      <c r="A21" s="238"/>
      <c r="B21" s="239"/>
      <c r="C21" s="239"/>
      <c r="D21" s="239"/>
      <c r="E21" s="239"/>
      <c r="F21" s="239"/>
      <c r="G21" s="239"/>
      <c r="H21" s="239"/>
      <c r="I21" s="239"/>
      <c r="J21" s="240"/>
    </row>
    <row r="22" spans="1:10" ht="15" customHeight="1">
      <c r="A22" s="238"/>
      <c r="B22" s="779" t="s">
        <v>3</v>
      </c>
      <c r="C22" s="780" t="s">
        <v>41</v>
      </c>
      <c r="D22" s="781" t="s">
        <v>42</v>
      </c>
      <c r="E22" s="781" t="s">
        <v>43</v>
      </c>
      <c r="F22" s="192"/>
      <c r="G22" s="782" t="s">
        <v>210</v>
      </c>
      <c r="H22" s="782"/>
      <c r="I22" s="782"/>
      <c r="J22" s="193"/>
    </row>
    <row r="23" spans="1:10">
      <c r="A23" s="192"/>
      <c r="B23" s="774"/>
      <c r="C23" s="775"/>
      <c r="D23" s="777"/>
      <c r="E23" s="777"/>
      <c r="F23" s="192"/>
      <c r="G23" s="190"/>
      <c r="H23" s="190"/>
      <c r="I23" s="190"/>
      <c r="J23" s="193"/>
    </row>
    <row r="24" spans="1:10">
      <c r="A24" s="238"/>
      <c r="B24" s="774"/>
      <c r="C24" s="775"/>
      <c r="D24" s="777"/>
      <c r="E24" s="777"/>
      <c r="F24" s="192"/>
      <c r="G24" s="190"/>
      <c r="H24" s="190"/>
      <c r="I24" s="190"/>
      <c r="J24" s="193"/>
    </row>
    <row r="25" spans="1:10">
      <c r="A25" s="238"/>
      <c r="B25" s="774"/>
      <c r="C25" s="776"/>
      <c r="D25" s="778"/>
      <c r="E25" s="778"/>
      <c r="F25" s="192"/>
      <c r="G25" s="190"/>
      <c r="H25" s="190"/>
      <c r="I25" s="190"/>
      <c r="J25" s="193"/>
    </row>
    <row r="26" spans="1:10" ht="32.25" customHeight="1">
      <c r="A26" s="238"/>
      <c r="B26" s="105" t="s">
        <v>130</v>
      </c>
      <c r="C26" s="110">
        <f>ROUNDUP('Fr-04.2'!AO24,0)</f>
        <v>0</v>
      </c>
      <c r="D26" s="106" t="e">
        <f>C26/C$30%</f>
        <v>#DIV/0!</v>
      </c>
      <c r="E26" s="106" t="e">
        <f>C26/SUM(C26:C28)%</f>
        <v>#DIV/0!</v>
      </c>
      <c r="F26" s="192"/>
      <c r="G26" s="190"/>
      <c r="H26" s="190"/>
      <c r="I26" s="190"/>
      <c r="J26" s="193"/>
    </row>
    <row r="27" spans="1:10" ht="32.25" customHeight="1">
      <c r="A27" s="238"/>
      <c r="B27" s="108" t="s">
        <v>107</v>
      </c>
      <c r="C27" s="110">
        <f>ROUNDUP('Fr-04.2'!AO35,0)</f>
        <v>0</v>
      </c>
      <c r="D27" s="106" t="e">
        <f>C27/C$30%</f>
        <v>#DIV/0!</v>
      </c>
      <c r="E27" s="106" t="e">
        <f>C27/SUM(C26:C28)%</f>
        <v>#DIV/0!</v>
      </c>
      <c r="F27" s="192"/>
      <c r="G27" s="190"/>
      <c r="H27" s="190"/>
      <c r="I27" s="190"/>
      <c r="J27" s="193"/>
    </row>
    <row r="28" spans="1:10" ht="32.25" customHeight="1">
      <c r="A28" s="238"/>
      <c r="B28" s="108" t="s">
        <v>108</v>
      </c>
      <c r="C28" s="110">
        <f>ROUNDUP('Fr-04.2'!AO43,0)</f>
        <v>0</v>
      </c>
      <c r="D28" s="765"/>
      <c r="E28" s="106" t="e">
        <f>C28/SUM(C26:C28)%</f>
        <v>#DIV/0!</v>
      </c>
      <c r="F28" s="192"/>
      <c r="G28" s="190"/>
      <c r="H28" s="190"/>
      <c r="I28" s="190"/>
      <c r="J28" s="193"/>
    </row>
    <row r="29" spans="1:10" ht="32.25" customHeight="1">
      <c r="A29" s="238"/>
      <c r="B29" s="109" t="s">
        <v>38</v>
      </c>
      <c r="C29" s="174">
        <f>ROUNDUP('Fr-04.2'!AO46,0)</f>
        <v>0</v>
      </c>
      <c r="D29" s="766"/>
      <c r="E29" s="110"/>
      <c r="F29" s="192"/>
      <c r="G29" s="190"/>
      <c r="H29" s="190"/>
      <c r="I29" s="190"/>
      <c r="J29" s="193"/>
    </row>
    <row r="30" spans="1:10" ht="22.5">
      <c r="A30" s="238"/>
      <c r="B30" s="191" t="s">
        <v>44</v>
      </c>
      <c r="C30" s="135">
        <f>SUM(C26:C27)</f>
        <v>0</v>
      </c>
      <c r="D30" s="111" t="e">
        <f>SUM(D26:D27)</f>
        <v>#DIV/0!</v>
      </c>
      <c r="E30" s="111"/>
      <c r="F30" s="192"/>
      <c r="G30" s="190"/>
      <c r="H30" s="190"/>
      <c r="I30" s="190"/>
      <c r="J30" s="193"/>
    </row>
    <row r="31" spans="1:10" ht="22.5">
      <c r="A31" s="238"/>
      <c r="B31" s="191" t="s">
        <v>143</v>
      </c>
      <c r="C31" s="135">
        <f>SUM(C26:C28)</f>
        <v>0</v>
      </c>
      <c r="D31" s="111"/>
      <c r="E31" s="111" t="e">
        <f>SUM(E26:E28)</f>
        <v>#DIV/0!</v>
      </c>
      <c r="F31" s="192"/>
      <c r="G31" s="190"/>
      <c r="H31" s="190"/>
      <c r="I31" s="190"/>
      <c r="J31" s="193"/>
    </row>
    <row r="32" spans="1:10">
      <c r="A32" s="238"/>
      <c r="B32" s="190"/>
      <c r="C32" s="190"/>
      <c r="D32" s="190"/>
      <c r="E32" s="190"/>
      <c r="F32" s="190"/>
      <c r="G32" s="190"/>
      <c r="H32" s="190"/>
      <c r="I32" s="190"/>
      <c r="J32" s="193"/>
    </row>
    <row r="33" spans="1:10">
      <c r="A33" s="238"/>
      <c r="B33" s="753" t="s">
        <v>178</v>
      </c>
      <c r="C33" s="754"/>
      <c r="D33" s="196" t="e">
        <f>C30/'Fr-01'!H25</f>
        <v>#DIV/0!</v>
      </c>
      <c r="E33" s="198" t="s">
        <v>183</v>
      </c>
      <c r="F33" s="199" t="str">
        <f>F17</f>
        <v>ระบุหน่วย</v>
      </c>
      <c r="G33" s="190"/>
      <c r="H33" s="190"/>
      <c r="I33" s="190"/>
      <c r="J33" s="193"/>
    </row>
    <row r="34" spans="1:10">
      <c r="A34" s="238"/>
      <c r="B34" s="753" t="s">
        <v>179</v>
      </c>
      <c r="C34" s="754"/>
      <c r="D34" s="197" t="e">
        <f>C31/'Fr-01'!H25</f>
        <v>#DIV/0!</v>
      </c>
      <c r="E34" s="198" t="s">
        <v>183</v>
      </c>
      <c r="F34" s="199" t="str">
        <f>F18</f>
        <v>ระบุหน่วย</v>
      </c>
      <c r="G34" s="190"/>
      <c r="H34" s="190"/>
      <c r="I34" s="190"/>
      <c r="J34" s="193"/>
    </row>
    <row r="35" spans="1:10">
      <c r="A35" s="238"/>
      <c r="B35" s="239"/>
      <c r="C35" s="239"/>
      <c r="D35" s="239"/>
      <c r="E35" s="239"/>
      <c r="F35" s="239"/>
      <c r="G35" s="239"/>
      <c r="H35" s="239"/>
      <c r="I35" s="239"/>
      <c r="J35" s="240"/>
    </row>
    <row r="36" spans="1:10">
      <c r="A36" s="241"/>
      <c r="B36" s="242"/>
      <c r="C36" s="242"/>
      <c r="D36" s="242"/>
      <c r="E36" s="242"/>
      <c r="F36" s="242"/>
      <c r="G36" s="242"/>
      <c r="H36" s="242"/>
      <c r="I36" s="242"/>
      <c r="J36" s="243"/>
    </row>
    <row r="37" spans="1:10">
      <c r="A37" s="134" t="s">
        <v>35</v>
      </c>
      <c r="B37" s="767" t="str">
        <f>'Fr-01'!G4</f>
        <v>ชื่อผู้จัดทำ</v>
      </c>
      <c r="C37" s="768"/>
      <c r="D37" s="768"/>
      <c r="E37" s="769"/>
      <c r="F37" s="770"/>
      <c r="G37" s="112" t="s">
        <v>36</v>
      </c>
      <c r="H37" s="771">
        <v>0</v>
      </c>
      <c r="I37" s="772"/>
      <c r="J37" s="773"/>
    </row>
  </sheetData>
  <mergeCells count="26"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57"/>
  <sheetViews>
    <sheetView workbookViewId="0"/>
  </sheetViews>
  <sheetFormatPr defaultColWidth="9.140625" defaultRowHeight="15"/>
  <cols>
    <col min="1" max="1" width="6.28515625" style="137" customWidth="1"/>
    <col min="2" max="2" width="34.42578125" style="137" customWidth="1"/>
    <col min="3" max="3" width="8" style="137" customWidth="1"/>
    <col min="4" max="7" width="14.28515625" style="137" customWidth="1"/>
    <col min="8" max="8" width="50.85546875" style="137" customWidth="1"/>
    <col min="9" max="13" width="9.140625" style="137"/>
    <col min="14" max="14" width="9.140625" style="137" customWidth="1"/>
    <col min="15" max="15" width="9.140625" style="137"/>
    <col min="16" max="16" width="63.7109375" style="137" bestFit="1" customWidth="1"/>
    <col min="17" max="17" width="6.140625" style="137" bestFit="1" customWidth="1"/>
    <col min="18" max="18" width="30.140625" style="137" customWidth="1"/>
    <col min="19" max="16384" width="9.140625" style="137"/>
  </cols>
  <sheetData>
    <row r="2" spans="1:15" ht="18">
      <c r="A2" s="784"/>
      <c r="B2" s="785" t="s">
        <v>45</v>
      </c>
      <c r="C2" s="784" t="s">
        <v>46</v>
      </c>
      <c r="D2" s="786" t="s">
        <v>47</v>
      </c>
      <c r="E2" s="787"/>
      <c r="F2" s="787"/>
      <c r="G2" s="787"/>
      <c r="H2" s="785" t="s">
        <v>48</v>
      </c>
      <c r="J2" s="609" t="s">
        <v>12</v>
      </c>
      <c r="K2" s="783"/>
      <c r="L2" s="610"/>
    </row>
    <row r="3" spans="1:15">
      <c r="A3" s="784"/>
      <c r="B3" s="785"/>
      <c r="C3" s="784"/>
      <c r="D3" s="157" t="s">
        <v>49</v>
      </c>
      <c r="E3" s="157" t="s">
        <v>50</v>
      </c>
      <c r="F3" s="157" t="s">
        <v>51</v>
      </c>
      <c r="G3" s="157" t="s">
        <v>52</v>
      </c>
      <c r="H3" s="785"/>
      <c r="J3" s="2" t="s">
        <v>13</v>
      </c>
      <c r="K3" s="136" t="s">
        <v>14</v>
      </c>
      <c r="L3" s="136" t="s">
        <v>152</v>
      </c>
    </row>
    <row r="4" spans="1:15">
      <c r="A4" s="784"/>
      <c r="B4" s="785"/>
      <c r="C4" s="784"/>
      <c r="D4" s="157" t="s">
        <v>53</v>
      </c>
      <c r="E4" s="157" t="s">
        <v>54</v>
      </c>
      <c r="F4" s="157" t="s">
        <v>55</v>
      </c>
      <c r="G4" s="157" t="s">
        <v>148</v>
      </c>
      <c r="H4" s="785"/>
      <c r="J4" s="2" t="s">
        <v>16</v>
      </c>
      <c r="K4" s="2">
        <v>1</v>
      </c>
      <c r="L4" s="2">
        <v>1</v>
      </c>
    </row>
    <row r="5" spans="1:15">
      <c r="A5" s="158" t="s">
        <v>56</v>
      </c>
      <c r="C5" s="159"/>
      <c r="D5" s="159"/>
      <c r="E5" s="159"/>
      <c r="F5" s="159"/>
      <c r="G5" s="159"/>
      <c r="H5" s="138"/>
      <c r="J5" s="2" t="s">
        <v>26</v>
      </c>
      <c r="K5" s="2">
        <v>25</v>
      </c>
      <c r="L5" s="2">
        <v>28</v>
      </c>
    </row>
    <row r="6" spans="1:15">
      <c r="A6" s="139"/>
      <c r="B6" s="140" t="s">
        <v>57</v>
      </c>
      <c r="C6" s="139" t="s">
        <v>58</v>
      </c>
      <c r="D6" s="160">
        <f>D48*$G$48*10^-6</f>
        <v>5.7221999999999995E-2</v>
      </c>
      <c r="E6" s="160">
        <f>E48*$G$48*10^-6</f>
        <v>1.02E-6</v>
      </c>
      <c r="F6" s="160">
        <f>F48*$G$48*10^-6</f>
        <v>1.02E-7</v>
      </c>
      <c r="G6" s="161">
        <f>D6+(E6*$K$5)+(F6*$K$6)</f>
        <v>5.7277895999999995E-2</v>
      </c>
      <c r="H6" s="141" t="s">
        <v>59</v>
      </c>
      <c r="I6" s="169"/>
      <c r="J6" s="2" t="s">
        <v>27</v>
      </c>
      <c r="K6" s="2">
        <v>298</v>
      </c>
      <c r="L6" s="2">
        <v>265</v>
      </c>
      <c r="N6" s="170"/>
      <c r="O6" s="170"/>
    </row>
    <row r="7" spans="1:15">
      <c r="A7" s="139"/>
      <c r="B7" s="140" t="s">
        <v>57</v>
      </c>
      <c r="C7" s="139" t="s">
        <v>151</v>
      </c>
      <c r="D7" s="160">
        <f>D48/1000000</f>
        <v>5.6099999999999997E-2</v>
      </c>
      <c r="E7" s="160">
        <f t="shared" ref="E7" si="0">E48/1000000</f>
        <v>9.9999999999999995E-7</v>
      </c>
      <c r="F7" s="160">
        <f>F48/1000000</f>
        <v>1.0000000000000001E-7</v>
      </c>
      <c r="G7" s="161">
        <f t="shared" ref="G7:G17" si="1">D7+(E7*$K$5)+(F7*$K$6)</f>
        <v>5.6154799999999998E-2</v>
      </c>
      <c r="H7" s="141" t="s">
        <v>59</v>
      </c>
      <c r="I7" s="169"/>
      <c r="J7" s="2" t="s">
        <v>28</v>
      </c>
      <c r="K7" s="2">
        <v>22800</v>
      </c>
      <c r="L7" s="2">
        <v>23500</v>
      </c>
      <c r="N7" s="170"/>
      <c r="O7" s="170"/>
    </row>
    <row r="8" spans="1:15">
      <c r="A8" s="139"/>
      <c r="B8" s="140" t="s">
        <v>60</v>
      </c>
      <c r="C8" s="139" t="s">
        <v>61</v>
      </c>
      <c r="D8" s="160">
        <f>D49*$G$49*10^-6</f>
        <v>1.0574699999999999</v>
      </c>
      <c r="E8" s="160">
        <f t="shared" ref="E8:F8" si="2">E49*$G$49*10^-6</f>
        <v>1.047E-5</v>
      </c>
      <c r="F8" s="160">
        <f t="shared" si="2"/>
        <v>1.5705E-5</v>
      </c>
      <c r="G8" s="161">
        <f>D8+(E8*$K$5)+(F8*$K$6)</f>
        <v>1.0624118399999998</v>
      </c>
      <c r="H8" s="141" t="s">
        <v>59</v>
      </c>
      <c r="I8" s="169"/>
      <c r="J8" s="2" t="s">
        <v>29</v>
      </c>
      <c r="K8" s="2">
        <v>17200</v>
      </c>
      <c r="L8" s="2">
        <v>16100</v>
      </c>
      <c r="N8" s="170"/>
      <c r="O8" s="170"/>
    </row>
    <row r="9" spans="1:15">
      <c r="A9" s="139"/>
      <c r="B9" s="140" t="s">
        <v>154</v>
      </c>
      <c r="C9" s="139" t="s">
        <v>62</v>
      </c>
      <c r="D9" s="160">
        <f>D50*$G$50*10^-6</f>
        <v>3.2096984443713019</v>
      </c>
      <c r="E9" s="160">
        <f>E50*$G$50*10^-6</f>
        <v>1.2440691644850007E-4</v>
      </c>
      <c r="F9" s="160">
        <f>F50*$G$50*10^-6</f>
        <v>2.4881383289700012E-5</v>
      </c>
      <c r="G9" s="161">
        <f>D9+(E9*$K$5)+(F9*$K$6)</f>
        <v>3.2202232695028448</v>
      </c>
      <c r="H9" s="141" t="s">
        <v>158</v>
      </c>
      <c r="I9" s="169"/>
      <c r="J9" s="137" t="s">
        <v>161</v>
      </c>
      <c r="N9" s="170"/>
      <c r="O9" s="170"/>
    </row>
    <row r="10" spans="1:15">
      <c r="A10" s="139"/>
      <c r="B10" s="140" t="s">
        <v>157</v>
      </c>
      <c r="C10" s="139" t="s">
        <v>62</v>
      </c>
      <c r="D10" s="160">
        <f>D51*$G$51*10^-6</f>
        <v>3.2353401009425418</v>
      </c>
      <c r="E10" s="160">
        <f>E51*$G$51*10^-6</f>
        <v>1.2540077910630005E-4</v>
      </c>
      <c r="F10" s="160">
        <f>F51*$G$51*10^-6</f>
        <v>2.5080155821260009E-5</v>
      </c>
      <c r="G10" s="161">
        <f>D10+(E10*$K$5)+(F10*$K$6)</f>
        <v>3.2459490068549348</v>
      </c>
      <c r="H10" s="141" t="s">
        <v>158</v>
      </c>
      <c r="I10" s="169"/>
      <c r="N10" s="170"/>
      <c r="O10" s="170"/>
    </row>
    <row r="11" spans="1:15">
      <c r="A11" s="139"/>
      <c r="B11" s="140" t="s">
        <v>63</v>
      </c>
      <c r="C11" s="139" t="s">
        <v>62</v>
      </c>
      <c r="D11" s="160">
        <f>D52*$G$52*10^-6</f>
        <v>2.6987220000000001</v>
      </c>
      <c r="E11" s="160">
        <f t="shared" ref="E11:F11" si="3">E52*$G$52*10^-6</f>
        <v>1.0925999999999999E-4</v>
      </c>
      <c r="F11" s="160">
        <f t="shared" si="3"/>
        <v>2.1852E-5</v>
      </c>
      <c r="G11" s="161">
        <f>D11+(E11*$K$5)+(F11*$K$6)</f>
        <v>2.7079653960000001</v>
      </c>
      <c r="H11" s="141" t="s">
        <v>59</v>
      </c>
      <c r="I11" s="169"/>
      <c r="N11" s="170"/>
      <c r="O11" s="170"/>
    </row>
    <row r="12" spans="1:15">
      <c r="A12" s="139"/>
      <c r="B12" s="140" t="s">
        <v>64</v>
      </c>
      <c r="C12" s="139" t="s">
        <v>61</v>
      </c>
      <c r="D12" s="160">
        <f>D53*$G$53*10^-6</f>
        <v>3.0866199999999999</v>
      </c>
      <c r="E12" s="160">
        <f t="shared" ref="E12:F12" si="4">E53*$G$53*10^-6</f>
        <v>3.1399999999999998E-5</v>
      </c>
      <c r="F12" s="160">
        <f t="shared" si="4"/>
        <v>4.7099999999999993E-5</v>
      </c>
      <c r="G12" s="161">
        <f t="shared" si="1"/>
        <v>3.1014407999999998</v>
      </c>
      <c r="H12" s="141" t="s">
        <v>59</v>
      </c>
      <c r="I12" s="169"/>
      <c r="N12" s="170"/>
      <c r="O12" s="170"/>
    </row>
    <row r="13" spans="1:15">
      <c r="A13" s="139"/>
      <c r="B13" s="140" t="s">
        <v>65</v>
      </c>
      <c r="C13" s="139" t="s">
        <v>61</v>
      </c>
      <c r="D13" s="160">
        <f>D54*$G$54*10^-6</f>
        <v>2.534157</v>
      </c>
      <c r="E13" s="160">
        <f t="shared" ref="E13:F13" si="5">E54*$G$54*10^-6</f>
        <v>2.637E-5</v>
      </c>
      <c r="F13" s="160">
        <f t="shared" si="5"/>
        <v>3.9554999999999997E-5</v>
      </c>
      <c r="G13" s="161">
        <f t="shared" si="1"/>
        <v>2.5466036399999998</v>
      </c>
      <c r="H13" s="141" t="s">
        <v>59</v>
      </c>
      <c r="I13" s="169"/>
      <c r="N13" s="170"/>
      <c r="O13" s="170"/>
    </row>
    <row r="14" spans="1:15">
      <c r="A14" s="139"/>
      <c r="B14" s="140" t="s">
        <v>66</v>
      </c>
      <c r="C14" s="139" t="s">
        <v>62</v>
      </c>
      <c r="D14" s="160">
        <f>D55*$G$55*10^-6</f>
        <v>2.4688949999999998</v>
      </c>
      <c r="E14" s="160">
        <f t="shared" ref="E14:F14" si="6">E55*$G$55*10^-6</f>
        <v>1.0359E-4</v>
      </c>
      <c r="F14" s="160">
        <f t="shared" si="6"/>
        <v>2.0718000000000001E-5</v>
      </c>
      <c r="G14" s="161">
        <f t="shared" si="1"/>
        <v>2.4776587139999995</v>
      </c>
      <c r="H14" s="141" t="s">
        <v>59</v>
      </c>
      <c r="I14" s="169"/>
      <c r="N14" s="170"/>
      <c r="O14" s="170"/>
    </row>
    <row r="15" spans="1:15">
      <c r="A15" s="139"/>
      <c r="B15" s="140" t="s">
        <v>67</v>
      </c>
      <c r="C15" s="139" t="s">
        <v>62</v>
      </c>
      <c r="D15" s="160">
        <f>D56*$G$56*10^-6</f>
        <v>1.6797219999999999</v>
      </c>
      <c r="E15" s="160">
        <f t="shared" ref="E15:F15" si="7">E56*$G$56*10^-6</f>
        <v>2.6619999999999999E-5</v>
      </c>
      <c r="F15" s="160">
        <f t="shared" si="7"/>
        <v>2.6620000000000001E-6</v>
      </c>
      <c r="G15" s="161">
        <f t="shared" si="1"/>
        <v>1.6811807759999999</v>
      </c>
      <c r="H15" s="141" t="s">
        <v>59</v>
      </c>
      <c r="I15" s="169"/>
      <c r="N15" s="170"/>
      <c r="O15" s="170"/>
    </row>
    <row r="16" spans="1:15">
      <c r="A16" s="158"/>
      <c r="B16" s="140" t="s">
        <v>67</v>
      </c>
      <c r="C16" s="139" t="s">
        <v>61</v>
      </c>
      <c r="D16" s="160">
        <f>D15/0.54</f>
        <v>3.1105962962962961</v>
      </c>
      <c r="E16" s="160">
        <f t="shared" ref="E16:F16" si="8">E15/0.54</f>
        <v>4.9296296296296292E-5</v>
      </c>
      <c r="F16" s="160">
        <f t="shared" si="8"/>
        <v>4.9296296296296292E-6</v>
      </c>
      <c r="G16" s="161">
        <f t="shared" si="1"/>
        <v>3.1132977333333329</v>
      </c>
      <c r="H16" s="141" t="s">
        <v>159</v>
      </c>
      <c r="I16" s="169"/>
      <c r="N16" s="170"/>
      <c r="O16" s="170"/>
    </row>
    <row r="17" spans="1:15">
      <c r="A17" s="158"/>
      <c r="B17" s="140" t="s">
        <v>149</v>
      </c>
      <c r="C17" s="139" t="s">
        <v>62</v>
      </c>
      <c r="D17" s="160">
        <f>D57*$G$57*10^-6</f>
        <v>2.1815639999999998</v>
      </c>
      <c r="E17" s="160">
        <f t="shared" ref="E17:F17" si="9">E57*$G$57*10^-6</f>
        <v>9.4439999999999997E-5</v>
      </c>
      <c r="F17" s="160">
        <f t="shared" si="9"/>
        <v>1.8887999999999996E-5</v>
      </c>
      <c r="G17" s="161">
        <f t="shared" si="1"/>
        <v>2.1895536239999998</v>
      </c>
      <c r="H17" s="141" t="s">
        <v>59</v>
      </c>
      <c r="I17" s="169"/>
      <c r="N17" s="170"/>
      <c r="O17" s="170"/>
    </row>
    <row r="18" spans="1:15">
      <c r="A18" s="158"/>
      <c r="B18" s="140"/>
      <c r="C18" s="139"/>
      <c r="D18" s="160"/>
      <c r="E18" s="160"/>
      <c r="F18" s="160"/>
      <c r="G18" s="161"/>
      <c r="H18" s="141"/>
      <c r="I18" s="169"/>
      <c r="N18" s="170"/>
      <c r="O18" s="170"/>
    </row>
    <row r="19" spans="1:15">
      <c r="A19" s="158" t="s">
        <v>68</v>
      </c>
      <c r="B19" s="140"/>
      <c r="C19" s="139"/>
      <c r="D19" s="160"/>
      <c r="E19" s="160"/>
      <c r="F19" s="160"/>
      <c r="G19" s="161"/>
      <c r="H19" s="141"/>
      <c r="I19" s="169"/>
      <c r="N19" s="170"/>
      <c r="O19" s="170"/>
    </row>
    <row r="20" spans="1:15">
      <c r="A20" s="158"/>
      <c r="B20" s="140" t="s">
        <v>69</v>
      </c>
      <c r="C20" s="142" t="s">
        <v>62</v>
      </c>
      <c r="D20" s="160">
        <f>D63*$G$63*10^-6</f>
        <v>2.1815639999999998</v>
      </c>
      <c r="E20" s="160">
        <f>E63*$G$63*10^-6</f>
        <v>1.0388399999999999E-3</v>
      </c>
      <c r="F20" s="160">
        <f>F63*$G$63*10^-6</f>
        <v>1.0073600000000001E-4</v>
      </c>
      <c r="G20" s="161">
        <f t="shared" ref="G20:G26" si="10">D20+(E20*$K$5)+(F20*$K$6)</f>
        <v>2.2375543279999999</v>
      </c>
      <c r="H20" s="141" t="s">
        <v>70</v>
      </c>
      <c r="I20" s="169"/>
      <c r="N20" s="170"/>
      <c r="O20" s="170"/>
    </row>
    <row r="21" spans="1:15">
      <c r="A21" s="158"/>
      <c r="B21" s="140" t="s">
        <v>150</v>
      </c>
      <c r="C21" s="142" t="s">
        <v>62</v>
      </c>
      <c r="D21" s="160">
        <f>D64*$G$64*10^-6</f>
        <v>2.1815639999999998</v>
      </c>
      <c r="E21" s="160">
        <f t="shared" ref="E21:F21" si="11">E64*$G$64*10^-6</f>
        <v>7.8699999999999994E-4</v>
      </c>
      <c r="F21" s="160">
        <f t="shared" si="11"/>
        <v>2.5183999999999997E-4</v>
      </c>
      <c r="G21" s="161">
        <f t="shared" si="10"/>
        <v>2.2762873199999998</v>
      </c>
      <c r="H21" s="141" t="s">
        <v>70</v>
      </c>
      <c r="I21" s="169"/>
      <c r="N21" s="170"/>
      <c r="O21" s="170"/>
    </row>
    <row r="22" spans="1:15">
      <c r="A22" s="158"/>
      <c r="B22" s="140" t="s">
        <v>72</v>
      </c>
      <c r="C22" s="142" t="s">
        <v>62</v>
      </c>
      <c r="D22" s="160">
        <f>D65*$G$65*10^-6</f>
        <v>2.1815639999999998</v>
      </c>
      <c r="E22" s="160">
        <f t="shared" ref="E22:F22" si="12">E65*$G$65*10^-6</f>
        <v>1.1962399999999999E-4</v>
      </c>
      <c r="F22" s="160">
        <f t="shared" si="12"/>
        <v>1.7943599999999999E-4</v>
      </c>
      <c r="G22" s="161">
        <f t="shared" si="10"/>
        <v>2.2380265279999998</v>
      </c>
      <c r="H22" s="141" t="s">
        <v>70</v>
      </c>
      <c r="I22" s="169"/>
      <c r="N22" s="170"/>
      <c r="O22" s="170"/>
    </row>
    <row r="23" spans="1:15">
      <c r="A23" s="158"/>
      <c r="B23" s="140" t="s">
        <v>73</v>
      </c>
      <c r="C23" s="142" t="s">
        <v>62</v>
      </c>
      <c r="D23" s="160">
        <f>D66*$G$66*10^-6</f>
        <v>2.6987220000000001</v>
      </c>
      <c r="E23" s="160">
        <f t="shared" ref="E23:F23" si="13">E66*$G$66*10^-6</f>
        <v>1.4203800000000001E-4</v>
      </c>
      <c r="F23" s="160">
        <f t="shared" si="13"/>
        <v>1.4203800000000001E-4</v>
      </c>
      <c r="G23" s="161">
        <f t="shared" si="10"/>
        <v>2.7446002740000002</v>
      </c>
      <c r="H23" s="141" t="s">
        <v>70</v>
      </c>
      <c r="I23" s="169"/>
      <c r="N23" s="170"/>
      <c r="O23" s="170"/>
    </row>
    <row r="24" spans="1:15">
      <c r="A24" s="158"/>
      <c r="B24" s="140" t="s">
        <v>74</v>
      </c>
      <c r="C24" s="142" t="s">
        <v>61</v>
      </c>
      <c r="D24" s="160">
        <f>D67*$G$67*10^-6</f>
        <v>2.1261899999999998</v>
      </c>
      <c r="E24" s="160">
        <f t="shared" ref="E24:F24" si="14">E67*$G$67*10^-6</f>
        <v>3.4867999999999995E-3</v>
      </c>
      <c r="F24" s="160">
        <f t="shared" si="14"/>
        <v>1.1369999999999999E-4</v>
      </c>
      <c r="G24" s="161">
        <f>D24+(E24*$K$5)+(F24*$K$6)</f>
        <v>2.2472425999999999</v>
      </c>
      <c r="H24" s="141" t="s">
        <v>75</v>
      </c>
      <c r="I24" s="169"/>
      <c r="N24" s="170"/>
      <c r="O24" s="170"/>
    </row>
    <row r="25" spans="1:15">
      <c r="A25" s="158"/>
      <c r="B25" s="140" t="s">
        <v>76</v>
      </c>
      <c r="C25" s="142" t="s">
        <v>62</v>
      </c>
      <c r="D25" s="160">
        <f>D68*$G$68*10^-6</f>
        <v>1.6797219999999999</v>
      </c>
      <c r="E25" s="160">
        <f t="shared" ref="E25:F25" si="15">E68*$G$68*10^-6</f>
        <v>1.65044E-3</v>
      </c>
      <c r="F25" s="160">
        <f t="shared" si="15"/>
        <v>5.3240000000000002E-6</v>
      </c>
      <c r="G25" s="161">
        <f t="shared" si="10"/>
        <v>1.7225695519999999</v>
      </c>
      <c r="H25" s="141" t="s">
        <v>70</v>
      </c>
      <c r="I25" s="169"/>
      <c r="N25" s="170"/>
      <c r="O25" s="170"/>
    </row>
    <row r="26" spans="1:15">
      <c r="A26" s="158"/>
      <c r="B26" s="140" t="s">
        <v>76</v>
      </c>
      <c r="C26" s="139" t="s">
        <v>61</v>
      </c>
      <c r="D26" s="160">
        <f>D25/0.54</f>
        <v>3.1105962962962961</v>
      </c>
      <c r="E26" s="160">
        <f t="shared" ref="E26:F26" si="16">E25/0.54</f>
        <v>3.0563703703703703E-3</v>
      </c>
      <c r="F26" s="160">
        <f t="shared" si="16"/>
        <v>9.8592592592592585E-6</v>
      </c>
      <c r="G26" s="161">
        <f t="shared" si="10"/>
        <v>3.1899436148148146</v>
      </c>
      <c r="H26" s="141" t="s">
        <v>160</v>
      </c>
      <c r="I26" s="169"/>
      <c r="N26" s="170"/>
      <c r="O26" s="170"/>
    </row>
    <row r="27" spans="1:15">
      <c r="A27" s="158" t="s">
        <v>77</v>
      </c>
      <c r="B27" s="140"/>
      <c r="C27" s="139"/>
      <c r="D27" s="160"/>
      <c r="E27" s="160"/>
      <c r="F27" s="160"/>
      <c r="G27" s="161"/>
      <c r="H27" s="141"/>
      <c r="I27" s="169"/>
      <c r="N27" s="170"/>
      <c r="O27" s="170"/>
    </row>
    <row r="28" spans="1:15">
      <c r="A28" s="158"/>
      <c r="B28" s="143" t="s">
        <v>78</v>
      </c>
      <c r="C28" s="142"/>
      <c r="D28" s="160"/>
      <c r="E28" s="160"/>
      <c r="F28" s="160"/>
      <c r="G28" s="161"/>
      <c r="H28" s="141"/>
      <c r="I28" s="169"/>
      <c r="N28" s="170"/>
      <c r="O28" s="170"/>
    </row>
    <row r="29" spans="1:15">
      <c r="A29" s="158"/>
      <c r="B29" s="144" t="s">
        <v>79</v>
      </c>
      <c r="C29" s="142" t="s">
        <v>62</v>
      </c>
      <c r="D29" s="160">
        <f>D75*$G$75/(10^6)</f>
        <v>2.6987220000000001</v>
      </c>
      <c r="E29" s="160">
        <f t="shared" ref="E29:F29" si="17">E75*$G$75/(10^6)</f>
        <v>1.5114300000000004E-4</v>
      </c>
      <c r="F29" s="160">
        <f t="shared" si="17"/>
        <v>1.0416120000000001E-3</v>
      </c>
      <c r="G29" s="161">
        <f t="shared" ref="G29:G32" si="18">D29+(E29*$K$5)+(F29*$K$6)</f>
        <v>3.0129009510000002</v>
      </c>
      <c r="H29" s="141" t="s">
        <v>80</v>
      </c>
      <c r="I29" s="169"/>
      <c r="N29" s="170"/>
      <c r="O29" s="170"/>
    </row>
    <row r="30" spans="1:15">
      <c r="A30" s="158"/>
      <c r="B30" s="144" t="s">
        <v>81</v>
      </c>
      <c r="C30" s="142" t="s">
        <v>62</v>
      </c>
      <c r="D30" s="160">
        <f>D76*$G$76/(10^6)</f>
        <v>2.6987220000000001</v>
      </c>
      <c r="E30" s="160">
        <f t="shared" ref="E30:F30" si="19">E76*$G$76/(10^6)</f>
        <v>1.5114300000000004E-4</v>
      </c>
      <c r="F30" s="160">
        <f t="shared" si="19"/>
        <v>1.0416120000000001E-3</v>
      </c>
      <c r="G30" s="161">
        <f t="shared" si="18"/>
        <v>3.0129009510000002</v>
      </c>
      <c r="H30" s="141" t="s">
        <v>80</v>
      </c>
      <c r="I30" s="169"/>
      <c r="N30" s="170"/>
      <c r="O30" s="170"/>
    </row>
    <row r="31" spans="1:15">
      <c r="A31" s="158"/>
      <c r="B31" s="144" t="s">
        <v>82</v>
      </c>
      <c r="C31" s="142" t="s">
        <v>62</v>
      </c>
      <c r="D31" s="160">
        <f>D77*$G$77/(10^6)</f>
        <v>2.6987220000000001</v>
      </c>
      <c r="E31" s="160">
        <f t="shared" ref="E31:F31" si="20">E77*$G$77/(10^6)</f>
        <v>1.5114300000000004E-4</v>
      </c>
      <c r="F31" s="160">
        <f t="shared" si="20"/>
        <v>1.0416120000000001E-3</v>
      </c>
      <c r="G31" s="161">
        <f t="shared" si="18"/>
        <v>3.0129009510000002</v>
      </c>
      <c r="H31" s="141" t="s">
        <v>80</v>
      </c>
      <c r="I31" s="169"/>
      <c r="N31" s="170"/>
      <c r="O31" s="170"/>
    </row>
    <row r="32" spans="1:15">
      <c r="A32" s="158"/>
      <c r="B32" s="144" t="s">
        <v>83</v>
      </c>
      <c r="C32" s="142" t="s">
        <v>62</v>
      </c>
      <c r="D32" s="160">
        <f>D78*$G$78/(10^6)</f>
        <v>2.6987220000000001</v>
      </c>
      <c r="E32" s="160">
        <f t="shared" ref="E32:F32" si="21">E78*$G$78/(10^6)</f>
        <v>1.5114300000000004E-4</v>
      </c>
      <c r="F32" s="160">
        <f t="shared" si="21"/>
        <v>1.0416120000000001E-3</v>
      </c>
      <c r="G32" s="161">
        <f t="shared" si="18"/>
        <v>3.0129009510000002</v>
      </c>
      <c r="H32" s="141" t="s">
        <v>80</v>
      </c>
      <c r="I32" s="169"/>
      <c r="N32" s="170"/>
      <c r="O32" s="170"/>
    </row>
    <row r="33" spans="1:15">
      <c r="A33" s="158"/>
      <c r="B33" s="143" t="s">
        <v>84</v>
      </c>
      <c r="C33" s="142"/>
      <c r="D33" s="160"/>
      <c r="E33" s="160"/>
      <c r="F33" s="160"/>
      <c r="G33" s="161"/>
      <c r="H33" s="141"/>
      <c r="I33" s="169"/>
      <c r="N33" s="170"/>
      <c r="O33" s="170"/>
    </row>
    <row r="34" spans="1:15">
      <c r="A34" s="158"/>
      <c r="B34" s="144" t="s">
        <v>79</v>
      </c>
      <c r="C34" s="142" t="s">
        <v>62</v>
      </c>
      <c r="D34" s="160">
        <f>D80*$G$80/(10^6)</f>
        <v>2.1815639999999998</v>
      </c>
      <c r="E34" s="160">
        <f>E80*$G$80/(10^6)</f>
        <v>2.5184000000000001E-3</v>
      </c>
      <c r="F34" s="160">
        <f>F80*$G$80/(10^6)</f>
        <v>6.2960000000000007E-5</v>
      </c>
      <c r="G34" s="161">
        <f t="shared" ref="G34:G37" si="22">D34+(E34*$K$5)+(F34*$K$6)</f>
        <v>2.2632860799999999</v>
      </c>
      <c r="H34" s="141" t="s">
        <v>80</v>
      </c>
      <c r="I34" s="169"/>
      <c r="N34" s="170"/>
      <c r="O34" s="170"/>
    </row>
    <row r="35" spans="1:15">
      <c r="A35" s="138"/>
      <c r="B35" s="144" t="s">
        <v>81</v>
      </c>
      <c r="C35" s="142" t="s">
        <v>62</v>
      </c>
      <c r="D35" s="160">
        <f>D81*$G$81/(10^6)</f>
        <v>2.1815639999999998</v>
      </c>
      <c r="E35" s="160">
        <f t="shared" ref="E35:F35" si="23">E81*$G$81/(10^6)</f>
        <v>0</v>
      </c>
      <c r="F35" s="160">
        <f t="shared" si="23"/>
        <v>0</v>
      </c>
      <c r="G35" s="161">
        <f t="shared" si="22"/>
        <v>2.1815639999999998</v>
      </c>
      <c r="H35" s="141" t="s">
        <v>80</v>
      </c>
      <c r="I35" s="169"/>
      <c r="N35" s="170"/>
      <c r="O35" s="170"/>
    </row>
    <row r="36" spans="1:15">
      <c r="A36" s="138"/>
      <c r="B36" s="144" t="s">
        <v>82</v>
      </c>
      <c r="C36" s="142" t="s">
        <v>62</v>
      </c>
      <c r="D36" s="160">
        <f>D82*$G$82/(10^6)</f>
        <v>2.1815639999999998</v>
      </c>
      <c r="E36" s="160">
        <f t="shared" ref="E36:F36" si="24">E82*$G$82/(10^6)</f>
        <v>1.5740000000000001E-3</v>
      </c>
      <c r="F36" s="160">
        <f t="shared" si="24"/>
        <v>6.2960000000000007E-5</v>
      </c>
      <c r="G36" s="161">
        <f t="shared" si="22"/>
        <v>2.2396760800000002</v>
      </c>
      <c r="H36" s="141" t="s">
        <v>80</v>
      </c>
      <c r="I36" s="169"/>
      <c r="N36" s="170"/>
      <c r="O36" s="170"/>
    </row>
    <row r="37" spans="1:15">
      <c r="A37" s="138"/>
      <c r="B37" s="144" t="s">
        <v>83</v>
      </c>
      <c r="C37" s="142" t="s">
        <v>62</v>
      </c>
      <c r="D37" s="160">
        <f>D83*$G$83/(10^6)</f>
        <v>2.1815639999999998</v>
      </c>
      <c r="E37" s="160">
        <f t="shared" ref="E37:F37" si="25">E83*$G$83/(10^6)</f>
        <v>3.7775999999999999E-3</v>
      </c>
      <c r="F37" s="160">
        <f t="shared" si="25"/>
        <v>6.2960000000000007E-5</v>
      </c>
      <c r="G37" s="161">
        <f t="shared" si="22"/>
        <v>2.29476608</v>
      </c>
      <c r="H37" s="141" t="s">
        <v>80</v>
      </c>
      <c r="I37" s="169"/>
      <c r="N37" s="170"/>
      <c r="O37" s="170"/>
    </row>
    <row r="38" spans="1:15">
      <c r="A38" s="158"/>
      <c r="B38" s="143" t="s">
        <v>85</v>
      </c>
      <c r="C38" s="142"/>
      <c r="D38" s="160"/>
      <c r="E38" s="160"/>
      <c r="F38" s="160"/>
      <c r="G38" s="161"/>
      <c r="H38" s="141"/>
      <c r="I38" s="169"/>
      <c r="N38" s="170"/>
      <c r="O38" s="170"/>
    </row>
    <row r="39" spans="1:15">
      <c r="A39" s="158"/>
      <c r="B39" s="144" t="s">
        <v>79</v>
      </c>
      <c r="C39" s="142" t="s">
        <v>62</v>
      </c>
      <c r="D39" s="160">
        <f>D85*$G$85/(10^6)</f>
        <v>2.1815639999999998</v>
      </c>
      <c r="E39" s="160">
        <f t="shared" ref="E39:F39" si="26">E85*$G$85/(10^6)</f>
        <v>4.4072E-3</v>
      </c>
      <c r="F39" s="160">
        <f t="shared" si="26"/>
        <v>1.2592000000000001E-5</v>
      </c>
      <c r="G39" s="161">
        <f t="shared" ref="G39:G41" si="27">D39+(E39*$K$5)+(F39*$K$6)</f>
        <v>2.2954964160000002</v>
      </c>
      <c r="H39" s="141" t="s">
        <v>80</v>
      </c>
      <c r="I39" s="169"/>
      <c r="N39" s="170"/>
      <c r="O39" s="170"/>
    </row>
    <row r="40" spans="1:15">
      <c r="A40" s="138"/>
      <c r="B40" s="144" t="s">
        <v>81</v>
      </c>
      <c r="C40" s="142" t="s">
        <v>62</v>
      </c>
      <c r="D40" s="160">
        <f>D86*$G$86/(10^6)</f>
        <v>2.1815639999999998</v>
      </c>
      <c r="E40" s="160">
        <f t="shared" ref="E40:F40" si="28">E86*$G$86/(10^6)</f>
        <v>5.3516000000000006E-3</v>
      </c>
      <c r="F40" s="160">
        <f t="shared" si="28"/>
        <v>1.2592000000000001E-5</v>
      </c>
      <c r="G40" s="161">
        <f t="shared" si="27"/>
        <v>2.3191064159999999</v>
      </c>
      <c r="H40" s="141" t="s">
        <v>80</v>
      </c>
      <c r="I40" s="169"/>
      <c r="N40" s="170"/>
      <c r="O40" s="170"/>
    </row>
    <row r="41" spans="1:15">
      <c r="A41" s="138"/>
      <c r="B41" s="144" t="s">
        <v>82</v>
      </c>
      <c r="C41" s="142" t="s">
        <v>62</v>
      </c>
      <c r="D41" s="160">
        <f>D87*$G$87/(10^6)</f>
        <v>2.1815639999999998</v>
      </c>
      <c r="E41" s="160">
        <f t="shared" ref="E41:F41" si="29">E87*$G$87/(10^6)</f>
        <v>4.0924000000000004E-3</v>
      </c>
      <c r="F41" s="160">
        <f t="shared" si="29"/>
        <v>1.2592000000000001E-5</v>
      </c>
      <c r="G41" s="161">
        <f t="shared" si="27"/>
        <v>2.2876264160000002</v>
      </c>
      <c r="H41" s="141" t="s">
        <v>80</v>
      </c>
      <c r="I41" s="169"/>
      <c r="N41" s="170"/>
      <c r="O41" s="170"/>
    </row>
    <row r="42" spans="1:15">
      <c r="A42" s="138"/>
      <c r="B42" s="144" t="s">
        <v>83</v>
      </c>
      <c r="C42" s="142" t="s">
        <v>62</v>
      </c>
      <c r="D42" s="160">
        <f>D88*$G$88/(10^6)</f>
        <v>2.1815639999999998</v>
      </c>
      <c r="E42" s="160">
        <f t="shared" ref="E42" si="30">E88*$G$88/(10^6)</f>
        <v>5.6663999999999994E-3</v>
      </c>
      <c r="F42" s="160">
        <f>F88*$G$88/(10^6)</f>
        <v>1.2592000000000001E-5</v>
      </c>
      <c r="G42" s="161">
        <f>D42+(E42*$K$5)+(F42*$K$6)</f>
        <v>2.3269764159999999</v>
      </c>
      <c r="H42" s="141" t="s">
        <v>80</v>
      </c>
      <c r="I42" s="169"/>
      <c r="N42" s="170"/>
      <c r="O42" s="170"/>
    </row>
    <row r="43" spans="1:15">
      <c r="B43" s="162"/>
      <c r="C43" s="162"/>
      <c r="D43" s="163"/>
      <c r="E43" s="163"/>
      <c r="F43" s="163"/>
      <c r="G43" s="147"/>
    </row>
    <row r="44" spans="1:15" s="146" customFormat="1">
      <c r="A44" s="145" t="s">
        <v>56</v>
      </c>
      <c r="B44" s="164"/>
      <c r="C44" s="164"/>
      <c r="D44" s="165"/>
      <c r="E44" s="166"/>
      <c r="F44" s="165"/>
      <c r="G44" s="167"/>
    </row>
    <row r="45" spans="1:15">
      <c r="D45" s="147"/>
      <c r="E45" s="148" t="s">
        <v>86</v>
      </c>
      <c r="F45" s="148"/>
      <c r="G45" s="148" t="s">
        <v>87</v>
      </c>
    </row>
    <row r="46" spans="1:15" ht="14.25" customHeight="1">
      <c r="B46" s="140"/>
      <c r="C46" s="139"/>
      <c r="D46" s="788" t="s">
        <v>88</v>
      </c>
      <c r="E46" s="788"/>
      <c r="F46" s="788"/>
      <c r="G46" s="149" t="s">
        <v>89</v>
      </c>
    </row>
    <row r="47" spans="1:15">
      <c r="B47" s="140"/>
      <c r="C47" s="139" t="s">
        <v>90</v>
      </c>
      <c r="D47" s="156" t="s">
        <v>16</v>
      </c>
      <c r="E47" s="139" t="s">
        <v>26</v>
      </c>
      <c r="F47" s="139" t="s">
        <v>27</v>
      </c>
      <c r="G47" s="149" t="s">
        <v>91</v>
      </c>
    </row>
    <row r="48" spans="1:15">
      <c r="B48" s="140" t="s">
        <v>57</v>
      </c>
      <c r="C48" s="139" t="s">
        <v>58</v>
      </c>
      <c r="D48" s="150">
        <v>56100</v>
      </c>
      <c r="E48" s="139">
        <v>1</v>
      </c>
      <c r="F48" s="139">
        <v>0.1</v>
      </c>
      <c r="G48" s="151">
        <v>1.02</v>
      </c>
      <c r="H48" s="137" t="s">
        <v>92</v>
      </c>
    </row>
    <row r="49" spans="1:8">
      <c r="B49" s="140" t="s">
        <v>60</v>
      </c>
      <c r="C49" s="139" t="s">
        <v>61</v>
      </c>
      <c r="D49" s="150">
        <v>101000</v>
      </c>
      <c r="E49" s="139">
        <v>1</v>
      </c>
      <c r="F49" s="139">
        <v>1.5</v>
      </c>
      <c r="G49" s="151">
        <v>10.47</v>
      </c>
    </row>
    <row r="50" spans="1:8">
      <c r="B50" s="140" t="s">
        <v>154</v>
      </c>
      <c r="C50" s="139" t="s">
        <v>62</v>
      </c>
      <c r="D50" s="150">
        <v>77400</v>
      </c>
      <c r="E50" s="139">
        <v>3</v>
      </c>
      <c r="F50" s="139">
        <v>0.6</v>
      </c>
      <c r="G50" s="172">
        <v>41.468972149500026</v>
      </c>
      <c r="H50" s="137" t="s">
        <v>94</v>
      </c>
    </row>
    <row r="51" spans="1:8">
      <c r="B51" s="140" t="s">
        <v>157</v>
      </c>
      <c r="C51" s="139" t="s">
        <v>62</v>
      </c>
      <c r="D51" s="150">
        <v>77400</v>
      </c>
      <c r="E51" s="139">
        <v>3</v>
      </c>
      <c r="F51" s="139">
        <v>0.6</v>
      </c>
      <c r="G51" s="172">
        <v>41.800259702100021</v>
      </c>
      <c r="H51" s="137" t="s">
        <v>94</v>
      </c>
    </row>
    <row r="52" spans="1:8">
      <c r="B52" s="140" t="s">
        <v>63</v>
      </c>
      <c r="C52" s="139" t="s">
        <v>62</v>
      </c>
      <c r="D52" s="150">
        <v>74100</v>
      </c>
      <c r="E52" s="139">
        <v>3</v>
      </c>
      <c r="F52" s="139">
        <v>0.6</v>
      </c>
      <c r="G52" s="151">
        <v>36.42</v>
      </c>
    </row>
    <row r="53" spans="1:8">
      <c r="B53" s="140" t="s">
        <v>64</v>
      </c>
      <c r="C53" s="139" t="s">
        <v>61</v>
      </c>
      <c r="D53" s="150">
        <v>98300</v>
      </c>
      <c r="E53" s="139">
        <v>1</v>
      </c>
      <c r="F53" s="139">
        <v>1.5</v>
      </c>
      <c r="G53" s="151">
        <v>31.4</v>
      </c>
    </row>
    <row r="54" spans="1:8">
      <c r="B54" s="140" t="s">
        <v>65</v>
      </c>
      <c r="C54" s="139" t="s">
        <v>61</v>
      </c>
      <c r="D54" s="150">
        <v>96100</v>
      </c>
      <c r="E54" s="139">
        <v>1</v>
      </c>
      <c r="F54" s="139">
        <v>1.5</v>
      </c>
      <c r="G54" s="151">
        <v>26.37</v>
      </c>
    </row>
    <row r="55" spans="1:8">
      <c r="B55" s="140" t="s">
        <v>66</v>
      </c>
      <c r="C55" s="139" t="s">
        <v>62</v>
      </c>
      <c r="D55" s="150">
        <v>71500</v>
      </c>
      <c r="E55" s="139">
        <v>3</v>
      </c>
      <c r="F55" s="139">
        <v>0.6</v>
      </c>
      <c r="G55" s="151">
        <v>34.53</v>
      </c>
    </row>
    <row r="56" spans="1:8">
      <c r="B56" s="140" t="s">
        <v>67</v>
      </c>
      <c r="C56" s="139" t="s">
        <v>62</v>
      </c>
      <c r="D56" s="150">
        <v>63100</v>
      </c>
      <c r="E56" s="139">
        <v>1</v>
      </c>
      <c r="F56" s="139">
        <v>0.1</v>
      </c>
      <c r="G56" s="151">
        <v>26.62</v>
      </c>
    </row>
    <row r="57" spans="1:8">
      <c r="B57" s="140" t="s">
        <v>149</v>
      </c>
      <c r="C57" s="139" t="s">
        <v>62</v>
      </c>
      <c r="D57" s="150">
        <v>69300</v>
      </c>
      <c r="E57" s="139">
        <v>3</v>
      </c>
      <c r="F57" s="139">
        <v>0.6</v>
      </c>
      <c r="G57" s="151">
        <f>G63</f>
        <v>31.48</v>
      </c>
    </row>
    <row r="58" spans="1:8">
      <c r="D58" s="147"/>
      <c r="E58" s="147"/>
      <c r="F58" s="147"/>
      <c r="G58" s="152"/>
    </row>
    <row r="59" spans="1:8" s="146" customFormat="1">
      <c r="A59" s="145" t="s">
        <v>68</v>
      </c>
      <c r="B59" s="164"/>
      <c r="C59" s="164"/>
      <c r="D59" s="165"/>
      <c r="E59" s="166"/>
      <c r="F59" s="165"/>
      <c r="G59" s="167"/>
    </row>
    <row r="60" spans="1:8">
      <c r="D60" s="789" t="s">
        <v>86</v>
      </c>
      <c r="E60" s="789"/>
      <c r="F60" s="789"/>
      <c r="G60" s="148" t="s">
        <v>87</v>
      </c>
    </row>
    <row r="61" spans="1:8">
      <c r="B61" s="140"/>
      <c r="C61" s="138"/>
      <c r="D61" s="790" t="s">
        <v>88</v>
      </c>
      <c r="E61" s="791"/>
      <c r="F61" s="792"/>
      <c r="G61" s="149" t="s">
        <v>89</v>
      </c>
    </row>
    <row r="62" spans="1:8">
      <c r="B62" s="140"/>
      <c r="C62" s="142" t="s">
        <v>90</v>
      </c>
      <c r="D62" s="139" t="s">
        <v>16</v>
      </c>
      <c r="E62" s="156" t="s">
        <v>26</v>
      </c>
      <c r="F62" s="139" t="s">
        <v>27</v>
      </c>
      <c r="G62" s="149" t="s">
        <v>91</v>
      </c>
    </row>
    <row r="63" spans="1:8">
      <c r="B63" s="140" t="s">
        <v>69</v>
      </c>
      <c r="C63" s="142" t="s">
        <v>62</v>
      </c>
      <c r="D63" s="139">
        <v>69300</v>
      </c>
      <c r="E63" s="150">
        <v>33</v>
      </c>
      <c r="F63" s="139">
        <v>3.2</v>
      </c>
      <c r="G63" s="151">
        <v>31.48</v>
      </c>
      <c r="H63" s="137" t="s">
        <v>93</v>
      </c>
    </row>
    <row r="64" spans="1:8">
      <c r="B64" s="140" t="s">
        <v>71</v>
      </c>
      <c r="C64" s="142" t="s">
        <v>62</v>
      </c>
      <c r="D64" s="139">
        <v>69300</v>
      </c>
      <c r="E64" s="150">
        <v>25</v>
      </c>
      <c r="F64" s="139">
        <v>8</v>
      </c>
      <c r="G64" s="151">
        <v>31.48</v>
      </c>
    </row>
    <row r="65" spans="1:8">
      <c r="B65" s="140" t="s">
        <v>72</v>
      </c>
      <c r="C65" s="142" t="s">
        <v>62</v>
      </c>
      <c r="D65" s="139">
        <v>69300</v>
      </c>
      <c r="E65" s="150">
        <v>3.8</v>
      </c>
      <c r="F65" s="139">
        <v>5.7</v>
      </c>
      <c r="G65" s="151">
        <v>31.48</v>
      </c>
    </row>
    <row r="66" spans="1:8">
      <c r="B66" s="140" t="s">
        <v>73</v>
      </c>
      <c r="C66" s="142" t="s">
        <v>62</v>
      </c>
      <c r="D66" s="139">
        <v>74100</v>
      </c>
      <c r="E66" s="150">
        <v>3.9</v>
      </c>
      <c r="F66" s="139">
        <v>3.9</v>
      </c>
      <c r="G66" s="151">
        <f>G52</f>
        <v>36.42</v>
      </c>
    </row>
    <row r="67" spans="1:8">
      <c r="B67" s="140" t="s">
        <v>74</v>
      </c>
      <c r="C67" s="142" t="s">
        <v>61</v>
      </c>
      <c r="D67" s="139">
        <v>56100</v>
      </c>
      <c r="E67" s="150">
        <v>92</v>
      </c>
      <c r="F67" s="139">
        <v>3</v>
      </c>
      <c r="G67" s="151">
        <v>37.9</v>
      </c>
      <c r="H67" s="137" t="s">
        <v>94</v>
      </c>
    </row>
    <row r="68" spans="1:8">
      <c r="B68" s="140" t="s">
        <v>76</v>
      </c>
      <c r="C68" s="142" t="s">
        <v>62</v>
      </c>
      <c r="D68" s="139">
        <v>63100</v>
      </c>
      <c r="E68" s="150">
        <v>62</v>
      </c>
      <c r="F68" s="139">
        <v>0.2</v>
      </c>
      <c r="G68" s="151">
        <f>G56</f>
        <v>26.62</v>
      </c>
    </row>
    <row r="69" spans="1:8">
      <c r="D69" s="147"/>
      <c r="E69" s="147"/>
      <c r="F69" s="147"/>
      <c r="G69" s="147"/>
    </row>
    <row r="70" spans="1:8" s="146" customFormat="1">
      <c r="A70" s="145" t="s">
        <v>95</v>
      </c>
      <c r="B70" s="164"/>
      <c r="C70" s="164"/>
      <c r="D70" s="165"/>
      <c r="E70" s="166"/>
      <c r="F70" s="165"/>
      <c r="G70" s="167"/>
    </row>
    <row r="71" spans="1:8">
      <c r="D71" s="789" t="s">
        <v>86</v>
      </c>
      <c r="E71" s="789"/>
      <c r="F71" s="789"/>
      <c r="G71" s="148" t="s">
        <v>87</v>
      </c>
    </row>
    <row r="72" spans="1:8">
      <c r="B72" s="140"/>
      <c r="C72" s="138"/>
      <c r="D72" s="790" t="s">
        <v>88</v>
      </c>
      <c r="E72" s="791"/>
      <c r="F72" s="792"/>
      <c r="G72" s="149" t="s">
        <v>89</v>
      </c>
    </row>
    <row r="73" spans="1:8">
      <c r="B73" s="140"/>
      <c r="C73" s="142" t="s">
        <v>90</v>
      </c>
      <c r="D73" s="139" t="s">
        <v>16</v>
      </c>
      <c r="E73" s="156" t="s">
        <v>26</v>
      </c>
      <c r="F73" s="139" t="s">
        <v>27</v>
      </c>
      <c r="G73" s="149" t="s">
        <v>91</v>
      </c>
    </row>
    <row r="74" spans="1:8">
      <c r="B74" s="143" t="s">
        <v>78</v>
      </c>
      <c r="C74" s="142"/>
      <c r="D74" s="139"/>
      <c r="E74" s="150"/>
      <c r="F74" s="139"/>
      <c r="G74" s="151"/>
    </row>
    <row r="75" spans="1:8">
      <c r="B75" s="144" t="s">
        <v>79</v>
      </c>
      <c r="C75" s="142" t="s">
        <v>62</v>
      </c>
      <c r="D75" s="139">
        <v>74100</v>
      </c>
      <c r="E75" s="150">
        <v>4.1500000000000004</v>
      </c>
      <c r="F75" s="139">
        <v>28.6</v>
      </c>
      <c r="G75" s="151">
        <v>36.42</v>
      </c>
    </row>
    <row r="76" spans="1:8">
      <c r="B76" s="144" t="s">
        <v>81</v>
      </c>
      <c r="C76" s="142" t="s">
        <v>62</v>
      </c>
      <c r="D76" s="139">
        <v>74100</v>
      </c>
      <c r="E76" s="150">
        <v>4.1500000000000004</v>
      </c>
      <c r="F76" s="139">
        <v>28.6</v>
      </c>
      <c r="G76" s="151">
        <v>36.42</v>
      </c>
    </row>
    <row r="77" spans="1:8">
      <c r="B77" s="144" t="s">
        <v>82</v>
      </c>
      <c r="C77" s="142" t="s">
        <v>62</v>
      </c>
      <c r="D77" s="139">
        <v>74100</v>
      </c>
      <c r="E77" s="150">
        <v>4.1500000000000004</v>
      </c>
      <c r="F77" s="139">
        <v>28.6</v>
      </c>
      <c r="G77" s="151">
        <v>36.42</v>
      </c>
    </row>
    <row r="78" spans="1:8">
      <c r="B78" s="144" t="s">
        <v>83</v>
      </c>
      <c r="C78" s="142" t="s">
        <v>62</v>
      </c>
      <c r="D78" s="139">
        <v>74100</v>
      </c>
      <c r="E78" s="150">
        <v>4.1500000000000004</v>
      </c>
      <c r="F78" s="139">
        <v>28.6</v>
      </c>
      <c r="G78" s="151">
        <v>36.42</v>
      </c>
    </row>
    <row r="79" spans="1:8">
      <c r="B79" s="143" t="s">
        <v>84</v>
      </c>
      <c r="C79" s="142"/>
      <c r="D79" s="139"/>
      <c r="E79" s="150"/>
      <c r="F79" s="139"/>
      <c r="G79" s="151"/>
    </row>
    <row r="80" spans="1:8">
      <c r="B80" s="144" t="s">
        <v>79</v>
      </c>
      <c r="C80" s="142" t="s">
        <v>62</v>
      </c>
      <c r="D80" s="151">
        <v>69300</v>
      </c>
      <c r="E80" s="151">
        <v>80</v>
      </c>
      <c r="F80" s="151">
        <v>2</v>
      </c>
      <c r="G80" s="151">
        <v>31.48</v>
      </c>
    </row>
    <row r="81" spans="2:7">
      <c r="B81" s="144" t="s">
        <v>81</v>
      </c>
      <c r="C81" s="142" t="s">
        <v>62</v>
      </c>
      <c r="D81" s="151">
        <v>69300</v>
      </c>
      <c r="E81" s="151"/>
      <c r="F81" s="151"/>
      <c r="G81" s="151">
        <v>31.48</v>
      </c>
    </row>
    <row r="82" spans="2:7">
      <c r="B82" s="144" t="s">
        <v>82</v>
      </c>
      <c r="C82" s="142" t="s">
        <v>62</v>
      </c>
      <c r="D82" s="151">
        <v>69300</v>
      </c>
      <c r="E82" s="151">
        <v>50</v>
      </c>
      <c r="F82" s="151">
        <v>2</v>
      </c>
      <c r="G82" s="151">
        <v>31.48</v>
      </c>
    </row>
    <row r="83" spans="2:7">
      <c r="B83" s="144" t="s">
        <v>83</v>
      </c>
      <c r="C83" s="142" t="s">
        <v>62</v>
      </c>
      <c r="D83" s="151">
        <v>69300</v>
      </c>
      <c r="E83" s="151">
        <v>120</v>
      </c>
      <c r="F83" s="151">
        <v>2</v>
      </c>
      <c r="G83" s="151">
        <v>31.48</v>
      </c>
    </row>
    <row r="84" spans="2:7">
      <c r="B84" s="143" t="s">
        <v>85</v>
      </c>
      <c r="C84" s="138"/>
      <c r="D84" s="153"/>
      <c r="E84" s="153"/>
      <c r="F84" s="153"/>
      <c r="G84" s="153"/>
    </row>
    <row r="85" spans="2:7">
      <c r="B85" s="144" t="s">
        <v>79</v>
      </c>
      <c r="C85" s="142" t="s">
        <v>62</v>
      </c>
      <c r="D85" s="151">
        <v>69300</v>
      </c>
      <c r="E85" s="151">
        <v>140</v>
      </c>
      <c r="F85" s="151">
        <v>0.4</v>
      </c>
      <c r="G85" s="151">
        <v>31.48</v>
      </c>
    </row>
    <row r="86" spans="2:7">
      <c r="B86" s="144" t="s">
        <v>81</v>
      </c>
      <c r="C86" s="142" t="s">
        <v>62</v>
      </c>
      <c r="D86" s="151">
        <v>69300</v>
      </c>
      <c r="E86" s="151">
        <v>170</v>
      </c>
      <c r="F86" s="151">
        <v>0.4</v>
      </c>
      <c r="G86" s="151">
        <v>31.48</v>
      </c>
    </row>
    <row r="87" spans="2:7">
      <c r="B87" s="144" t="s">
        <v>82</v>
      </c>
      <c r="C87" s="142" t="s">
        <v>62</v>
      </c>
      <c r="D87" s="151">
        <v>69300</v>
      </c>
      <c r="E87" s="151">
        <v>130</v>
      </c>
      <c r="F87" s="151">
        <v>0.4</v>
      </c>
      <c r="G87" s="151">
        <v>31.48</v>
      </c>
    </row>
    <row r="88" spans="2:7">
      <c r="B88" s="144" t="s">
        <v>83</v>
      </c>
      <c r="C88" s="142" t="s">
        <v>62</v>
      </c>
      <c r="D88" s="151">
        <v>69300</v>
      </c>
      <c r="E88" s="151">
        <v>180</v>
      </c>
      <c r="F88" s="151">
        <v>0.4</v>
      </c>
      <c r="G88" s="151">
        <v>31.48</v>
      </c>
    </row>
    <row r="89" spans="2:7">
      <c r="D89" s="147"/>
      <c r="E89" s="147"/>
      <c r="F89" s="147"/>
      <c r="G89" s="147"/>
    </row>
    <row r="90" spans="2:7">
      <c r="D90" s="147"/>
      <c r="E90" s="147"/>
      <c r="F90" s="147"/>
      <c r="G90" s="147"/>
    </row>
    <row r="91" spans="2:7">
      <c r="D91" s="147"/>
      <c r="E91" s="147"/>
      <c r="F91" s="147"/>
      <c r="G91" s="147"/>
    </row>
    <row r="92" spans="2:7">
      <c r="D92" s="147"/>
      <c r="E92" s="147"/>
      <c r="F92" s="147"/>
      <c r="G92" s="147"/>
    </row>
    <row r="93" spans="2:7">
      <c r="D93" s="147"/>
      <c r="E93" s="147"/>
      <c r="F93" s="147"/>
      <c r="G93" s="147"/>
    </row>
    <row r="94" spans="2:7">
      <c r="D94" s="147"/>
      <c r="E94" s="147"/>
      <c r="F94" s="147"/>
      <c r="G94" s="147"/>
    </row>
    <row r="95" spans="2:7">
      <c r="D95" s="147"/>
      <c r="E95" s="147"/>
      <c r="F95" s="147"/>
      <c r="G95" s="147"/>
    </row>
    <row r="96" spans="2:7">
      <c r="D96" s="147"/>
      <c r="E96" s="147"/>
      <c r="F96" s="147"/>
      <c r="G96" s="147"/>
    </row>
    <row r="97" spans="4:7">
      <c r="D97" s="147"/>
      <c r="E97" s="147"/>
      <c r="F97" s="147"/>
      <c r="G97" s="147"/>
    </row>
    <row r="98" spans="4:7">
      <c r="D98" s="147"/>
      <c r="E98" s="147"/>
      <c r="F98" s="147"/>
      <c r="G98" s="147"/>
    </row>
    <row r="99" spans="4:7">
      <c r="D99" s="147"/>
      <c r="E99" s="147"/>
      <c r="F99" s="147"/>
      <c r="G99" s="147"/>
    </row>
    <row r="100" spans="4:7">
      <c r="D100" s="147"/>
      <c r="E100" s="147"/>
      <c r="F100" s="147"/>
      <c r="G100" s="147"/>
    </row>
    <row r="101" spans="4:7">
      <c r="D101" s="147"/>
      <c r="E101" s="147"/>
      <c r="F101" s="147"/>
      <c r="G101" s="147"/>
    </row>
    <row r="102" spans="4:7">
      <c r="D102" s="147"/>
      <c r="E102" s="147"/>
      <c r="F102" s="147"/>
      <c r="G102" s="147"/>
    </row>
    <row r="103" spans="4:7">
      <c r="D103" s="147"/>
      <c r="E103" s="147"/>
      <c r="F103" s="147"/>
      <c r="G103" s="147"/>
    </row>
    <row r="104" spans="4:7">
      <c r="D104" s="147"/>
      <c r="E104" s="147"/>
      <c r="F104" s="147"/>
      <c r="G104" s="147"/>
    </row>
    <row r="105" spans="4:7">
      <c r="D105" s="147"/>
      <c r="E105" s="147"/>
      <c r="F105" s="147"/>
      <c r="G105" s="147"/>
    </row>
    <row r="106" spans="4:7">
      <c r="D106" s="147"/>
      <c r="E106" s="147"/>
      <c r="F106" s="147"/>
      <c r="G106" s="147"/>
    </row>
    <row r="107" spans="4:7">
      <c r="D107" s="147"/>
      <c r="E107" s="147"/>
      <c r="F107" s="147"/>
      <c r="G107" s="147"/>
    </row>
    <row r="108" spans="4:7">
      <c r="D108" s="147"/>
      <c r="E108" s="147"/>
      <c r="F108" s="147"/>
      <c r="G108" s="147"/>
    </row>
    <row r="109" spans="4:7">
      <c r="D109" s="147"/>
      <c r="E109" s="147"/>
      <c r="F109" s="147"/>
      <c r="G109" s="147"/>
    </row>
    <row r="110" spans="4:7">
      <c r="D110" s="147"/>
      <c r="E110" s="147"/>
      <c r="F110" s="147"/>
      <c r="G110" s="147"/>
    </row>
    <row r="111" spans="4:7">
      <c r="D111" s="147"/>
      <c r="E111" s="147"/>
      <c r="F111" s="147"/>
      <c r="G111" s="147"/>
    </row>
    <row r="112" spans="4:7">
      <c r="D112" s="147"/>
      <c r="E112" s="147"/>
      <c r="F112" s="147"/>
      <c r="G112" s="147"/>
    </row>
    <row r="113" spans="4:7">
      <c r="D113" s="147"/>
      <c r="E113" s="147"/>
      <c r="F113" s="147"/>
      <c r="G113" s="147"/>
    </row>
    <row r="114" spans="4:7">
      <c r="D114" s="147"/>
      <c r="E114" s="147"/>
      <c r="F114" s="147"/>
      <c r="G114" s="147"/>
    </row>
    <row r="115" spans="4:7">
      <c r="D115" s="147"/>
      <c r="E115" s="147"/>
      <c r="F115" s="147"/>
      <c r="G115" s="147"/>
    </row>
    <row r="116" spans="4:7">
      <c r="D116" s="147"/>
      <c r="E116" s="147"/>
      <c r="F116" s="147"/>
      <c r="G116" s="147"/>
    </row>
    <row r="117" spans="4:7">
      <c r="D117" s="147"/>
      <c r="E117" s="147"/>
      <c r="F117" s="147"/>
      <c r="G117" s="147"/>
    </row>
    <row r="118" spans="4:7">
      <c r="D118" s="147"/>
      <c r="E118" s="147"/>
      <c r="F118" s="147"/>
      <c r="G118" s="147"/>
    </row>
    <row r="119" spans="4:7">
      <c r="D119" s="147"/>
      <c r="E119" s="147"/>
      <c r="F119" s="147"/>
      <c r="G119" s="147"/>
    </row>
    <row r="120" spans="4:7">
      <c r="D120" s="147"/>
      <c r="E120" s="147"/>
      <c r="F120" s="147"/>
      <c r="G120" s="147"/>
    </row>
    <row r="121" spans="4:7">
      <c r="D121" s="147"/>
      <c r="E121" s="147"/>
      <c r="F121" s="147"/>
      <c r="G121" s="147"/>
    </row>
    <row r="122" spans="4:7">
      <c r="D122" s="147"/>
      <c r="E122" s="147"/>
      <c r="F122" s="147"/>
      <c r="G122" s="147"/>
    </row>
    <row r="123" spans="4:7">
      <c r="D123" s="147"/>
      <c r="E123" s="147"/>
      <c r="F123" s="147"/>
      <c r="G123" s="147"/>
    </row>
    <row r="124" spans="4:7">
      <c r="D124" s="147"/>
      <c r="E124" s="147"/>
      <c r="F124" s="147"/>
      <c r="G124" s="147"/>
    </row>
    <row r="125" spans="4:7">
      <c r="D125" s="147"/>
      <c r="E125" s="147"/>
      <c r="F125" s="147"/>
      <c r="G125" s="147"/>
    </row>
    <row r="126" spans="4:7">
      <c r="D126" s="147"/>
      <c r="E126" s="147"/>
      <c r="F126" s="147"/>
      <c r="G126" s="147"/>
    </row>
    <row r="127" spans="4:7">
      <c r="D127" s="147"/>
      <c r="E127" s="147"/>
      <c r="F127" s="147"/>
      <c r="G127" s="147"/>
    </row>
    <row r="128" spans="4:7">
      <c r="D128" s="147"/>
      <c r="E128" s="147"/>
      <c r="F128" s="147"/>
      <c r="G128" s="147"/>
    </row>
    <row r="129" spans="4:7">
      <c r="D129" s="147"/>
      <c r="E129" s="147"/>
      <c r="F129" s="147"/>
      <c r="G129" s="147"/>
    </row>
    <row r="130" spans="4:7">
      <c r="D130" s="147"/>
      <c r="E130" s="147"/>
      <c r="F130" s="147"/>
      <c r="G130" s="147"/>
    </row>
    <row r="131" spans="4:7">
      <c r="D131" s="147"/>
      <c r="E131" s="147"/>
      <c r="F131" s="147"/>
      <c r="G131" s="147"/>
    </row>
    <row r="132" spans="4:7">
      <c r="D132" s="147"/>
      <c r="E132" s="147"/>
      <c r="F132" s="147"/>
      <c r="G132" s="147"/>
    </row>
    <row r="133" spans="4:7">
      <c r="D133" s="147"/>
      <c r="E133" s="147"/>
      <c r="F133" s="147"/>
      <c r="G133" s="147"/>
    </row>
    <row r="134" spans="4:7">
      <c r="D134" s="147"/>
      <c r="E134" s="147"/>
      <c r="F134" s="147"/>
      <c r="G134" s="147"/>
    </row>
    <row r="135" spans="4:7">
      <c r="D135" s="147"/>
      <c r="E135" s="147"/>
      <c r="F135" s="147"/>
      <c r="G135" s="147"/>
    </row>
    <row r="136" spans="4:7">
      <c r="D136" s="147"/>
      <c r="E136" s="147"/>
      <c r="F136" s="147"/>
      <c r="G136" s="147"/>
    </row>
    <row r="137" spans="4:7">
      <c r="D137" s="147"/>
      <c r="E137" s="147"/>
      <c r="F137" s="147"/>
      <c r="G137" s="147"/>
    </row>
    <row r="138" spans="4:7">
      <c r="D138" s="147"/>
      <c r="E138" s="147"/>
      <c r="F138" s="147"/>
      <c r="G138" s="147"/>
    </row>
    <row r="139" spans="4:7">
      <c r="D139" s="147"/>
      <c r="E139" s="147"/>
      <c r="F139" s="147"/>
      <c r="G139" s="147"/>
    </row>
    <row r="140" spans="4:7">
      <c r="D140" s="147"/>
      <c r="E140" s="147"/>
      <c r="F140" s="147"/>
      <c r="G140" s="147"/>
    </row>
    <row r="141" spans="4:7">
      <c r="D141" s="147"/>
      <c r="E141" s="147"/>
      <c r="F141" s="147"/>
      <c r="G141" s="147"/>
    </row>
    <row r="142" spans="4:7">
      <c r="D142" s="147"/>
      <c r="E142" s="147"/>
      <c r="F142" s="147"/>
      <c r="G142" s="147"/>
    </row>
    <row r="143" spans="4:7">
      <c r="D143" s="147"/>
      <c r="E143" s="147"/>
      <c r="F143" s="147"/>
      <c r="G143" s="147"/>
    </row>
    <row r="144" spans="4:7">
      <c r="D144" s="147"/>
      <c r="E144" s="147"/>
      <c r="F144" s="147"/>
      <c r="G144" s="147"/>
    </row>
    <row r="145" spans="4:7">
      <c r="D145" s="147"/>
      <c r="E145" s="147"/>
      <c r="F145" s="147"/>
      <c r="G145" s="147"/>
    </row>
    <row r="146" spans="4:7">
      <c r="D146" s="147"/>
      <c r="E146" s="147"/>
      <c r="F146" s="147"/>
      <c r="G146" s="147"/>
    </row>
    <row r="147" spans="4:7">
      <c r="D147" s="147"/>
      <c r="E147" s="147"/>
      <c r="F147" s="147"/>
      <c r="G147" s="147"/>
    </row>
    <row r="148" spans="4:7">
      <c r="D148" s="147"/>
      <c r="E148" s="147"/>
      <c r="F148" s="147"/>
      <c r="G148" s="147"/>
    </row>
    <row r="149" spans="4:7">
      <c r="D149" s="147"/>
      <c r="E149" s="147"/>
      <c r="F149" s="147"/>
      <c r="G149" s="147"/>
    </row>
    <row r="150" spans="4:7">
      <c r="D150" s="147"/>
      <c r="E150" s="147"/>
      <c r="F150" s="147"/>
      <c r="G150" s="147"/>
    </row>
    <row r="151" spans="4:7">
      <c r="D151" s="147"/>
      <c r="E151" s="147"/>
      <c r="F151" s="147"/>
      <c r="G151" s="147"/>
    </row>
    <row r="152" spans="4:7">
      <c r="D152" s="147"/>
      <c r="E152" s="147"/>
      <c r="F152" s="147"/>
      <c r="G152" s="147"/>
    </row>
    <row r="153" spans="4:7">
      <c r="D153" s="147"/>
      <c r="E153" s="147"/>
      <c r="F153" s="147"/>
      <c r="G153" s="147"/>
    </row>
    <row r="154" spans="4:7">
      <c r="D154" s="147"/>
      <c r="E154" s="147"/>
      <c r="F154" s="147"/>
      <c r="G154" s="147"/>
    </row>
    <row r="155" spans="4:7">
      <c r="D155" s="147"/>
      <c r="E155" s="147"/>
      <c r="F155" s="147"/>
      <c r="G155" s="147"/>
    </row>
    <row r="156" spans="4:7">
      <c r="D156" s="147"/>
      <c r="E156" s="147"/>
      <c r="F156" s="147"/>
      <c r="G156" s="147"/>
    </row>
    <row r="157" spans="4:7">
      <c r="D157" s="147"/>
      <c r="E157" s="147"/>
      <c r="F157" s="147"/>
      <c r="G157" s="147"/>
    </row>
  </sheetData>
  <sheetProtection sheet="1" objects="1" scenarios="1"/>
  <mergeCells count="11">
    <mergeCell ref="D46:F46"/>
    <mergeCell ref="D60:F60"/>
    <mergeCell ref="D61:F61"/>
    <mergeCell ref="D71:F71"/>
    <mergeCell ref="D72:F72"/>
    <mergeCell ref="J2:L2"/>
    <mergeCell ref="A2:A4"/>
    <mergeCell ref="B2:B4"/>
    <mergeCell ref="C2:C4"/>
    <mergeCell ref="H2:H4"/>
    <mergeCell ref="D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3C40-C732-7E4E-9D60-9EA2E8E5BA23}">
  <dimension ref="B2:O261"/>
  <sheetViews>
    <sheetView zoomScale="80" zoomScaleNormal="80" workbookViewId="0">
      <selection activeCell="D208" sqref="D208"/>
    </sheetView>
  </sheetViews>
  <sheetFormatPr defaultColWidth="8" defaultRowHeight="19.5"/>
  <cols>
    <col min="1" max="1" width="8" style="272"/>
    <col min="2" max="3" width="16.7109375" style="272" customWidth="1"/>
    <col min="4" max="4" width="123.7109375" style="272" customWidth="1"/>
    <col min="5" max="5" width="15.42578125" style="369" customWidth="1"/>
    <col min="6" max="6" width="27.28515625" style="276" customWidth="1"/>
    <col min="7" max="7" width="21.42578125" style="276" customWidth="1"/>
    <col min="8" max="8" width="27.28515625" style="276" customWidth="1"/>
    <col min="9" max="9" width="22.7109375" style="276" customWidth="1"/>
    <col min="10" max="10" width="24.85546875" style="391" bestFit="1" customWidth="1"/>
    <col min="11" max="11" width="59.28515625" style="272" customWidth="1"/>
    <col min="12" max="12" width="7" style="272" customWidth="1"/>
    <col min="13" max="13" width="26" style="272" customWidth="1"/>
    <col min="14" max="14" width="128.42578125" style="272" customWidth="1"/>
    <col min="15" max="15" width="18.42578125" style="272" customWidth="1"/>
    <col min="16" max="16384" width="8" style="272"/>
  </cols>
  <sheetData>
    <row r="2" spans="2:15">
      <c r="B2" s="824" t="s">
        <v>273</v>
      </c>
      <c r="C2" s="824"/>
      <c r="D2" s="824"/>
      <c r="E2" s="824"/>
      <c r="F2" s="824"/>
      <c r="G2" s="824"/>
      <c r="H2" s="824"/>
      <c r="I2" s="824"/>
      <c r="J2" s="824"/>
      <c r="K2" s="824"/>
      <c r="L2" s="824"/>
    </row>
    <row r="3" spans="2:15">
      <c r="B3" s="824"/>
      <c r="C3" s="824"/>
      <c r="D3" s="824"/>
      <c r="E3" s="824"/>
      <c r="F3" s="824"/>
      <c r="G3" s="824"/>
      <c r="H3" s="824"/>
      <c r="I3" s="824"/>
      <c r="J3" s="824"/>
      <c r="K3" s="824"/>
      <c r="L3" s="824"/>
    </row>
    <row r="4" spans="2:15">
      <c r="B4" s="824"/>
      <c r="C4" s="824"/>
      <c r="D4" s="824"/>
      <c r="E4" s="824"/>
      <c r="F4" s="824"/>
      <c r="G4" s="824"/>
      <c r="H4" s="824"/>
      <c r="I4" s="824"/>
      <c r="J4" s="824"/>
      <c r="K4" s="824"/>
      <c r="L4" s="824"/>
    </row>
    <row r="6" spans="2:15" ht="26.25" thickBot="1">
      <c r="B6" s="273" t="s">
        <v>459</v>
      </c>
      <c r="D6" s="274"/>
      <c r="E6" s="275"/>
      <c r="I6" s="272"/>
    </row>
    <row r="7" spans="2:15" ht="24.75" thickBot="1">
      <c r="B7" s="361" t="s">
        <v>274</v>
      </c>
      <c r="C7" s="278" t="s">
        <v>460</v>
      </c>
      <c r="D7" s="278" t="s">
        <v>461</v>
      </c>
      <c r="E7" s="279" t="s">
        <v>462</v>
      </c>
      <c r="F7" s="279" t="s">
        <v>463</v>
      </c>
      <c r="G7" s="276" t="s">
        <v>275</v>
      </c>
      <c r="I7" s="272"/>
    </row>
    <row r="8" spans="2:15" ht="24.75" customHeight="1" thickBot="1">
      <c r="B8" s="362" t="s">
        <v>476</v>
      </c>
      <c r="C8" s="280">
        <v>1</v>
      </c>
      <c r="D8" s="280">
        <v>30</v>
      </c>
      <c r="E8" s="281">
        <v>28</v>
      </c>
      <c r="F8" s="281">
        <v>265</v>
      </c>
      <c r="G8" s="276" t="s">
        <v>513</v>
      </c>
      <c r="I8" s="272"/>
    </row>
    <row r="9" spans="2:15">
      <c r="E9" s="342"/>
      <c r="I9" s="272"/>
    </row>
    <row r="10" spans="2:15">
      <c r="H10" s="282"/>
      <c r="I10" s="282"/>
    </row>
    <row r="11" spans="2:15" ht="23.25" thickBot="1">
      <c r="B11" s="273" t="s">
        <v>276</v>
      </c>
      <c r="C11" s="283"/>
      <c r="D11" s="284"/>
      <c r="E11" s="336"/>
      <c r="G11" s="286"/>
      <c r="H11" s="286"/>
      <c r="I11" s="285"/>
      <c r="J11" s="392"/>
      <c r="K11" s="287"/>
      <c r="L11" s="284"/>
      <c r="M11" s="284"/>
      <c r="N11" s="284"/>
      <c r="O11" s="284"/>
    </row>
    <row r="12" spans="2:15" ht="22.5" customHeight="1">
      <c r="B12" s="825" t="s">
        <v>277</v>
      </c>
      <c r="C12" s="826"/>
      <c r="D12" s="826"/>
      <c r="E12" s="849" t="s">
        <v>46</v>
      </c>
      <c r="F12" s="831" t="s">
        <v>278</v>
      </c>
      <c r="G12" s="831"/>
      <c r="H12" s="831"/>
      <c r="I12" s="831"/>
      <c r="J12" s="832"/>
      <c r="K12" s="833" t="s">
        <v>279</v>
      </c>
      <c r="L12" s="834"/>
      <c r="M12" s="834"/>
      <c r="N12" s="834"/>
    </row>
    <row r="13" spans="2:15" ht="24">
      <c r="B13" s="827"/>
      <c r="C13" s="828"/>
      <c r="D13" s="828"/>
      <c r="E13" s="850"/>
      <c r="F13" s="358" t="s">
        <v>468</v>
      </c>
      <c r="G13" s="359" t="s">
        <v>469</v>
      </c>
      <c r="H13" s="359" t="s">
        <v>470</v>
      </c>
      <c r="I13" s="360" t="s">
        <v>471</v>
      </c>
      <c r="J13" s="393" t="s">
        <v>52</v>
      </c>
      <c r="K13" s="835"/>
      <c r="L13" s="836"/>
      <c r="M13" s="836"/>
      <c r="N13" s="836"/>
    </row>
    <row r="14" spans="2:15" ht="24">
      <c r="B14" s="829"/>
      <c r="C14" s="830"/>
      <c r="D14" s="830"/>
      <c r="E14" s="851"/>
      <c r="F14" s="381" t="s">
        <v>472</v>
      </c>
      <c r="G14" s="382" t="s">
        <v>473</v>
      </c>
      <c r="H14" s="382" t="s">
        <v>473</v>
      </c>
      <c r="I14" s="382" t="s">
        <v>474</v>
      </c>
      <c r="J14" s="394" t="s">
        <v>475</v>
      </c>
      <c r="K14" s="837"/>
      <c r="L14" s="838"/>
      <c r="M14" s="838"/>
      <c r="N14" s="838"/>
    </row>
    <row r="15" spans="2:15" s="292" customFormat="1" ht="22.5" customHeight="1">
      <c r="B15" s="842" t="s">
        <v>395</v>
      </c>
      <c r="C15" s="288" t="s">
        <v>280</v>
      </c>
      <c r="D15" s="288"/>
      <c r="E15" s="386" t="s">
        <v>477</v>
      </c>
      <c r="F15" s="442">
        <f>(F178*$D$228)/(10^6)</f>
        <v>5.7222000000000002E-2</v>
      </c>
      <c r="G15" s="443">
        <f>(G178*$D$228)/(10^6)</f>
        <v>0</v>
      </c>
      <c r="H15" s="443">
        <f>(H178*$D$228)/(10^6)</f>
        <v>1.02E-6</v>
      </c>
      <c r="I15" s="443">
        <f>(I178*$D$228)/(10^6)</f>
        <v>1.0200000000000001E-7</v>
      </c>
      <c r="J15" s="444">
        <f t="shared" ref="J15:J46" si="0">(F15*$C$8)+(G15*$D$8)+(H15*$E$8)+(I15*$F$8)</f>
        <v>5.7277589999999996E-2</v>
      </c>
      <c r="K15" s="289" t="s">
        <v>281</v>
      </c>
      <c r="L15" s="290"/>
      <c r="M15" s="290"/>
      <c r="N15" s="291"/>
    </row>
    <row r="16" spans="2:15" s="292" customFormat="1" ht="22.5" customHeight="1">
      <c r="B16" s="842"/>
      <c r="C16" s="288" t="s">
        <v>282</v>
      </c>
      <c r="D16" s="288"/>
      <c r="E16" s="354" t="s">
        <v>151</v>
      </c>
      <c r="F16" s="438">
        <f>F178/(10^6)</f>
        <v>5.6099999999999997E-2</v>
      </c>
      <c r="G16" s="439">
        <f>G178/(10^6)</f>
        <v>0</v>
      </c>
      <c r="H16" s="439">
        <f>H178/(10^6)</f>
        <v>9.9999999999999995E-7</v>
      </c>
      <c r="I16" s="439">
        <f>I178/(10^6)</f>
        <v>1.0000000000000001E-7</v>
      </c>
      <c r="J16" s="430">
        <f t="shared" si="0"/>
        <v>5.6154499999999996E-2</v>
      </c>
      <c r="K16" s="289" t="s">
        <v>281</v>
      </c>
      <c r="L16" s="290"/>
      <c r="M16" s="290"/>
      <c r="N16" s="291"/>
    </row>
    <row r="17" spans="2:14" s="292" customFormat="1" ht="22.5" customHeight="1">
      <c r="B17" s="842"/>
      <c r="C17" s="288" t="s">
        <v>283</v>
      </c>
      <c r="D17" s="288"/>
      <c r="E17" s="354" t="s">
        <v>151</v>
      </c>
      <c r="F17" s="438">
        <f>50.1/1000</f>
        <v>5.0099999999999999E-2</v>
      </c>
      <c r="G17" s="439">
        <v>0</v>
      </c>
      <c r="H17" s="439">
        <f>9.48*(10^(-4))/1000</f>
        <v>9.4800000000000007E-7</v>
      </c>
      <c r="I17" s="439">
        <f>9.48*(10^(-5))/1000</f>
        <v>9.4800000000000015E-8</v>
      </c>
      <c r="J17" s="430">
        <f t="shared" si="0"/>
        <v>5.0151666000000004E-2</v>
      </c>
      <c r="K17" s="289" t="s">
        <v>284</v>
      </c>
      <c r="L17" s="290"/>
      <c r="M17" s="290"/>
      <c r="N17" s="291"/>
    </row>
    <row r="18" spans="2:14" s="292" customFormat="1" ht="22.5" customHeight="1">
      <c r="B18" s="842"/>
      <c r="C18" s="288" t="s">
        <v>285</v>
      </c>
      <c r="D18" s="288"/>
      <c r="E18" s="354" t="s">
        <v>478</v>
      </c>
      <c r="F18" s="445">
        <f>0.0529*1000</f>
        <v>52.900000000000006</v>
      </c>
      <c r="G18" s="427">
        <v>0</v>
      </c>
      <c r="H18" s="427">
        <f>1*10^(-6)*1000</f>
        <v>1E-3</v>
      </c>
      <c r="I18" s="427">
        <f>1*10^(-7)*1000</f>
        <v>9.9999999999999991E-5</v>
      </c>
      <c r="J18" s="430">
        <f t="shared" si="0"/>
        <v>52.954500000000003</v>
      </c>
      <c r="K18" s="289" t="s">
        <v>284</v>
      </c>
      <c r="L18" s="290"/>
      <c r="M18" s="290"/>
      <c r="N18" s="291"/>
    </row>
    <row r="19" spans="2:14" s="292" customFormat="1" ht="22.5" customHeight="1">
      <c r="B19" s="842"/>
      <c r="C19" s="288" t="s">
        <v>286</v>
      </c>
      <c r="D19" s="288"/>
      <c r="E19" s="354" t="s">
        <v>479</v>
      </c>
      <c r="F19" s="438">
        <f>F180*$D$229*$D$253/(10^6)</f>
        <v>1.6797219999999999</v>
      </c>
      <c r="G19" s="439">
        <f>G180*$D$229*$D$253/(10^6)</f>
        <v>0</v>
      </c>
      <c r="H19" s="439">
        <f>H180*$D$229*$D$253/(10^6)</f>
        <v>2.6620000000000003E-5</v>
      </c>
      <c r="I19" s="439">
        <f>I180*$D$229*$D$253/(10^6)</f>
        <v>2.6620000000000009E-6</v>
      </c>
      <c r="J19" s="430">
        <f t="shared" si="0"/>
        <v>1.68117279</v>
      </c>
      <c r="K19" s="289" t="s">
        <v>281</v>
      </c>
      <c r="L19" s="290"/>
      <c r="M19" s="290"/>
      <c r="N19" s="291"/>
    </row>
    <row r="20" spans="2:14" s="292" customFormat="1" ht="22.5" customHeight="1">
      <c r="B20" s="842"/>
      <c r="C20" s="288" t="s">
        <v>287</v>
      </c>
      <c r="D20" s="288"/>
      <c r="E20" s="354" t="s">
        <v>61</v>
      </c>
      <c r="F20" s="438">
        <f>F180*$D$229/(10^6)</f>
        <v>3.1105962962962961</v>
      </c>
      <c r="G20" s="439">
        <f>G180*$D$229/(10^6)</f>
        <v>0</v>
      </c>
      <c r="H20" s="439">
        <f>H180*$D$229/(10^6)</f>
        <v>4.9296296296296299E-5</v>
      </c>
      <c r="I20" s="439">
        <f>I180*$D$229/(10^6)</f>
        <v>4.9296296296296301E-6</v>
      </c>
      <c r="J20" s="430">
        <f t="shared" si="0"/>
        <v>3.1132829444444439</v>
      </c>
      <c r="K20" s="289" t="s">
        <v>281</v>
      </c>
      <c r="L20" s="290"/>
      <c r="M20" s="290"/>
      <c r="N20" s="291"/>
    </row>
    <row r="21" spans="2:14" s="292" customFormat="1" ht="22.5" customHeight="1">
      <c r="B21" s="842"/>
      <c r="C21" s="288" t="s">
        <v>288</v>
      </c>
      <c r="D21" s="288"/>
      <c r="E21" s="354" t="s">
        <v>61</v>
      </c>
      <c r="F21" s="438">
        <f>(44*4)/(26*2)</f>
        <v>3.3846153846153846</v>
      </c>
      <c r="G21" s="439">
        <v>0</v>
      </c>
      <c r="H21" s="439">
        <v>0</v>
      </c>
      <c r="I21" s="439">
        <v>0</v>
      </c>
      <c r="J21" s="430">
        <f t="shared" si="0"/>
        <v>3.3846153846153846</v>
      </c>
      <c r="K21" s="289" t="s">
        <v>464</v>
      </c>
      <c r="L21" s="290"/>
      <c r="M21" s="290"/>
      <c r="N21" s="291"/>
    </row>
    <row r="22" spans="2:14" s="292" customFormat="1" ht="26.1" customHeight="1">
      <c r="B22" s="842"/>
      <c r="C22" s="288" t="s">
        <v>289</v>
      </c>
      <c r="D22" s="288"/>
      <c r="E22" s="354" t="s">
        <v>61</v>
      </c>
      <c r="F22" s="438">
        <f>(44*2)/28</f>
        <v>3.1428571428571428</v>
      </c>
      <c r="G22" s="439">
        <v>0</v>
      </c>
      <c r="H22" s="439">
        <v>0</v>
      </c>
      <c r="I22" s="439">
        <v>0</v>
      </c>
      <c r="J22" s="430">
        <f t="shared" si="0"/>
        <v>3.1428571428571428</v>
      </c>
      <c r="K22" s="289" t="s">
        <v>290</v>
      </c>
      <c r="L22" s="290"/>
      <c r="M22" s="290"/>
      <c r="N22" s="291"/>
    </row>
    <row r="23" spans="2:14" s="292" customFormat="1" ht="24">
      <c r="B23" s="842"/>
      <c r="C23" s="293" t="s">
        <v>291</v>
      </c>
      <c r="D23" s="288"/>
      <c r="E23" s="354" t="s">
        <v>61</v>
      </c>
      <c r="F23" s="438">
        <f>(44*3)/44</f>
        <v>3</v>
      </c>
      <c r="G23" s="439">
        <v>0</v>
      </c>
      <c r="H23" s="439">
        <v>0</v>
      </c>
      <c r="I23" s="439">
        <v>0</v>
      </c>
      <c r="J23" s="430">
        <f t="shared" si="0"/>
        <v>3</v>
      </c>
      <c r="K23" s="294" t="s">
        <v>465</v>
      </c>
      <c r="L23" s="294"/>
      <c r="N23" s="295"/>
    </row>
    <row r="24" spans="2:14" s="292" customFormat="1" ht="25.35" customHeight="1">
      <c r="B24" s="842"/>
      <c r="C24" s="288" t="s">
        <v>292</v>
      </c>
      <c r="D24" s="288"/>
      <c r="E24" s="354" t="s">
        <v>61</v>
      </c>
      <c r="F24" s="438">
        <f>(44*8)/(58*2)</f>
        <v>3.0344827586206895</v>
      </c>
      <c r="G24" s="439">
        <v>0</v>
      </c>
      <c r="H24" s="439">
        <v>0</v>
      </c>
      <c r="I24" s="439">
        <v>0</v>
      </c>
      <c r="J24" s="430">
        <f t="shared" si="0"/>
        <v>3.0344827586206895</v>
      </c>
      <c r="K24" s="289" t="s">
        <v>466</v>
      </c>
      <c r="L24" s="290"/>
      <c r="M24" s="290"/>
      <c r="N24" s="291"/>
    </row>
    <row r="25" spans="2:14" s="292" customFormat="1" ht="25.35" customHeight="1">
      <c r="B25" s="842"/>
      <c r="C25" s="288" t="s">
        <v>293</v>
      </c>
      <c r="D25" s="288"/>
      <c r="E25" s="354" t="s">
        <v>479</v>
      </c>
      <c r="F25" s="438">
        <f>F181*$D$234/(10^6)</f>
        <v>3.2096984443712997</v>
      </c>
      <c r="G25" s="439">
        <f>G181*$D$234/(10^6)</f>
        <v>0</v>
      </c>
      <c r="H25" s="439">
        <f>H181*$D$234/(10^6)</f>
        <v>1.2440691644849999E-4</v>
      </c>
      <c r="I25" s="439">
        <f>I181*$D$234/(10^6)</f>
        <v>2.4881383289699998E-5</v>
      </c>
      <c r="J25" s="430">
        <f t="shared" si="0"/>
        <v>3.2197754046036282</v>
      </c>
      <c r="K25" s="289" t="s">
        <v>281</v>
      </c>
      <c r="L25" s="290"/>
      <c r="M25" s="290"/>
      <c r="N25" s="291"/>
    </row>
    <row r="26" spans="2:14" s="292" customFormat="1" ht="25.35" customHeight="1">
      <c r="B26" s="842"/>
      <c r="C26" s="288" t="s">
        <v>294</v>
      </c>
      <c r="D26" s="288"/>
      <c r="E26" s="354" t="s">
        <v>479</v>
      </c>
      <c r="F26" s="438">
        <f>F181*$D$235/(10^6)</f>
        <v>3.23534010094254</v>
      </c>
      <c r="G26" s="439">
        <f>G181*$D$235/(10^6)</f>
        <v>0</v>
      </c>
      <c r="H26" s="439">
        <f>H181*$D$235/(10^6)</f>
        <v>1.254007791063E-4</v>
      </c>
      <c r="I26" s="439">
        <f>I181*$D$235/(10^6)</f>
        <v>2.5080155821259999E-5</v>
      </c>
      <c r="J26" s="430">
        <f t="shared" si="0"/>
        <v>3.24549756405015</v>
      </c>
      <c r="K26" s="289" t="s">
        <v>281</v>
      </c>
      <c r="L26" s="290"/>
      <c r="M26" s="290"/>
      <c r="N26" s="291"/>
    </row>
    <row r="27" spans="2:14" s="292" customFormat="1" ht="25.35" customHeight="1">
      <c r="B27" s="842"/>
      <c r="C27" s="288" t="s">
        <v>295</v>
      </c>
      <c r="D27" s="288"/>
      <c r="E27" s="354" t="s">
        <v>479</v>
      </c>
      <c r="F27" s="438">
        <f>F182*$D$236/(10^6)</f>
        <v>2.4688949999999998</v>
      </c>
      <c r="G27" s="439">
        <f>G182*$D$236/(10^6)</f>
        <v>0</v>
      </c>
      <c r="H27" s="439">
        <f>H182*$D$236/(10^6)</f>
        <v>1.0359E-4</v>
      </c>
      <c r="I27" s="439">
        <f>I182*$D$236/(10^6)</f>
        <v>2.0718000000000001E-5</v>
      </c>
      <c r="J27" s="430">
        <f t="shared" si="0"/>
        <v>2.4772857899999998</v>
      </c>
      <c r="K27" s="289" t="s">
        <v>281</v>
      </c>
      <c r="L27" s="290"/>
      <c r="M27" s="290"/>
      <c r="N27" s="291"/>
    </row>
    <row r="28" spans="2:14" s="292" customFormat="1" ht="25.35" customHeight="1">
      <c r="B28" s="842"/>
      <c r="C28" s="288" t="s">
        <v>508</v>
      </c>
      <c r="D28" s="288"/>
      <c r="E28" s="354" t="s">
        <v>479</v>
      </c>
      <c r="F28" s="438">
        <f>F183*$D$237/(10^6)</f>
        <v>2.482707</v>
      </c>
      <c r="G28" s="439">
        <f>G183*$D$237/(10^6)</f>
        <v>0</v>
      </c>
      <c r="H28" s="439">
        <f>H183*$D$237/(10^6)</f>
        <v>1.0359E-4</v>
      </c>
      <c r="I28" s="439">
        <f>I183*$D$237/(10^6)</f>
        <v>2.0718000000000001E-5</v>
      </c>
      <c r="J28" s="430">
        <f t="shared" si="0"/>
        <v>2.49109779</v>
      </c>
      <c r="K28" s="289" t="s">
        <v>281</v>
      </c>
      <c r="L28" s="290"/>
      <c r="M28" s="290"/>
      <c r="N28" s="291"/>
    </row>
    <row r="29" spans="2:14" s="297" customFormat="1" ht="25.35" customHeight="1">
      <c r="B29" s="842"/>
      <c r="C29" s="288" t="s">
        <v>296</v>
      </c>
      <c r="D29" s="296"/>
      <c r="E29" s="354" t="s">
        <v>479</v>
      </c>
      <c r="F29" s="438">
        <f>F184*$D$238/(10^6)</f>
        <v>2.6987220000000001</v>
      </c>
      <c r="G29" s="439">
        <f>G184*$D$238/(10^6)</f>
        <v>0</v>
      </c>
      <c r="H29" s="439">
        <f>H184*$D$238/(10^6)</f>
        <v>1.0926000000000001E-4</v>
      </c>
      <c r="I29" s="439">
        <f>I184*$D$238/(10^6)</f>
        <v>2.1852E-5</v>
      </c>
      <c r="J29" s="430">
        <f t="shared" si="0"/>
        <v>2.7075720599999999</v>
      </c>
      <c r="K29" s="289" t="s">
        <v>281</v>
      </c>
      <c r="L29" s="290"/>
      <c r="M29" s="290"/>
      <c r="N29" s="291"/>
    </row>
    <row r="30" spans="2:14" s="297" customFormat="1" ht="25.35" customHeight="1">
      <c r="B30" s="842"/>
      <c r="C30" s="288" t="s">
        <v>297</v>
      </c>
      <c r="D30" s="296"/>
      <c r="E30" s="354" t="s">
        <v>479</v>
      </c>
      <c r="F30" s="438">
        <f>F186*$D$239/(10^6)</f>
        <v>2.1815639999999998</v>
      </c>
      <c r="G30" s="439">
        <f>G186*$D$239/(10^6)</f>
        <v>0</v>
      </c>
      <c r="H30" s="439">
        <f>H186*$D$239/(10^6)</f>
        <v>9.4439999999999997E-5</v>
      </c>
      <c r="I30" s="439">
        <f>I186*$D$239/(10^6)</f>
        <v>1.8887999999999999E-5</v>
      </c>
      <c r="J30" s="430">
        <f t="shared" si="0"/>
        <v>2.1892136399999997</v>
      </c>
      <c r="K30" s="289" t="s">
        <v>281</v>
      </c>
      <c r="L30" s="290"/>
      <c r="M30" s="290"/>
      <c r="N30" s="291"/>
    </row>
    <row r="31" spans="2:14" s="297" customFormat="1" ht="25.35" customHeight="1">
      <c r="B31" s="842"/>
      <c r="C31" s="293" t="s">
        <v>298</v>
      </c>
      <c r="D31" s="296"/>
      <c r="E31" s="354" t="s">
        <v>479</v>
      </c>
      <c r="F31" s="438">
        <f>F185*D250*D255/(10^6)</f>
        <v>1.6439760000000001</v>
      </c>
      <c r="G31" s="439"/>
      <c r="H31" s="439">
        <f>H185*D250*D255/(10^6)</f>
        <v>6.9659999999999994E-5</v>
      </c>
      <c r="I31" s="439">
        <f>I185*D250*D255/(10^6)</f>
        <v>1.3931999999999998E-5</v>
      </c>
      <c r="J31" s="430">
        <f t="shared" si="0"/>
        <v>1.6496184600000001</v>
      </c>
      <c r="K31" s="289" t="s">
        <v>281</v>
      </c>
      <c r="L31" s="290"/>
      <c r="M31" s="290"/>
      <c r="N31" s="291"/>
    </row>
    <row r="32" spans="2:14" s="297" customFormat="1" ht="25.35" customHeight="1">
      <c r="B32" s="842"/>
      <c r="C32" s="293" t="s">
        <v>403</v>
      </c>
      <c r="D32" s="296"/>
      <c r="E32" s="354" t="s">
        <v>479</v>
      </c>
      <c r="F32" s="438">
        <f>F187*D251*D257/(10^6)</f>
        <v>1.4967828000000001</v>
      </c>
      <c r="G32" s="439"/>
      <c r="H32" s="439">
        <f>H187*D251*D257/(10^6)</f>
        <v>6.3423000000000006E-5</v>
      </c>
      <c r="I32" s="439">
        <f>I187*D251*D257/(10^6)</f>
        <v>1.26846E-5</v>
      </c>
      <c r="J32" s="430">
        <f>(F32*$C$8)+(G32*$D$8)+(H32*$E$8)+(I32*$F$8)</f>
        <v>1.501920063</v>
      </c>
      <c r="K32" s="289" t="s">
        <v>281</v>
      </c>
      <c r="L32" s="290"/>
      <c r="M32" s="290"/>
      <c r="N32" s="291"/>
    </row>
    <row r="33" spans="2:15" s="292" customFormat="1" ht="25.35" customHeight="1">
      <c r="B33" s="842"/>
      <c r="C33" s="288" t="s">
        <v>509</v>
      </c>
      <c r="D33" s="288"/>
      <c r="E33" s="354" t="s">
        <v>479</v>
      </c>
      <c r="F33" s="438">
        <f>(F29*(1-$M33))+(F31*$M33)</f>
        <v>2.6248897799999997</v>
      </c>
      <c r="G33" s="439">
        <f>(G29*(1-$M33))+(G31*$M33)</f>
        <v>0</v>
      </c>
      <c r="H33" s="439">
        <f>(H29*(1-$M33))+(H31*$M33)</f>
        <v>1.06488E-4</v>
      </c>
      <c r="I33" s="439">
        <f>(I29*(1-$M33))+(I31*$M33)</f>
        <v>2.1297599999999997E-5</v>
      </c>
      <c r="J33" s="430">
        <f t="shared" si="0"/>
        <v>2.6335153079999998</v>
      </c>
      <c r="K33" s="298" t="s">
        <v>299</v>
      </c>
      <c r="L33" s="299"/>
      <c r="M33" s="300">
        <v>7.0000000000000007E-2</v>
      </c>
      <c r="N33" s="295"/>
      <c r="O33" s="292" t="s">
        <v>300</v>
      </c>
    </row>
    <row r="34" spans="2:15" s="297" customFormat="1" ht="25.35" customHeight="1">
      <c r="B34" s="842"/>
      <c r="C34" s="293" t="s">
        <v>301</v>
      </c>
      <c r="D34" s="296"/>
      <c r="E34" s="354" t="s">
        <v>479</v>
      </c>
      <c r="F34" s="438">
        <f>F29*(1-M33)</f>
        <v>2.5098114599999999</v>
      </c>
      <c r="G34" s="439">
        <f>G33</f>
        <v>0</v>
      </c>
      <c r="H34" s="439">
        <f>H33</f>
        <v>1.06488E-4</v>
      </c>
      <c r="I34" s="439">
        <f>I33</f>
        <v>2.1297599999999997E-5</v>
      </c>
      <c r="J34" s="430">
        <f t="shared" si="0"/>
        <v>2.5184369879999999</v>
      </c>
      <c r="K34" s="289" t="s">
        <v>302</v>
      </c>
      <c r="L34" s="290"/>
      <c r="M34" s="290"/>
      <c r="N34" s="291"/>
    </row>
    <row r="35" spans="2:15" s="297" customFormat="1" ht="25.35" customHeight="1">
      <c r="B35" s="842"/>
      <c r="C35" s="293" t="s">
        <v>303</v>
      </c>
      <c r="D35" s="296"/>
      <c r="E35" s="354" t="s">
        <v>479</v>
      </c>
      <c r="F35" s="438">
        <f>F31*M33</f>
        <v>0.11507832000000001</v>
      </c>
      <c r="G35" s="439"/>
      <c r="H35" s="439"/>
      <c r="I35" s="439"/>
      <c r="J35" s="430">
        <f t="shared" si="0"/>
        <v>0.11507832000000001</v>
      </c>
      <c r="K35" s="301" t="s">
        <v>304</v>
      </c>
      <c r="L35" s="302"/>
      <c r="M35" s="302"/>
      <c r="N35" s="303"/>
    </row>
    <row r="36" spans="2:15" s="292" customFormat="1" ht="25.35" customHeight="1">
      <c r="B36" s="842"/>
      <c r="C36" s="288" t="s">
        <v>305</v>
      </c>
      <c r="D36" s="288"/>
      <c r="E36" s="354" t="s">
        <v>479</v>
      </c>
      <c r="F36" s="438">
        <f>(F29*(1-$M36))+(F31*$M36)</f>
        <v>2.4877728000000001</v>
      </c>
      <c r="G36" s="439">
        <f>(G29*(1-$M36))+(G31*$M36)</f>
        <v>0</v>
      </c>
      <c r="H36" s="439">
        <f>(H29*(1-$M36))+(H31*$M36)</f>
        <v>1.0134000000000002E-4</v>
      </c>
      <c r="I36" s="439">
        <f>(I29*(1-$M36))+(I31*$M36)</f>
        <v>2.0268000000000003E-5</v>
      </c>
      <c r="J36" s="430">
        <f t="shared" si="0"/>
        <v>2.4959813400000002</v>
      </c>
      <c r="K36" s="298" t="s">
        <v>299</v>
      </c>
      <c r="L36" s="299"/>
      <c r="M36" s="304">
        <v>0.2</v>
      </c>
      <c r="N36" s="295"/>
      <c r="O36" s="292" t="s">
        <v>306</v>
      </c>
    </row>
    <row r="37" spans="2:15" s="297" customFormat="1" ht="25.35" customHeight="1">
      <c r="B37" s="842"/>
      <c r="C37" s="293" t="s">
        <v>307</v>
      </c>
      <c r="D37" s="296"/>
      <c r="E37" s="354" t="s">
        <v>479</v>
      </c>
      <c r="F37" s="438">
        <f>F29*(1-M36)</f>
        <v>2.1589776000000001</v>
      </c>
      <c r="G37" s="439">
        <f>G36</f>
        <v>0</v>
      </c>
      <c r="H37" s="439">
        <f>H36</f>
        <v>1.0134000000000002E-4</v>
      </c>
      <c r="I37" s="439">
        <f>I36</f>
        <v>2.0268000000000003E-5</v>
      </c>
      <c r="J37" s="430">
        <f t="shared" si="0"/>
        <v>2.1671861400000001</v>
      </c>
      <c r="K37" s="289" t="s">
        <v>302</v>
      </c>
      <c r="L37" s="290"/>
      <c r="M37" s="290"/>
      <c r="N37" s="291"/>
    </row>
    <row r="38" spans="2:15" s="297" customFormat="1" ht="25.35" customHeight="1">
      <c r="B38" s="842"/>
      <c r="C38" s="293" t="s">
        <v>308</v>
      </c>
      <c r="D38" s="296"/>
      <c r="E38" s="354" t="s">
        <v>479</v>
      </c>
      <c r="F38" s="438">
        <f>F31*M36</f>
        <v>0.32879520000000007</v>
      </c>
      <c r="G38" s="439"/>
      <c r="H38" s="439"/>
      <c r="I38" s="439"/>
      <c r="J38" s="430">
        <f t="shared" si="0"/>
        <v>0.32879520000000007</v>
      </c>
      <c r="K38" s="301" t="s">
        <v>304</v>
      </c>
      <c r="L38" s="302"/>
      <c r="M38" s="302"/>
      <c r="N38" s="303"/>
    </row>
    <row r="39" spans="2:15" s="297" customFormat="1" ht="25.35" customHeight="1">
      <c r="B39" s="842"/>
      <c r="C39" s="293" t="s">
        <v>309</v>
      </c>
      <c r="D39" s="296"/>
      <c r="E39" s="354" t="s">
        <v>479</v>
      </c>
      <c r="F39" s="438">
        <f>(F30*(1-$M39))+(F32*$M39)</f>
        <v>2.1130858799999999</v>
      </c>
      <c r="G39" s="439">
        <f>(G30*(1-$M39))+(G32*$M39)</f>
        <v>0</v>
      </c>
      <c r="H39" s="439">
        <f>(H30*(1-$M39))+(H32*$M39)</f>
        <v>9.1338299999999992E-5</v>
      </c>
      <c r="I39" s="439">
        <f>(I30*(1-$M39))+(I32*$M39)</f>
        <v>1.8267660000000002E-5</v>
      </c>
      <c r="J39" s="430">
        <f t="shared" si="0"/>
        <v>2.1204842822999996</v>
      </c>
      <c r="K39" s="298" t="s">
        <v>310</v>
      </c>
      <c r="L39" s="299"/>
      <c r="M39" s="304">
        <v>0.1</v>
      </c>
      <c r="N39" s="295"/>
      <c r="O39" s="292" t="s">
        <v>311</v>
      </c>
    </row>
    <row r="40" spans="2:15" s="297" customFormat="1" ht="25.35" customHeight="1">
      <c r="B40" s="842"/>
      <c r="C40" s="305" t="s">
        <v>312</v>
      </c>
      <c r="D40" s="296"/>
      <c r="E40" s="354" t="s">
        <v>479</v>
      </c>
      <c r="F40" s="438">
        <f>F30*(1-M39)</f>
        <v>1.9634075999999998</v>
      </c>
      <c r="G40" s="439">
        <f>G39</f>
        <v>0</v>
      </c>
      <c r="H40" s="439">
        <f>H39</f>
        <v>9.1338299999999992E-5</v>
      </c>
      <c r="I40" s="439">
        <f>I39</f>
        <v>1.8267660000000002E-5</v>
      </c>
      <c r="J40" s="430">
        <f t="shared" si="0"/>
        <v>1.9708060022999998</v>
      </c>
      <c r="K40" s="289" t="s">
        <v>302</v>
      </c>
      <c r="L40" s="290"/>
      <c r="M40" s="290"/>
      <c r="N40" s="291"/>
    </row>
    <row r="41" spans="2:15" s="297" customFormat="1" ht="25.35" customHeight="1">
      <c r="B41" s="842"/>
      <c r="C41" s="305" t="s">
        <v>313</v>
      </c>
      <c r="D41" s="296"/>
      <c r="E41" s="354" t="s">
        <v>479</v>
      </c>
      <c r="F41" s="438">
        <f>F32*(M39)</f>
        <v>0.14967828000000002</v>
      </c>
      <c r="G41" s="439"/>
      <c r="H41" s="439"/>
      <c r="I41" s="439"/>
      <c r="J41" s="430">
        <f t="shared" si="0"/>
        <v>0.14967828000000002</v>
      </c>
      <c r="K41" s="301" t="s">
        <v>304</v>
      </c>
      <c r="L41" s="302"/>
      <c r="M41" s="302"/>
      <c r="N41" s="303"/>
    </row>
    <row r="42" spans="2:15" s="297" customFormat="1" ht="25.35" customHeight="1">
      <c r="B42" s="842"/>
      <c r="C42" s="293" t="s">
        <v>314</v>
      </c>
      <c r="D42" s="296"/>
      <c r="E42" s="354" t="s">
        <v>479</v>
      </c>
      <c r="F42" s="438">
        <f>(F30*(1-$M42))+(F32*$M42)</f>
        <v>2.0446077599999999</v>
      </c>
      <c r="G42" s="439">
        <f>(G30*(1-$M42))+(G32*$M42)</f>
        <v>0</v>
      </c>
      <c r="H42" s="439">
        <f>(H30*(1-$M42))+(H32*$M42)</f>
        <v>8.8236600000000002E-5</v>
      </c>
      <c r="I42" s="439">
        <f>(I30*(1-$M42))+(I32*$M42)</f>
        <v>1.7647320000000001E-5</v>
      </c>
      <c r="J42" s="430">
        <f t="shared" si="0"/>
        <v>2.0517549246</v>
      </c>
      <c r="K42" s="298" t="s">
        <v>315</v>
      </c>
      <c r="L42" s="299"/>
      <c r="M42" s="304">
        <v>0.2</v>
      </c>
      <c r="N42" s="295"/>
      <c r="O42" s="292" t="s">
        <v>316</v>
      </c>
    </row>
    <row r="43" spans="2:15" s="297" customFormat="1" ht="25.35" customHeight="1">
      <c r="B43" s="842"/>
      <c r="C43" s="305" t="s">
        <v>317</v>
      </c>
      <c r="D43" s="296"/>
      <c r="E43" s="354" t="s">
        <v>479</v>
      </c>
      <c r="F43" s="438">
        <f>F30*(1-M42)</f>
        <v>1.7452512</v>
      </c>
      <c r="G43" s="439">
        <f>G42</f>
        <v>0</v>
      </c>
      <c r="H43" s="439">
        <f>H42</f>
        <v>8.8236600000000002E-5</v>
      </c>
      <c r="I43" s="439">
        <f>I42</f>
        <v>1.7647320000000001E-5</v>
      </c>
      <c r="J43" s="430">
        <f t="shared" si="0"/>
        <v>1.7523983645999999</v>
      </c>
      <c r="K43" s="289" t="s">
        <v>302</v>
      </c>
      <c r="L43" s="290"/>
      <c r="M43" s="290"/>
      <c r="N43" s="291"/>
    </row>
    <row r="44" spans="2:15" s="297" customFormat="1" ht="25.35" customHeight="1">
      <c r="B44" s="842"/>
      <c r="C44" s="305" t="s">
        <v>318</v>
      </c>
      <c r="D44" s="296"/>
      <c r="E44" s="354" t="s">
        <v>479</v>
      </c>
      <c r="F44" s="438">
        <f>F32*(M42)</f>
        <v>0.29935656000000005</v>
      </c>
      <c r="G44" s="439"/>
      <c r="H44" s="439"/>
      <c r="I44" s="439"/>
      <c r="J44" s="430">
        <f t="shared" si="0"/>
        <v>0.29935656000000005</v>
      </c>
      <c r="K44" s="301" t="s">
        <v>304</v>
      </c>
      <c r="L44" s="302"/>
      <c r="M44" s="302"/>
      <c r="N44" s="303"/>
    </row>
    <row r="45" spans="2:15" s="297" customFormat="1" ht="25.35" customHeight="1">
      <c r="B45" s="842"/>
      <c r="C45" s="293" t="s">
        <v>319</v>
      </c>
      <c r="D45" s="296"/>
      <c r="E45" s="354" t="s">
        <v>479</v>
      </c>
      <c r="F45" s="438">
        <f>(F30*(1-$M45))+(F32*$M45)</f>
        <v>1.59949998</v>
      </c>
      <c r="G45" s="439">
        <f>(G30*(1-$M45))+(G32*$M45)</f>
        <v>0</v>
      </c>
      <c r="H45" s="439">
        <f>(H30*(1-$M45))+(H32*$M45)</f>
        <v>6.8075550000000013E-5</v>
      </c>
      <c r="I45" s="439">
        <f>(I30*(1-$M45))+(I32*$M45)</f>
        <v>1.361511E-5</v>
      </c>
      <c r="J45" s="430">
        <f t="shared" si="0"/>
        <v>1.60501409955</v>
      </c>
      <c r="K45" s="298" t="s">
        <v>315</v>
      </c>
      <c r="L45" s="299"/>
      <c r="M45" s="304">
        <v>0.85</v>
      </c>
      <c r="N45" s="295"/>
      <c r="O45" s="292" t="s">
        <v>316</v>
      </c>
    </row>
    <row r="46" spans="2:15" s="297" customFormat="1" ht="25.35" customHeight="1">
      <c r="B46" s="842"/>
      <c r="C46" s="305" t="s">
        <v>320</v>
      </c>
      <c r="D46" s="296"/>
      <c r="E46" s="354" t="s">
        <v>479</v>
      </c>
      <c r="F46" s="438">
        <f>F30*(1-M45)</f>
        <v>0.32723460000000004</v>
      </c>
      <c r="G46" s="439">
        <f>G45</f>
        <v>0</v>
      </c>
      <c r="H46" s="439">
        <f>H45</f>
        <v>6.8075550000000013E-5</v>
      </c>
      <c r="I46" s="439">
        <f>I45</f>
        <v>1.361511E-5</v>
      </c>
      <c r="J46" s="430">
        <f t="shared" si="0"/>
        <v>0.33274871955000007</v>
      </c>
      <c r="K46" s="289" t="s">
        <v>302</v>
      </c>
      <c r="L46" s="290"/>
      <c r="M46" s="290"/>
      <c r="N46" s="291"/>
    </row>
    <row r="47" spans="2:15" s="297" customFormat="1" ht="25.35" customHeight="1">
      <c r="B47" s="842"/>
      <c r="C47" s="305" t="s">
        <v>321</v>
      </c>
      <c r="D47" s="296"/>
      <c r="E47" s="354" t="s">
        <v>479</v>
      </c>
      <c r="F47" s="438">
        <f>F32*(M45)</f>
        <v>1.2722653800000001</v>
      </c>
      <c r="G47" s="439"/>
      <c r="H47" s="439"/>
      <c r="I47" s="439"/>
      <c r="J47" s="430">
        <f t="shared" ref="J47:J75" si="1">(F47*$C$8)+(G47*$D$8)+(H47*$E$8)+(I47*$F$8)</f>
        <v>1.2722653800000001</v>
      </c>
      <c r="K47" s="301" t="s">
        <v>304</v>
      </c>
      <c r="L47" s="302"/>
      <c r="M47" s="302"/>
      <c r="N47" s="303"/>
    </row>
    <row r="48" spans="2:15" s="292" customFormat="1" ht="25.35" customHeight="1">
      <c r="B48" s="842"/>
      <c r="C48" s="288" t="s">
        <v>322</v>
      </c>
      <c r="D48" s="288"/>
      <c r="E48" s="354" t="s">
        <v>61</v>
      </c>
      <c r="F48" s="438">
        <f>F188*$D$230/(10^6)</f>
        <v>1.2019</v>
      </c>
      <c r="G48" s="439">
        <f>G188*$D$230/(10^6)</f>
        <v>0</v>
      </c>
      <c r="H48" s="439">
        <f>H188*$D$230/(10^6)</f>
        <v>1.1900000000000001E-4</v>
      </c>
      <c r="I48" s="439">
        <f>I188*$D$230/(10^6)</f>
        <v>1.785E-5</v>
      </c>
      <c r="J48" s="430">
        <f t="shared" si="1"/>
        <v>1.2099622499999998</v>
      </c>
      <c r="K48" s="289" t="s">
        <v>281</v>
      </c>
      <c r="L48" s="290"/>
      <c r="M48" s="290"/>
      <c r="N48" s="291"/>
    </row>
    <row r="49" spans="2:14" s="292" customFormat="1" ht="25.35" customHeight="1">
      <c r="B49" s="842"/>
      <c r="C49" s="288" t="s">
        <v>323</v>
      </c>
      <c r="D49" s="288"/>
      <c r="E49" s="354" t="s">
        <v>61</v>
      </c>
      <c r="F49" s="438">
        <f>F189*$D$231/(10^6)</f>
        <v>3.0866199999999999</v>
      </c>
      <c r="G49" s="439">
        <f>G189*$D$231/(10^6)</f>
        <v>0</v>
      </c>
      <c r="H49" s="439">
        <f>H189*$D$231/(10^6)</f>
        <v>3.1399999999999999E-4</v>
      </c>
      <c r="I49" s="439">
        <f>I189*$D$231/(10^6)</f>
        <v>4.7099999999999993E-5</v>
      </c>
      <c r="J49" s="430">
        <f t="shared" si="1"/>
        <v>3.1078934999999999</v>
      </c>
      <c r="K49" s="289" t="s">
        <v>281</v>
      </c>
      <c r="L49" s="290"/>
      <c r="M49" s="290"/>
      <c r="N49" s="291"/>
    </row>
    <row r="50" spans="2:14" s="292" customFormat="1" ht="25.35" customHeight="1">
      <c r="B50" s="842"/>
      <c r="C50" s="288" t="s">
        <v>324</v>
      </c>
      <c r="D50" s="288"/>
      <c r="E50" s="354" t="s">
        <v>61</v>
      </c>
      <c r="F50" s="438">
        <f>F190*$D$232/(10^6)</f>
        <v>2.494602</v>
      </c>
      <c r="G50" s="439">
        <f>G190*$D$232/(10^6)</f>
        <v>0</v>
      </c>
      <c r="H50" s="439">
        <f>H190*$D$232/(10^6)</f>
        <v>2.6370000000000001E-4</v>
      </c>
      <c r="I50" s="439">
        <f>I190*$D$232/(10^6)</f>
        <v>3.9554999999999997E-5</v>
      </c>
      <c r="J50" s="430">
        <f t="shared" si="1"/>
        <v>2.5124676749999999</v>
      </c>
      <c r="K50" s="289" t="s">
        <v>281</v>
      </c>
      <c r="L50" s="290"/>
      <c r="M50" s="290"/>
      <c r="N50" s="291"/>
    </row>
    <row r="51" spans="2:14" s="292" customFormat="1" ht="25.35" customHeight="1">
      <c r="B51" s="842"/>
      <c r="C51" s="288" t="s">
        <v>325</v>
      </c>
      <c r="D51" s="288"/>
      <c r="E51" s="354" t="s">
        <v>61</v>
      </c>
      <c r="F51" s="438">
        <f>F191*$D$233/(10^6)</f>
        <v>2.6137980000000001</v>
      </c>
      <c r="G51" s="439">
        <f>G191*$D$233/(10^6)</f>
        <v>0</v>
      </c>
      <c r="H51" s="439">
        <f>H191*$D$233/(10^6)</f>
        <v>2.7629999999999999E-4</v>
      </c>
      <c r="I51" s="439">
        <f>I191*$D$233/(10^6)</f>
        <v>4.1445E-5</v>
      </c>
      <c r="J51" s="430">
        <f t="shared" si="1"/>
        <v>2.6325173250000002</v>
      </c>
      <c r="K51" s="289" t="s">
        <v>281</v>
      </c>
      <c r="L51" s="290"/>
      <c r="M51" s="290"/>
      <c r="N51" s="291"/>
    </row>
    <row r="52" spans="2:14" s="297" customFormat="1" ht="30.2" customHeight="1">
      <c r="B52" s="842"/>
      <c r="C52" s="293" t="s">
        <v>326</v>
      </c>
      <c r="D52" s="296"/>
      <c r="E52" s="354" t="s">
        <v>61</v>
      </c>
      <c r="F52" s="438">
        <f>F192*$D$240/(10^6)</f>
        <v>1.79088</v>
      </c>
      <c r="G52" s="439">
        <f>G192*$D$240/(10^6)</f>
        <v>0</v>
      </c>
      <c r="H52" s="439">
        <f>H192*$D$240/(10^6)</f>
        <v>4.797E-4</v>
      </c>
      <c r="I52" s="439">
        <f>I192*$D$240/(10^6)</f>
        <v>6.3960000000000004E-5</v>
      </c>
      <c r="J52" s="430">
        <f t="shared" si="1"/>
        <v>1.821261</v>
      </c>
      <c r="K52" s="289" t="s">
        <v>281</v>
      </c>
      <c r="L52" s="302"/>
      <c r="M52" s="302"/>
      <c r="N52" s="306"/>
    </row>
    <row r="53" spans="2:14" s="297" customFormat="1" ht="25.35" customHeight="1">
      <c r="B53" s="842"/>
      <c r="C53" s="293" t="s">
        <v>327</v>
      </c>
      <c r="D53" s="296"/>
      <c r="E53" s="354" t="s">
        <v>61</v>
      </c>
      <c r="F53" s="438"/>
      <c r="G53" s="439">
        <f>G52</f>
        <v>0</v>
      </c>
      <c r="H53" s="439">
        <f>H52</f>
        <v>4.797E-4</v>
      </c>
      <c r="I53" s="439">
        <f>I52</f>
        <v>6.3960000000000004E-5</v>
      </c>
      <c r="J53" s="430">
        <f t="shared" si="1"/>
        <v>3.0380999999999998E-2</v>
      </c>
      <c r="K53" s="289" t="s">
        <v>328</v>
      </c>
      <c r="L53" s="302"/>
      <c r="M53" s="302"/>
      <c r="N53" s="306"/>
    </row>
    <row r="54" spans="2:14" s="297" customFormat="1" ht="25.35" customHeight="1">
      <c r="B54" s="842"/>
      <c r="C54" s="293" t="s">
        <v>329</v>
      </c>
      <c r="D54" s="296"/>
      <c r="E54" s="354" t="s">
        <v>61</v>
      </c>
      <c r="F54" s="438">
        <f>F52</f>
        <v>1.79088</v>
      </c>
      <c r="G54" s="439"/>
      <c r="H54" s="439"/>
      <c r="I54" s="439"/>
      <c r="J54" s="430">
        <f t="shared" si="1"/>
        <v>1.79088</v>
      </c>
      <c r="K54" s="307" t="s">
        <v>304</v>
      </c>
      <c r="L54" s="302"/>
      <c r="M54" s="302"/>
      <c r="N54" s="306"/>
    </row>
    <row r="55" spans="2:14" s="297" customFormat="1" ht="30.2" customHeight="1">
      <c r="B55" s="842"/>
      <c r="C55" s="293" t="s">
        <v>330</v>
      </c>
      <c r="D55" s="296"/>
      <c r="E55" s="354" t="s">
        <v>61</v>
      </c>
      <c r="F55" s="438">
        <f>F193*$D$241/(10^6)</f>
        <v>1.2185600000000001</v>
      </c>
      <c r="G55" s="439">
        <f>G193*$D$241/(10^6)</f>
        <v>0</v>
      </c>
      <c r="H55" s="439">
        <f>H193*$D$241/(10^6)</f>
        <v>3.2640000000000002E-4</v>
      </c>
      <c r="I55" s="439">
        <f>I193*$D$241/(10^6)</f>
        <v>4.3520000000000003E-5</v>
      </c>
      <c r="J55" s="430">
        <f t="shared" si="1"/>
        <v>1.2392319999999999</v>
      </c>
      <c r="K55" s="289" t="s">
        <v>281</v>
      </c>
      <c r="L55" s="302"/>
      <c r="M55" s="302"/>
      <c r="N55" s="306"/>
    </row>
    <row r="56" spans="2:14" s="297" customFormat="1" ht="25.35" customHeight="1">
      <c r="B56" s="842"/>
      <c r="C56" s="293" t="s">
        <v>331</v>
      </c>
      <c r="D56" s="296"/>
      <c r="E56" s="354" t="s">
        <v>61</v>
      </c>
      <c r="F56" s="438"/>
      <c r="G56" s="439">
        <f>G55</f>
        <v>0</v>
      </c>
      <c r="H56" s="439">
        <f>H55</f>
        <v>3.2640000000000002E-4</v>
      </c>
      <c r="I56" s="439">
        <f>I55</f>
        <v>4.3520000000000003E-5</v>
      </c>
      <c r="J56" s="430">
        <f t="shared" si="1"/>
        <v>2.0672000000000003E-2</v>
      </c>
      <c r="K56" s="289" t="s">
        <v>328</v>
      </c>
      <c r="L56" s="302"/>
      <c r="M56" s="302"/>
      <c r="N56" s="306"/>
    </row>
    <row r="57" spans="2:14" s="297" customFormat="1" ht="25.35" customHeight="1">
      <c r="B57" s="842"/>
      <c r="C57" s="293" t="s">
        <v>332</v>
      </c>
      <c r="D57" s="296"/>
      <c r="E57" s="354" t="s">
        <v>61</v>
      </c>
      <c r="F57" s="438">
        <f>F55</f>
        <v>1.2185600000000001</v>
      </c>
      <c r="G57" s="439"/>
      <c r="H57" s="439"/>
      <c r="I57" s="439"/>
      <c r="J57" s="430">
        <f t="shared" si="1"/>
        <v>1.2185600000000001</v>
      </c>
      <c r="K57" s="307" t="s">
        <v>304</v>
      </c>
      <c r="L57" s="302"/>
      <c r="M57" s="302"/>
      <c r="N57" s="306"/>
    </row>
    <row r="58" spans="2:14" s="297" customFormat="1" ht="30.2" customHeight="1">
      <c r="B58" s="842"/>
      <c r="C58" s="293" t="s">
        <v>333</v>
      </c>
      <c r="D58" s="296"/>
      <c r="E58" s="354" t="s">
        <v>61</v>
      </c>
      <c r="F58" s="438">
        <f>F194*$D$242/(10^6)</f>
        <v>3.2345600000000001</v>
      </c>
      <c r="G58" s="439">
        <f>G194*$D$242/(10^6)</f>
        <v>0</v>
      </c>
      <c r="H58" s="439">
        <f>H194*$D$242/(10^6)</f>
        <v>8.6640000000000003E-4</v>
      </c>
      <c r="I58" s="439">
        <f>I194*$D$242/(10^6)</f>
        <v>1.1551999999999999E-4</v>
      </c>
      <c r="J58" s="430">
        <f t="shared" si="1"/>
        <v>3.2894320000000001</v>
      </c>
      <c r="K58" s="289" t="s">
        <v>281</v>
      </c>
      <c r="L58" s="302"/>
      <c r="M58" s="302"/>
      <c r="N58" s="306"/>
    </row>
    <row r="59" spans="2:14" s="297" customFormat="1" ht="25.35" customHeight="1">
      <c r="B59" s="842"/>
      <c r="C59" s="293" t="s">
        <v>334</v>
      </c>
      <c r="D59" s="296"/>
      <c r="E59" s="354" t="s">
        <v>61</v>
      </c>
      <c r="F59" s="438"/>
      <c r="G59" s="439">
        <f>G58</f>
        <v>0</v>
      </c>
      <c r="H59" s="439">
        <f>H58</f>
        <v>8.6640000000000003E-4</v>
      </c>
      <c r="I59" s="439">
        <f>I58</f>
        <v>1.1551999999999999E-4</v>
      </c>
      <c r="J59" s="430">
        <f t="shared" si="1"/>
        <v>5.4872000000000004E-2</v>
      </c>
      <c r="K59" s="289" t="s">
        <v>328</v>
      </c>
      <c r="L59" s="302"/>
      <c r="M59" s="302"/>
      <c r="N59" s="306"/>
    </row>
    <row r="60" spans="2:14" s="297" customFormat="1" ht="25.35" customHeight="1">
      <c r="B60" s="842"/>
      <c r="C60" s="293" t="s">
        <v>335</v>
      </c>
      <c r="D60" s="296"/>
      <c r="E60" s="354" t="s">
        <v>61</v>
      </c>
      <c r="F60" s="438">
        <f>F58</f>
        <v>3.2345600000000001</v>
      </c>
      <c r="G60" s="439"/>
      <c r="H60" s="439"/>
      <c r="I60" s="439"/>
      <c r="J60" s="430">
        <f t="shared" si="1"/>
        <v>3.2345600000000001</v>
      </c>
      <c r="K60" s="307" t="s">
        <v>304</v>
      </c>
      <c r="L60" s="302"/>
      <c r="M60" s="302"/>
      <c r="N60" s="306"/>
    </row>
    <row r="61" spans="2:14" s="297" customFormat="1" ht="25.35" customHeight="1">
      <c r="B61" s="842"/>
      <c r="C61" s="293" t="s">
        <v>336</v>
      </c>
      <c r="D61" s="296"/>
      <c r="E61" s="354" t="s">
        <v>61</v>
      </c>
      <c r="F61" s="438">
        <f>F195*$D$243/(10^6)</f>
        <v>1.44</v>
      </c>
      <c r="G61" s="439">
        <f>G195*$D$243/(10^6)</f>
        <v>0</v>
      </c>
      <c r="H61" s="439">
        <f>H195*$D$243/(10^6)</f>
        <v>4.3199999999999998E-4</v>
      </c>
      <c r="I61" s="439">
        <f>I195*$D$243/(10^6)</f>
        <v>5.7600000000000004E-5</v>
      </c>
      <c r="J61" s="430">
        <f t="shared" si="1"/>
        <v>1.46736</v>
      </c>
      <c r="K61" s="289" t="s">
        <v>281</v>
      </c>
      <c r="L61" s="302"/>
      <c r="M61" s="302"/>
      <c r="N61" s="306"/>
    </row>
    <row r="62" spans="2:14" s="297" customFormat="1" ht="25.35" customHeight="1">
      <c r="B62" s="842"/>
      <c r="C62" s="293" t="s">
        <v>337</v>
      </c>
      <c r="D62" s="296"/>
      <c r="E62" s="354" t="s">
        <v>61</v>
      </c>
      <c r="F62" s="438"/>
      <c r="G62" s="439">
        <f>G61</f>
        <v>0</v>
      </c>
      <c r="H62" s="439">
        <f>H61</f>
        <v>4.3199999999999998E-4</v>
      </c>
      <c r="I62" s="439">
        <f>I61</f>
        <v>5.7600000000000004E-5</v>
      </c>
      <c r="J62" s="430">
        <f t="shared" si="1"/>
        <v>2.7360000000000002E-2</v>
      </c>
      <c r="K62" s="289" t="s">
        <v>328</v>
      </c>
      <c r="L62" s="308"/>
      <c r="M62" s="308"/>
      <c r="N62" s="309"/>
    </row>
    <row r="63" spans="2:14" s="297" customFormat="1" ht="25.35" customHeight="1">
      <c r="B63" s="842"/>
      <c r="C63" s="293" t="s">
        <v>338</v>
      </c>
      <c r="D63" s="296"/>
      <c r="E63" s="354" t="s">
        <v>61</v>
      </c>
      <c r="F63" s="438">
        <f>F61</f>
        <v>1.44</v>
      </c>
      <c r="G63" s="439"/>
      <c r="H63" s="439"/>
      <c r="I63" s="439"/>
      <c r="J63" s="430">
        <f t="shared" si="1"/>
        <v>1.44</v>
      </c>
      <c r="K63" s="307" t="s">
        <v>304</v>
      </c>
      <c r="L63" s="308"/>
      <c r="M63" s="308"/>
      <c r="N63" s="309"/>
    </row>
    <row r="64" spans="2:14" s="297" customFormat="1" ht="25.35" customHeight="1">
      <c r="B64" s="842"/>
      <c r="C64" s="293" t="s">
        <v>339</v>
      </c>
      <c r="D64" s="296"/>
      <c r="E64" s="354" t="s">
        <v>61</v>
      </c>
      <c r="F64" s="438">
        <f>F196*$D$244/(10^6)</f>
        <v>0.753</v>
      </c>
      <c r="G64" s="439">
        <f>G196*$D$244/(10^6)</f>
        <v>0</v>
      </c>
      <c r="H64" s="439">
        <f>H196*$D$244/(10^6)</f>
        <v>2.2590000000000002E-4</v>
      </c>
      <c r="I64" s="439">
        <f>I196*$D$244/(10^6)</f>
        <v>3.012E-5</v>
      </c>
      <c r="J64" s="430">
        <f t="shared" si="1"/>
        <v>0.76730700000000007</v>
      </c>
      <c r="K64" s="289" t="s">
        <v>281</v>
      </c>
      <c r="L64" s="308"/>
      <c r="M64" s="308"/>
      <c r="N64" s="309"/>
    </row>
    <row r="65" spans="2:14" s="297" customFormat="1" ht="25.35" customHeight="1">
      <c r="B65" s="842"/>
      <c r="C65" s="293" t="s">
        <v>340</v>
      </c>
      <c r="D65" s="296"/>
      <c r="E65" s="354" t="s">
        <v>61</v>
      </c>
      <c r="F65" s="438"/>
      <c r="G65" s="439">
        <f>G64</f>
        <v>0</v>
      </c>
      <c r="H65" s="439">
        <f>H64</f>
        <v>2.2590000000000002E-4</v>
      </c>
      <c r="I65" s="439">
        <f>I64</f>
        <v>3.012E-5</v>
      </c>
      <c r="J65" s="430">
        <f t="shared" si="1"/>
        <v>1.4307E-2</v>
      </c>
      <c r="K65" s="289" t="s">
        <v>328</v>
      </c>
      <c r="L65" s="308"/>
      <c r="M65" s="308"/>
      <c r="N65" s="309"/>
    </row>
    <row r="66" spans="2:14" s="297" customFormat="1" ht="25.35" customHeight="1">
      <c r="B66" s="842"/>
      <c r="C66" s="293" t="s">
        <v>341</v>
      </c>
      <c r="D66" s="296"/>
      <c r="E66" s="354" t="s">
        <v>61</v>
      </c>
      <c r="F66" s="438">
        <f>F64</f>
        <v>0.753</v>
      </c>
      <c r="G66" s="439"/>
      <c r="H66" s="439"/>
      <c r="I66" s="439"/>
      <c r="J66" s="430">
        <f t="shared" si="1"/>
        <v>0.753</v>
      </c>
      <c r="K66" s="307" t="s">
        <v>304</v>
      </c>
      <c r="L66" s="308"/>
      <c r="M66" s="308"/>
      <c r="N66" s="309"/>
    </row>
    <row r="67" spans="2:14" s="297" customFormat="1" ht="25.35" customHeight="1">
      <c r="B67" s="842"/>
      <c r="C67" s="293" t="s">
        <v>342</v>
      </c>
      <c r="D67" s="296"/>
      <c r="E67" s="354" t="s">
        <v>61</v>
      </c>
      <c r="F67" s="438">
        <f>F197*$D$245/(10^6)</f>
        <v>1.853</v>
      </c>
      <c r="G67" s="439">
        <f>G197*$D$245/(10^6)</f>
        <v>0</v>
      </c>
      <c r="H67" s="439">
        <f>H197*$D$245/(10^6)</f>
        <v>5.5590000000000012E-4</v>
      </c>
      <c r="I67" s="439">
        <f>I197*$D$245/(10^6)</f>
        <v>7.4120000000000002E-5</v>
      </c>
      <c r="J67" s="430">
        <f t="shared" si="1"/>
        <v>1.888207</v>
      </c>
      <c r="K67" s="289" t="s">
        <v>281</v>
      </c>
      <c r="L67" s="290"/>
      <c r="M67" s="290"/>
      <c r="N67" s="291"/>
    </row>
    <row r="68" spans="2:14" s="297" customFormat="1" ht="25.35" customHeight="1">
      <c r="B68" s="842"/>
      <c r="C68" s="293" t="s">
        <v>343</v>
      </c>
      <c r="D68" s="296"/>
      <c r="E68" s="354" t="s">
        <v>61</v>
      </c>
      <c r="F68" s="438"/>
      <c r="G68" s="439">
        <f>G67</f>
        <v>0</v>
      </c>
      <c r="H68" s="439">
        <f>H67</f>
        <v>5.5590000000000012E-4</v>
      </c>
      <c r="I68" s="439">
        <f>I67</f>
        <v>7.4120000000000002E-5</v>
      </c>
      <c r="J68" s="430">
        <f t="shared" si="1"/>
        <v>3.5207000000000002E-2</v>
      </c>
      <c r="K68" s="289" t="s">
        <v>328</v>
      </c>
      <c r="L68" s="308"/>
      <c r="M68" s="308"/>
      <c r="N68" s="309"/>
    </row>
    <row r="69" spans="2:14" s="297" customFormat="1" ht="25.35" customHeight="1">
      <c r="B69" s="842"/>
      <c r="C69" s="293" t="s">
        <v>344</v>
      </c>
      <c r="D69" s="296"/>
      <c r="E69" s="354" t="s">
        <v>61</v>
      </c>
      <c r="F69" s="438">
        <f>F67</f>
        <v>1.853</v>
      </c>
      <c r="G69" s="439"/>
      <c r="H69" s="439"/>
      <c r="I69" s="439"/>
      <c r="J69" s="430">
        <f t="shared" si="1"/>
        <v>1.853</v>
      </c>
      <c r="K69" s="307" t="s">
        <v>304</v>
      </c>
      <c r="L69" s="308"/>
      <c r="M69" s="308"/>
      <c r="N69" s="309"/>
    </row>
    <row r="70" spans="2:14" s="297" customFormat="1" ht="25.35" customHeight="1">
      <c r="B70" s="842"/>
      <c r="C70" s="293" t="s">
        <v>345</v>
      </c>
      <c r="D70" s="296"/>
      <c r="E70" s="354" t="s">
        <v>61</v>
      </c>
      <c r="F70" s="438">
        <f>F198*$D$246/(10^6)</f>
        <v>1.6779999999999999</v>
      </c>
      <c r="G70" s="439">
        <f>G198*$D$246/(10^6)</f>
        <v>0</v>
      </c>
      <c r="H70" s="439">
        <f>H198*$D$246/(10^6)</f>
        <v>5.0339999999999998E-4</v>
      </c>
      <c r="I70" s="439">
        <f>I198*$D$246/(10^6)</f>
        <v>6.7120000000000008E-5</v>
      </c>
      <c r="J70" s="430">
        <f t="shared" si="1"/>
        <v>1.7098820000000001</v>
      </c>
      <c r="K70" s="289" t="s">
        <v>281</v>
      </c>
      <c r="L70" s="290"/>
      <c r="M70" s="290"/>
      <c r="N70" s="291"/>
    </row>
    <row r="71" spans="2:14" s="297" customFormat="1" ht="25.35" customHeight="1">
      <c r="B71" s="842"/>
      <c r="C71" s="293" t="s">
        <v>346</v>
      </c>
      <c r="D71" s="296"/>
      <c r="E71" s="354" t="s">
        <v>61</v>
      </c>
      <c r="F71" s="438"/>
      <c r="G71" s="439">
        <f>G70</f>
        <v>0</v>
      </c>
      <c r="H71" s="439">
        <f>H70</f>
        <v>5.0339999999999998E-4</v>
      </c>
      <c r="I71" s="439">
        <f>I70</f>
        <v>6.7120000000000008E-5</v>
      </c>
      <c r="J71" s="430">
        <f t="shared" si="1"/>
        <v>3.1882000000000001E-2</v>
      </c>
      <c r="K71" s="289" t="s">
        <v>328</v>
      </c>
      <c r="L71" s="308"/>
      <c r="M71" s="308"/>
      <c r="N71" s="309"/>
    </row>
    <row r="72" spans="2:14" s="297" customFormat="1" ht="25.35" customHeight="1">
      <c r="B72" s="842"/>
      <c r="C72" s="293" t="s">
        <v>347</v>
      </c>
      <c r="D72" s="296"/>
      <c r="E72" s="354" t="s">
        <v>61</v>
      </c>
      <c r="F72" s="438">
        <f>F70</f>
        <v>1.6779999999999999</v>
      </c>
      <c r="G72" s="439"/>
      <c r="H72" s="439"/>
      <c r="I72" s="439"/>
      <c r="J72" s="430">
        <f t="shared" si="1"/>
        <v>1.6779999999999999</v>
      </c>
      <c r="K72" s="307" t="s">
        <v>304</v>
      </c>
      <c r="L72" s="308"/>
      <c r="M72" s="308"/>
      <c r="N72" s="309"/>
    </row>
    <row r="73" spans="2:14" s="297" customFormat="1" ht="25.35" customHeight="1">
      <c r="B73" s="842"/>
      <c r="C73" s="293" t="s">
        <v>348</v>
      </c>
      <c r="D73" s="296"/>
      <c r="E73" s="354" t="s">
        <v>215</v>
      </c>
      <c r="F73" s="438">
        <f>F199*$D$247/(10^6)</f>
        <v>1.1427780000000001</v>
      </c>
      <c r="G73" s="439">
        <f>G199*$D$247/(10^6)</f>
        <v>0</v>
      </c>
      <c r="H73" s="439">
        <f>H199*$D$247/(10^6)</f>
        <v>2.0930000000000001E-5</v>
      </c>
      <c r="I73" s="439">
        <f>I199*$D$247/(10^6)</f>
        <v>2.0930000000000001E-6</v>
      </c>
      <c r="J73" s="430">
        <f t="shared" si="1"/>
        <v>1.143918685</v>
      </c>
      <c r="K73" s="289" t="s">
        <v>281</v>
      </c>
      <c r="L73" s="290"/>
      <c r="M73" s="290"/>
      <c r="N73" s="291"/>
    </row>
    <row r="74" spans="2:14" s="297" customFormat="1" ht="25.35" customHeight="1">
      <c r="B74" s="842"/>
      <c r="C74" s="293" t="s">
        <v>349</v>
      </c>
      <c r="D74" s="296"/>
      <c r="E74" s="354" t="s">
        <v>215</v>
      </c>
      <c r="F74" s="438"/>
      <c r="G74" s="439">
        <f>G73</f>
        <v>0</v>
      </c>
      <c r="H74" s="439">
        <f>H73</f>
        <v>2.0930000000000001E-5</v>
      </c>
      <c r="I74" s="439">
        <f>I73</f>
        <v>2.0930000000000001E-6</v>
      </c>
      <c r="J74" s="430">
        <f t="shared" si="1"/>
        <v>1.140685E-3</v>
      </c>
      <c r="K74" s="289" t="s">
        <v>328</v>
      </c>
      <c r="L74" s="308"/>
      <c r="M74" s="308"/>
      <c r="N74" s="309"/>
    </row>
    <row r="75" spans="2:14" s="297" customFormat="1" ht="25.35" customHeight="1">
      <c r="B75" s="843"/>
      <c r="C75" s="293" t="s">
        <v>350</v>
      </c>
      <c r="D75" s="296"/>
      <c r="E75" s="354" t="s">
        <v>215</v>
      </c>
      <c r="F75" s="438">
        <f>F73</f>
        <v>1.1427780000000001</v>
      </c>
      <c r="G75" s="439"/>
      <c r="H75" s="439"/>
      <c r="I75" s="439"/>
      <c r="J75" s="430">
        <f t="shared" si="1"/>
        <v>1.1427780000000001</v>
      </c>
      <c r="K75" s="307" t="s">
        <v>304</v>
      </c>
      <c r="L75" s="308"/>
      <c r="M75" s="308"/>
      <c r="N75" s="309"/>
    </row>
    <row r="76" spans="2:14" ht="22.5" customHeight="1">
      <c r="B76" s="839" t="s">
        <v>351</v>
      </c>
      <c r="C76" s="310" t="s">
        <v>352</v>
      </c>
      <c r="D76" s="311"/>
      <c r="E76" s="387"/>
      <c r="F76" s="321"/>
      <c r="G76" s="312"/>
      <c r="H76" s="312"/>
      <c r="I76" s="312"/>
      <c r="J76" s="395"/>
      <c r="K76" s="313"/>
      <c r="L76" s="314"/>
      <c r="M76" s="314"/>
      <c r="N76" s="315"/>
    </row>
    <row r="77" spans="2:14" s="297" customFormat="1" ht="34.35" customHeight="1">
      <c r="B77" s="840"/>
      <c r="C77" s="316" t="s">
        <v>287</v>
      </c>
      <c r="D77" s="317"/>
      <c r="E77" s="354" t="s">
        <v>61</v>
      </c>
      <c r="F77" s="440">
        <f>F210*$D$229/(10^6)</f>
        <v>3.1105962962962961</v>
      </c>
      <c r="G77" s="441">
        <f>G210*$D$229/(10^6)</f>
        <v>0</v>
      </c>
      <c r="H77" s="441">
        <f>H210*$D$229/(10^6)</f>
        <v>2.4648148148148146E-3</v>
      </c>
      <c r="I77" s="441">
        <f>I210*$D$229/(10^6)</f>
        <v>9.8592592592592598E-5</v>
      </c>
      <c r="J77" s="430">
        <f t="shared" ref="J77:J82" si="2">(F77*$C$8)+(G77*$D$8)+(H77*$E$8)+(I77*$F$8)</f>
        <v>3.2057381481481482</v>
      </c>
      <c r="K77" s="289" t="s">
        <v>353</v>
      </c>
      <c r="L77" s="290"/>
      <c r="M77" s="290"/>
      <c r="N77" s="291"/>
    </row>
    <row r="78" spans="2:14" s="297" customFormat="1" ht="34.35" customHeight="1">
      <c r="B78" s="840"/>
      <c r="C78" s="305" t="s">
        <v>354</v>
      </c>
      <c r="D78" s="330"/>
      <c r="E78" s="354" t="s">
        <v>479</v>
      </c>
      <c r="F78" s="440">
        <f t="shared" ref="F78:I81" si="3">F211*$D$238/(10^6)</f>
        <v>2.6987220000000001</v>
      </c>
      <c r="G78" s="441">
        <f t="shared" si="3"/>
        <v>0</v>
      </c>
      <c r="H78" s="441">
        <f>H211*$D$238/(10^6)</f>
        <v>1.5114300000000004E-4</v>
      </c>
      <c r="I78" s="441">
        <f t="shared" si="3"/>
        <v>1.0416120000000001E-3</v>
      </c>
      <c r="J78" s="430">
        <f t="shared" si="2"/>
        <v>2.9789811840000002</v>
      </c>
      <c r="K78" s="318" t="s">
        <v>355</v>
      </c>
      <c r="L78" s="290"/>
      <c r="M78" s="290"/>
      <c r="N78" s="291"/>
    </row>
    <row r="79" spans="2:14" s="297" customFormat="1" ht="34.35" customHeight="1">
      <c r="B79" s="840"/>
      <c r="C79" s="305" t="s">
        <v>356</v>
      </c>
      <c r="D79" s="330"/>
      <c r="E79" s="354" t="s">
        <v>479</v>
      </c>
      <c r="F79" s="440">
        <f t="shared" si="3"/>
        <v>2.6987220000000001</v>
      </c>
      <c r="G79" s="441">
        <f t="shared" si="3"/>
        <v>0</v>
      </c>
      <c r="H79" s="441">
        <f t="shared" si="3"/>
        <v>1.5114300000000004E-4</v>
      </c>
      <c r="I79" s="441">
        <f t="shared" si="3"/>
        <v>1.0416120000000001E-3</v>
      </c>
      <c r="J79" s="430">
        <f t="shared" si="2"/>
        <v>2.9789811840000002</v>
      </c>
      <c r="K79" s="318" t="s">
        <v>355</v>
      </c>
      <c r="L79" s="290"/>
      <c r="M79" s="290"/>
      <c r="N79" s="291"/>
    </row>
    <row r="80" spans="2:14" s="297" customFormat="1" ht="34.35" customHeight="1">
      <c r="B80" s="840"/>
      <c r="C80" s="305" t="s">
        <v>357</v>
      </c>
      <c r="D80" s="330"/>
      <c r="E80" s="354" t="s">
        <v>479</v>
      </c>
      <c r="F80" s="440">
        <f t="shared" si="3"/>
        <v>2.6987220000000001</v>
      </c>
      <c r="G80" s="441">
        <f t="shared" si="3"/>
        <v>0</v>
      </c>
      <c r="H80" s="441">
        <f t="shared" si="3"/>
        <v>1.5114300000000004E-4</v>
      </c>
      <c r="I80" s="441">
        <f t="shared" si="3"/>
        <v>1.0416120000000001E-3</v>
      </c>
      <c r="J80" s="430">
        <f t="shared" si="2"/>
        <v>2.9789811840000002</v>
      </c>
      <c r="K80" s="318" t="s">
        <v>355</v>
      </c>
      <c r="L80" s="290"/>
      <c r="M80" s="290"/>
      <c r="N80" s="291"/>
    </row>
    <row r="81" spans="2:14" s="297" customFormat="1" ht="34.35" customHeight="1">
      <c r="B81" s="840"/>
      <c r="C81" s="305" t="s">
        <v>358</v>
      </c>
      <c r="D81" s="330"/>
      <c r="E81" s="354" t="s">
        <v>479</v>
      </c>
      <c r="F81" s="440">
        <f t="shared" si="3"/>
        <v>2.6987220000000001</v>
      </c>
      <c r="G81" s="441">
        <f t="shared" si="3"/>
        <v>0</v>
      </c>
      <c r="H81" s="441">
        <f t="shared" si="3"/>
        <v>1.5114300000000004E-4</v>
      </c>
      <c r="I81" s="441">
        <f t="shared" si="3"/>
        <v>1.0416120000000001E-3</v>
      </c>
      <c r="J81" s="430">
        <f t="shared" si="2"/>
        <v>2.9789811840000002</v>
      </c>
      <c r="K81" s="318" t="s">
        <v>355</v>
      </c>
      <c r="L81" s="290"/>
      <c r="M81" s="290"/>
      <c r="N81" s="291"/>
    </row>
    <row r="82" spans="2:14" s="297" customFormat="1" ht="34.35" customHeight="1">
      <c r="B82" s="840"/>
      <c r="C82" s="305" t="s">
        <v>298</v>
      </c>
      <c r="D82" s="330"/>
      <c r="E82" s="354" t="s">
        <v>479</v>
      </c>
      <c r="F82" s="440">
        <f>F223*D250*D255/(10^6)</f>
        <v>1.6439760000000001</v>
      </c>
      <c r="G82" s="441"/>
      <c r="H82" s="441"/>
      <c r="I82" s="441"/>
      <c r="J82" s="430">
        <f t="shared" si="2"/>
        <v>1.6439760000000001</v>
      </c>
      <c r="K82" s="289" t="s">
        <v>353</v>
      </c>
      <c r="L82" s="290"/>
      <c r="M82" s="290"/>
      <c r="N82" s="291"/>
    </row>
    <row r="83" spans="2:14" s="297" customFormat="1" ht="34.35" customHeight="1">
      <c r="B83" s="840"/>
      <c r="C83" s="305" t="s">
        <v>359</v>
      </c>
      <c r="D83" s="330"/>
      <c r="E83" s="354" t="s">
        <v>479</v>
      </c>
      <c r="F83" s="440">
        <f>F224*D251*D257/(10^6)</f>
        <v>1.4967828000000001</v>
      </c>
      <c r="G83" s="441"/>
      <c r="H83" s="441"/>
      <c r="I83" s="441"/>
      <c r="J83" s="430">
        <f>F83</f>
        <v>1.4967828000000001</v>
      </c>
      <c r="K83" s="289" t="s">
        <v>353</v>
      </c>
      <c r="L83" s="290"/>
      <c r="M83" s="290"/>
      <c r="N83" s="291"/>
    </row>
    <row r="84" spans="2:14" s="297" customFormat="1" ht="34.35" customHeight="1">
      <c r="B84" s="840"/>
      <c r="C84" s="305" t="s">
        <v>360</v>
      </c>
      <c r="D84" s="330"/>
      <c r="E84" s="354" t="s">
        <v>479</v>
      </c>
      <c r="F84" s="440">
        <f t="shared" ref="F84:I91" si="4">F215*$D$239/(10^6)</f>
        <v>2.1815639999999998</v>
      </c>
      <c r="G84" s="441">
        <f t="shared" si="4"/>
        <v>0</v>
      </c>
      <c r="H84" s="441">
        <f t="shared" si="4"/>
        <v>2.5184000000000001E-3</v>
      </c>
      <c r="I84" s="441">
        <f t="shared" si="4"/>
        <v>6.2960000000000007E-5</v>
      </c>
      <c r="J84" s="430">
        <f t="shared" ref="J84:J118" si="5">(F84*$C$8)+(G84*$D$8)+(H84*$E$8)+(I84*$F$8)</f>
        <v>2.2687635999999998</v>
      </c>
      <c r="K84" s="318" t="s">
        <v>355</v>
      </c>
      <c r="L84" s="290"/>
      <c r="M84" s="290"/>
      <c r="N84" s="291"/>
    </row>
    <row r="85" spans="2:14" s="297" customFormat="1" ht="34.35" customHeight="1">
      <c r="B85" s="840"/>
      <c r="C85" s="316" t="s">
        <v>361</v>
      </c>
      <c r="D85" s="317"/>
      <c r="E85" s="354" t="s">
        <v>479</v>
      </c>
      <c r="F85" s="440">
        <f t="shared" si="4"/>
        <v>2.1815639999999998</v>
      </c>
      <c r="G85" s="441">
        <f t="shared" si="4"/>
        <v>0</v>
      </c>
      <c r="H85" s="441">
        <f t="shared" si="4"/>
        <v>0</v>
      </c>
      <c r="I85" s="441">
        <f>I216*$D$239/(10^6)</f>
        <v>0</v>
      </c>
      <c r="J85" s="430">
        <f t="shared" si="5"/>
        <v>2.1815639999999998</v>
      </c>
      <c r="K85" s="318" t="s">
        <v>355</v>
      </c>
      <c r="L85" s="290"/>
      <c r="M85" s="290"/>
      <c r="N85" s="291"/>
    </row>
    <row r="86" spans="2:14" s="297" customFormat="1" ht="34.35" customHeight="1">
      <c r="B86" s="840"/>
      <c r="C86" s="316" t="s">
        <v>362</v>
      </c>
      <c r="D86" s="317"/>
      <c r="E86" s="354" t="s">
        <v>479</v>
      </c>
      <c r="F86" s="440">
        <f t="shared" si="4"/>
        <v>2.1815639999999998</v>
      </c>
      <c r="G86" s="441">
        <f t="shared" si="4"/>
        <v>0</v>
      </c>
      <c r="H86" s="441">
        <f t="shared" si="4"/>
        <v>1.5740000000000001E-3</v>
      </c>
      <c r="I86" s="441">
        <f t="shared" si="4"/>
        <v>6.2960000000000007E-5</v>
      </c>
      <c r="J86" s="430">
        <f t="shared" si="5"/>
        <v>2.2423203999999997</v>
      </c>
      <c r="K86" s="318" t="s">
        <v>355</v>
      </c>
      <c r="L86" s="290"/>
      <c r="M86" s="290"/>
      <c r="N86" s="291"/>
    </row>
    <row r="87" spans="2:14" s="297" customFormat="1" ht="34.35" customHeight="1">
      <c r="B87" s="840"/>
      <c r="C87" s="316" t="s">
        <v>363</v>
      </c>
      <c r="D87" s="317"/>
      <c r="E87" s="354" t="s">
        <v>479</v>
      </c>
      <c r="F87" s="440">
        <f t="shared" si="4"/>
        <v>2.1815639999999998</v>
      </c>
      <c r="G87" s="441">
        <f t="shared" si="4"/>
        <v>0</v>
      </c>
      <c r="H87" s="441">
        <f t="shared" si="4"/>
        <v>3.7775999999999999E-3</v>
      </c>
      <c r="I87" s="441">
        <f t="shared" si="4"/>
        <v>6.2960000000000007E-5</v>
      </c>
      <c r="J87" s="430">
        <f t="shared" si="5"/>
        <v>2.3040211999999998</v>
      </c>
      <c r="K87" s="318" t="s">
        <v>355</v>
      </c>
      <c r="L87" s="290"/>
      <c r="M87" s="290"/>
      <c r="N87" s="291"/>
    </row>
    <row r="88" spans="2:14" s="297" customFormat="1" ht="34.35" customHeight="1">
      <c r="B88" s="840"/>
      <c r="C88" s="316" t="s">
        <v>364</v>
      </c>
      <c r="D88" s="317"/>
      <c r="E88" s="354" t="s">
        <v>479</v>
      </c>
      <c r="F88" s="440">
        <f t="shared" si="4"/>
        <v>2.1815639999999998</v>
      </c>
      <c r="G88" s="441">
        <f t="shared" si="4"/>
        <v>0</v>
      </c>
      <c r="H88" s="441">
        <f t="shared" si="4"/>
        <v>4.4072E-3</v>
      </c>
      <c r="I88" s="441">
        <f t="shared" si="4"/>
        <v>1.2592000000000001E-5</v>
      </c>
      <c r="J88" s="430">
        <f t="shared" si="5"/>
        <v>2.30830248</v>
      </c>
      <c r="K88" s="318" t="s">
        <v>355</v>
      </c>
      <c r="L88" s="290"/>
      <c r="M88" s="290"/>
      <c r="N88" s="291"/>
    </row>
    <row r="89" spans="2:14" s="297" customFormat="1" ht="34.35" customHeight="1">
      <c r="B89" s="840"/>
      <c r="C89" s="316" t="s">
        <v>365</v>
      </c>
      <c r="D89" s="317"/>
      <c r="E89" s="354" t="s">
        <v>479</v>
      </c>
      <c r="F89" s="440">
        <f t="shared" si="4"/>
        <v>2.1815639999999998</v>
      </c>
      <c r="G89" s="441">
        <f t="shared" si="4"/>
        <v>0</v>
      </c>
      <c r="H89" s="441">
        <f t="shared" si="4"/>
        <v>5.3516000000000006E-3</v>
      </c>
      <c r="I89" s="441">
        <f t="shared" si="4"/>
        <v>1.2592000000000001E-5</v>
      </c>
      <c r="J89" s="430">
        <f t="shared" si="5"/>
        <v>2.3347456799999997</v>
      </c>
      <c r="K89" s="318" t="s">
        <v>355</v>
      </c>
      <c r="L89" s="290"/>
      <c r="M89" s="290"/>
      <c r="N89" s="291"/>
    </row>
    <row r="90" spans="2:14" s="297" customFormat="1" ht="34.35" customHeight="1">
      <c r="B90" s="840"/>
      <c r="C90" s="316" t="s">
        <v>366</v>
      </c>
      <c r="D90" s="317"/>
      <c r="E90" s="354" t="s">
        <v>479</v>
      </c>
      <c r="F90" s="440">
        <f t="shared" si="4"/>
        <v>2.1815639999999998</v>
      </c>
      <c r="G90" s="441">
        <f t="shared" si="4"/>
        <v>0</v>
      </c>
      <c r="H90" s="441">
        <f t="shared" si="4"/>
        <v>4.0924000000000004E-3</v>
      </c>
      <c r="I90" s="441">
        <f t="shared" si="4"/>
        <v>1.2592000000000001E-5</v>
      </c>
      <c r="J90" s="430">
        <f t="shared" si="5"/>
        <v>2.2994880799999997</v>
      </c>
      <c r="K90" s="318" t="s">
        <v>355</v>
      </c>
      <c r="L90" s="290"/>
      <c r="M90" s="290"/>
      <c r="N90" s="291"/>
    </row>
    <row r="91" spans="2:14" s="297" customFormat="1" ht="34.35" customHeight="1">
      <c r="B91" s="840"/>
      <c r="C91" s="316" t="s">
        <v>367</v>
      </c>
      <c r="D91" s="317"/>
      <c r="E91" s="354" t="s">
        <v>479</v>
      </c>
      <c r="F91" s="440">
        <f t="shared" si="4"/>
        <v>2.1815639999999998</v>
      </c>
      <c r="G91" s="441">
        <f t="shared" si="4"/>
        <v>0</v>
      </c>
      <c r="H91" s="441">
        <f>H222*$D$239/(10^6)</f>
        <v>5.6663999999999994E-3</v>
      </c>
      <c r="I91" s="441">
        <f t="shared" si="4"/>
        <v>1.2592000000000001E-5</v>
      </c>
      <c r="J91" s="430">
        <f t="shared" si="5"/>
        <v>2.3435600799999996</v>
      </c>
      <c r="K91" s="318" t="s">
        <v>355</v>
      </c>
      <c r="L91" s="290"/>
      <c r="M91" s="290"/>
      <c r="N91" s="291"/>
    </row>
    <row r="92" spans="2:14" s="297" customFormat="1" ht="34.35" customHeight="1">
      <c r="B92" s="840"/>
      <c r="C92" s="319" t="s">
        <v>368</v>
      </c>
      <c r="D92" s="330"/>
      <c r="E92" s="354" t="s">
        <v>479</v>
      </c>
      <c r="F92" s="438">
        <f>(F78*(1-$M92))+(F82*$M92)</f>
        <v>2.6248897799999997</v>
      </c>
      <c r="G92" s="439">
        <f>G78</f>
        <v>0</v>
      </c>
      <c r="H92" s="439">
        <f>H78</f>
        <v>1.5114300000000004E-4</v>
      </c>
      <c r="I92" s="439">
        <f>I78</f>
        <v>1.0416120000000001E-3</v>
      </c>
      <c r="J92" s="430">
        <f t="shared" si="5"/>
        <v>2.9051489639999994</v>
      </c>
      <c r="K92" s="298" t="s">
        <v>299</v>
      </c>
      <c r="L92" s="299"/>
      <c r="M92" s="304">
        <v>7.0000000000000007E-2</v>
      </c>
      <c r="N92" s="295"/>
    </row>
    <row r="93" spans="2:14" s="297" customFormat="1" ht="34.35" customHeight="1">
      <c r="B93" s="840"/>
      <c r="C93" s="293" t="s">
        <v>301</v>
      </c>
      <c r="D93" s="296"/>
      <c r="E93" s="354" t="s">
        <v>479</v>
      </c>
      <c r="F93" s="438">
        <f>F78*(1-M92)</f>
        <v>2.5098114599999999</v>
      </c>
      <c r="G93" s="439">
        <f>G92</f>
        <v>0</v>
      </c>
      <c r="H93" s="439">
        <f>H92</f>
        <v>1.5114300000000004E-4</v>
      </c>
      <c r="I93" s="439">
        <f>I92</f>
        <v>1.0416120000000001E-3</v>
      </c>
      <c r="J93" s="430">
        <f t="shared" si="5"/>
        <v>2.790070644</v>
      </c>
      <c r="K93" s="289" t="s">
        <v>302</v>
      </c>
      <c r="L93" s="290"/>
      <c r="M93" s="403"/>
      <c r="N93" s="291"/>
    </row>
    <row r="94" spans="2:14" s="297" customFormat="1" ht="34.35" customHeight="1">
      <c r="B94" s="840"/>
      <c r="C94" s="293" t="s">
        <v>303</v>
      </c>
      <c r="D94" s="296"/>
      <c r="E94" s="354" t="s">
        <v>479</v>
      </c>
      <c r="F94" s="438">
        <f>F82*M92</f>
        <v>0.11507832000000001</v>
      </c>
      <c r="G94" s="439"/>
      <c r="H94" s="439"/>
      <c r="I94" s="439"/>
      <c r="J94" s="430">
        <f t="shared" si="5"/>
        <v>0.11507832000000001</v>
      </c>
      <c r="K94" s="301" t="s">
        <v>304</v>
      </c>
      <c r="L94" s="302"/>
      <c r="M94" s="302"/>
      <c r="N94" s="303"/>
    </row>
    <row r="95" spans="2:14" s="297" customFormat="1" ht="34.35" customHeight="1">
      <c r="B95" s="840"/>
      <c r="C95" s="319" t="s">
        <v>369</v>
      </c>
      <c r="D95" s="330"/>
      <c r="E95" s="354" t="s">
        <v>479</v>
      </c>
      <c r="F95" s="438">
        <f>(F84*(1-$M95))+(F83*$M95)</f>
        <v>2.1130858799999999</v>
      </c>
      <c r="G95" s="439">
        <f>G84</f>
        <v>0</v>
      </c>
      <c r="H95" s="439">
        <f>H84</f>
        <v>2.5184000000000001E-3</v>
      </c>
      <c r="I95" s="439">
        <f>I84</f>
        <v>6.2960000000000007E-5</v>
      </c>
      <c r="J95" s="430">
        <f t="shared" si="5"/>
        <v>2.2002854799999998</v>
      </c>
      <c r="K95" s="298" t="s">
        <v>310</v>
      </c>
      <c r="L95" s="299"/>
      <c r="M95" s="304">
        <v>0.1</v>
      </c>
      <c r="N95" s="295"/>
    </row>
    <row r="96" spans="2:14" s="297" customFormat="1" ht="34.35" customHeight="1">
      <c r="B96" s="840"/>
      <c r="C96" s="293" t="s">
        <v>312</v>
      </c>
      <c r="D96" s="296"/>
      <c r="E96" s="354" t="s">
        <v>479</v>
      </c>
      <c r="F96" s="438">
        <f>F84*(1-M95)</f>
        <v>1.9634075999999998</v>
      </c>
      <c r="G96" s="439">
        <f>G95</f>
        <v>0</v>
      </c>
      <c r="H96" s="439">
        <f>H95</f>
        <v>2.5184000000000001E-3</v>
      </c>
      <c r="I96" s="439">
        <f>I95</f>
        <v>6.2960000000000007E-5</v>
      </c>
      <c r="J96" s="430">
        <f t="shared" si="5"/>
        <v>2.0506072</v>
      </c>
      <c r="K96" s="289" t="s">
        <v>302</v>
      </c>
      <c r="L96" s="290"/>
      <c r="M96" s="290"/>
      <c r="N96" s="291"/>
    </row>
    <row r="97" spans="2:14" s="297" customFormat="1" ht="34.35" customHeight="1">
      <c r="B97" s="840"/>
      <c r="C97" s="305" t="s">
        <v>313</v>
      </c>
      <c r="D97" s="296"/>
      <c r="E97" s="354" t="s">
        <v>479</v>
      </c>
      <c r="F97" s="438">
        <f>F83*(M95)</f>
        <v>0.14967828000000002</v>
      </c>
      <c r="G97" s="439"/>
      <c r="H97" s="439"/>
      <c r="I97" s="439"/>
      <c r="J97" s="430">
        <f t="shared" si="5"/>
        <v>0.14967828000000002</v>
      </c>
      <c r="K97" s="301" t="s">
        <v>304</v>
      </c>
      <c r="L97" s="302"/>
      <c r="M97" s="302"/>
      <c r="N97" s="303"/>
    </row>
    <row r="98" spans="2:14" s="297" customFormat="1" ht="34.35" customHeight="1">
      <c r="B98" s="840"/>
      <c r="C98" s="319" t="s">
        <v>370</v>
      </c>
      <c r="D98" s="330"/>
      <c r="E98" s="354" t="s">
        <v>479</v>
      </c>
      <c r="F98" s="438">
        <f>(F85*(1-$M95))+(F83*$M95)</f>
        <v>2.1130858799999999</v>
      </c>
      <c r="G98" s="439">
        <f>G85</f>
        <v>0</v>
      </c>
      <c r="H98" s="439">
        <f>H85</f>
        <v>0</v>
      </c>
      <c r="I98" s="439">
        <f>I85</f>
        <v>0</v>
      </c>
      <c r="J98" s="430">
        <f t="shared" si="5"/>
        <v>2.1130858799999999</v>
      </c>
      <c r="K98" s="298" t="s">
        <v>310</v>
      </c>
      <c r="L98" s="299"/>
      <c r="M98" s="304">
        <v>0.1</v>
      </c>
      <c r="N98" s="295"/>
    </row>
    <row r="99" spans="2:14" s="297" customFormat="1" ht="34.35" customHeight="1">
      <c r="B99" s="840"/>
      <c r="C99" s="293" t="s">
        <v>312</v>
      </c>
      <c r="D99" s="296"/>
      <c r="E99" s="354" t="s">
        <v>479</v>
      </c>
      <c r="F99" s="438">
        <f>F85*(1-M98)</f>
        <v>1.9634075999999998</v>
      </c>
      <c r="G99" s="439">
        <f>G98</f>
        <v>0</v>
      </c>
      <c r="H99" s="439">
        <f>H98</f>
        <v>0</v>
      </c>
      <c r="I99" s="439">
        <f>I98</f>
        <v>0</v>
      </c>
      <c r="J99" s="430">
        <f t="shared" si="5"/>
        <v>1.9634075999999998</v>
      </c>
      <c r="K99" s="289" t="s">
        <v>302</v>
      </c>
      <c r="L99" s="290"/>
      <c r="M99" s="290"/>
      <c r="N99" s="291"/>
    </row>
    <row r="100" spans="2:14" s="297" customFormat="1" ht="34.35" customHeight="1">
      <c r="B100" s="840"/>
      <c r="C100" s="305" t="s">
        <v>313</v>
      </c>
      <c r="D100" s="296"/>
      <c r="E100" s="354" t="s">
        <v>479</v>
      </c>
      <c r="F100" s="438">
        <f>F83*(M98)</f>
        <v>0.14967828000000002</v>
      </c>
      <c r="G100" s="439"/>
      <c r="H100" s="439"/>
      <c r="I100" s="439"/>
      <c r="J100" s="430">
        <f t="shared" si="5"/>
        <v>0.14967828000000002</v>
      </c>
      <c r="K100" s="301" t="s">
        <v>304</v>
      </c>
      <c r="L100" s="302"/>
      <c r="M100" s="302"/>
      <c r="N100" s="303"/>
    </row>
    <row r="101" spans="2:14" s="297" customFormat="1" ht="34.35" customHeight="1">
      <c r="B101" s="840"/>
      <c r="C101" s="319" t="s">
        <v>371</v>
      </c>
      <c r="D101" s="330"/>
      <c r="E101" s="354" t="s">
        <v>479</v>
      </c>
      <c r="F101" s="438">
        <f>(F86*(1-$M95))+(F83*$M95)</f>
        <v>2.1130858799999999</v>
      </c>
      <c r="G101" s="439">
        <f>G86</f>
        <v>0</v>
      </c>
      <c r="H101" s="439">
        <f>H86</f>
        <v>1.5740000000000001E-3</v>
      </c>
      <c r="I101" s="439">
        <f>I86</f>
        <v>6.2960000000000007E-5</v>
      </c>
      <c r="J101" s="430">
        <f t="shared" si="5"/>
        <v>2.1738422799999997</v>
      </c>
      <c r="K101" s="298" t="s">
        <v>310</v>
      </c>
      <c r="L101" s="299"/>
      <c r="M101" s="304">
        <v>0.1</v>
      </c>
      <c r="N101" s="295"/>
    </row>
    <row r="102" spans="2:14" s="297" customFormat="1" ht="34.35" customHeight="1">
      <c r="B102" s="840"/>
      <c r="C102" s="293" t="s">
        <v>312</v>
      </c>
      <c r="D102" s="296"/>
      <c r="E102" s="354" t="s">
        <v>479</v>
      </c>
      <c r="F102" s="438">
        <f>F86*(1-M101)</f>
        <v>1.9634075999999998</v>
      </c>
      <c r="G102" s="439">
        <f>G101</f>
        <v>0</v>
      </c>
      <c r="H102" s="439">
        <f>H101</f>
        <v>1.5740000000000001E-3</v>
      </c>
      <c r="I102" s="439">
        <f>I101</f>
        <v>6.2960000000000007E-5</v>
      </c>
      <c r="J102" s="430">
        <f t="shared" si="5"/>
        <v>2.0241639999999999</v>
      </c>
      <c r="K102" s="289" t="s">
        <v>302</v>
      </c>
      <c r="L102" s="290"/>
      <c r="M102" s="290"/>
      <c r="N102" s="291"/>
    </row>
    <row r="103" spans="2:14" s="297" customFormat="1" ht="34.35" customHeight="1">
      <c r="B103" s="840"/>
      <c r="C103" s="305" t="s">
        <v>313</v>
      </c>
      <c r="D103" s="296"/>
      <c r="E103" s="354" t="s">
        <v>479</v>
      </c>
      <c r="F103" s="438">
        <f>F83*(M101)</f>
        <v>0.14967828000000002</v>
      </c>
      <c r="G103" s="439"/>
      <c r="H103" s="439"/>
      <c r="I103" s="439"/>
      <c r="J103" s="430">
        <f t="shared" si="5"/>
        <v>0.14967828000000002</v>
      </c>
      <c r="K103" s="301" t="s">
        <v>304</v>
      </c>
      <c r="L103" s="302"/>
      <c r="M103" s="302"/>
      <c r="N103" s="303"/>
    </row>
    <row r="104" spans="2:14" s="297" customFormat="1" ht="34.35" customHeight="1">
      <c r="B104" s="840"/>
      <c r="C104" s="319" t="s">
        <v>372</v>
      </c>
      <c r="D104" s="330"/>
      <c r="E104" s="354" t="s">
        <v>479</v>
      </c>
      <c r="F104" s="438">
        <f>(F87*(1-$M95))+(F83*$M95)</f>
        <v>2.1130858799999999</v>
      </c>
      <c r="G104" s="439">
        <f>G87</f>
        <v>0</v>
      </c>
      <c r="H104" s="439">
        <f>H87</f>
        <v>3.7775999999999999E-3</v>
      </c>
      <c r="I104" s="439">
        <f>I87</f>
        <v>6.2960000000000007E-5</v>
      </c>
      <c r="J104" s="430">
        <f t="shared" si="5"/>
        <v>2.2355430799999998</v>
      </c>
      <c r="K104" s="298" t="s">
        <v>310</v>
      </c>
      <c r="L104" s="299"/>
      <c r="M104" s="304">
        <v>0.1</v>
      </c>
      <c r="N104" s="295"/>
    </row>
    <row r="105" spans="2:14" s="297" customFormat="1" ht="34.35" customHeight="1">
      <c r="B105" s="840"/>
      <c r="C105" s="293" t="s">
        <v>312</v>
      </c>
      <c r="D105" s="296"/>
      <c r="E105" s="354" t="s">
        <v>479</v>
      </c>
      <c r="F105" s="438">
        <f>F87*(1-M104)</f>
        <v>1.9634075999999998</v>
      </c>
      <c r="G105" s="439">
        <f>G104</f>
        <v>0</v>
      </c>
      <c r="H105" s="439">
        <f>H104</f>
        <v>3.7775999999999999E-3</v>
      </c>
      <c r="I105" s="439">
        <f>I104</f>
        <v>6.2960000000000007E-5</v>
      </c>
      <c r="J105" s="430">
        <f t="shared" si="5"/>
        <v>2.0858647999999995</v>
      </c>
      <c r="K105" s="289" t="s">
        <v>302</v>
      </c>
      <c r="L105" s="290"/>
      <c r="M105" s="290"/>
      <c r="N105" s="291"/>
    </row>
    <row r="106" spans="2:14" s="297" customFormat="1" ht="34.35" customHeight="1">
      <c r="B106" s="840"/>
      <c r="C106" s="305" t="s">
        <v>313</v>
      </c>
      <c r="D106" s="296"/>
      <c r="E106" s="354" t="s">
        <v>479</v>
      </c>
      <c r="F106" s="438">
        <f>F83*(M104)</f>
        <v>0.14967828000000002</v>
      </c>
      <c r="G106" s="439"/>
      <c r="H106" s="439"/>
      <c r="I106" s="439"/>
      <c r="J106" s="430">
        <f t="shared" si="5"/>
        <v>0.14967828000000002</v>
      </c>
      <c r="K106" s="301" t="s">
        <v>304</v>
      </c>
      <c r="L106" s="302"/>
      <c r="M106" s="302"/>
      <c r="N106" s="303"/>
    </row>
    <row r="107" spans="2:14" s="297" customFormat="1" ht="34.35" customHeight="1">
      <c r="B107" s="840"/>
      <c r="C107" s="319" t="s">
        <v>373</v>
      </c>
      <c r="D107" s="330"/>
      <c r="E107" s="354" t="s">
        <v>479</v>
      </c>
      <c r="F107" s="438">
        <f>(F88*(1-$M95))+(F83*$M95)</f>
        <v>2.1130858799999999</v>
      </c>
      <c r="G107" s="439">
        <f>G88</f>
        <v>0</v>
      </c>
      <c r="H107" s="439">
        <f>H88</f>
        <v>4.4072E-3</v>
      </c>
      <c r="I107" s="439">
        <f>I88</f>
        <v>1.2592000000000001E-5</v>
      </c>
      <c r="J107" s="430">
        <f t="shared" si="5"/>
        <v>2.2398243600000001</v>
      </c>
      <c r="K107" s="298" t="s">
        <v>310</v>
      </c>
      <c r="L107" s="299"/>
      <c r="M107" s="304">
        <v>0.1</v>
      </c>
      <c r="N107" s="295"/>
    </row>
    <row r="108" spans="2:14" s="297" customFormat="1" ht="34.35" customHeight="1">
      <c r="B108" s="840"/>
      <c r="C108" s="293" t="s">
        <v>312</v>
      </c>
      <c r="D108" s="296"/>
      <c r="E108" s="354" t="s">
        <v>479</v>
      </c>
      <c r="F108" s="438">
        <f>F88*(1-M107)</f>
        <v>1.9634075999999998</v>
      </c>
      <c r="G108" s="439">
        <f>G107</f>
        <v>0</v>
      </c>
      <c r="H108" s="439">
        <f>H107</f>
        <v>4.4072E-3</v>
      </c>
      <c r="I108" s="439">
        <f>I107</f>
        <v>1.2592000000000001E-5</v>
      </c>
      <c r="J108" s="430">
        <f t="shared" si="5"/>
        <v>2.0901460799999998</v>
      </c>
      <c r="K108" s="289" t="s">
        <v>302</v>
      </c>
      <c r="L108" s="290"/>
      <c r="M108" s="290"/>
      <c r="N108" s="291"/>
    </row>
    <row r="109" spans="2:14" s="297" customFormat="1" ht="34.35" customHeight="1">
      <c r="B109" s="840"/>
      <c r="C109" s="305" t="s">
        <v>313</v>
      </c>
      <c r="D109" s="296"/>
      <c r="E109" s="354" t="s">
        <v>479</v>
      </c>
      <c r="F109" s="438">
        <f>F83*(M107)</f>
        <v>0.14967828000000002</v>
      </c>
      <c r="G109" s="439"/>
      <c r="H109" s="439"/>
      <c r="I109" s="439"/>
      <c r="J109" s="430">
        <f t="shared" si="5"/>
        <v>0.14967828000000002</v>
      </c>
      <c r="K109" s="301" t="s">
        <v>304</v>
      </c>
      <c r="L109" s="302"/>
      <c r="M109" s="302"/>
      <c r="N109" s="303"/>
    </row>
    <row r="110" spans="2:14" s="297" customFormat="1" ht="34.35" customHeight="1">
      <c r="B110" s="840"/>
      <c r="C110" s="319" t="s">
        <v>374</v>
      </c>
      <c r="D110" s="330"/>
      <c r="E110" s="354" t="s">
        <v>479</v>
      </c>
      <c r="F110" s="438">
        <f>(F89*(1-$M95))+(F83*$M95)</f>
        <v>2.1130858799999999</v>
      </c>
      <c r="G110" s="439">
        <f>G89</f>
        <v>0</v>
      </c>
      <c r="H110" s="439">
        <f>H89</f>
        <v>5.3516000000000006E-3</v>
      </c>
      <c r="I110" s="439">
        <f>I89</f>
        <v>1.2592000000000001E-5</v>
      </c>
      <c r="J110" s="430">
        <f t="shared" si="5"/>
        <v>2.2662675599999997</v>
      </c>
      <c r="K110" s="298" t="s">
        <v>310</v>
      </c>
      <c r="L110" s="299"/>
      <c r="M110" s="304">
        <v>0.1</v>
      </c>
      <c r="N110" s="295"/>
    </row>
    <row r="111" spans="2:14" s="297" customFormat="1" ht="34.35" customHeight="1">
      <c r="B111" s="840"/>
      <c r="C111" s="293" t="s">
        <v>312</v>
      </c>
      <c r="D111" s="296"/>
      <c r="E111" s="354" t="s">
        <v>479</v>
      </c>
      <c r="F111" s="438">
        <f>F89*(1-M110)</f>
        <v>1.9634075999999998</v>
      </c>
      <c r="G111" s="439">
        <f>G110</f>
        <v>0</v>
      </c>
      <c r="H111" s="439">
        <f>H110</f>
        <v>5.3516000000000006E-3</v>
      </c>
      <c r="I111" s="439">
        <f>I110</f>
        <v>1.2592000000000001E-5</v>
      </c>
      <c r="J111" s="430">
        <f t="shared" si="5"/>
        <v>2.1165892799999999</v>
      </c>
      <c r="K111" s="289" t="s">
        <v>302</v>
      </c>
      <c r="L111" s="290"/>
      <c r="M111" s="290"/>
      <c r="N111" s="291"/>
    </row>
    <row r="112" spans="2:14" s="297" customFormat="1" ht="34.35" customHeight="1">
      <c r="B112" s="840"/>
      <c r="C112" s="305" t="s">
        <v>313</v>
      </c>
      <c r="D112" s="296"/>
      <c r="E112" s="354" t="s">
        <v>479</v>
      </c>
      <c r="F112" s="438">
        <f>F83*(M110)</f>
        <v>0.14967828000000002</v>
      </c>
      <c r="G112" s="439"/>
      <c r="H112" s="439"/>
      <c r="I112" s="439"/>
      <c r="J112" s="430">
        <f t="shared" si="5"/>
        <v>0.14967828000000002</v>
      </c>
      <c r="K112" s="301" t="s">
        <v>304</v>
      </c>
      <c r="L112" s="302"/>
      <c r="M112" s="302"/>
      <c r="N112" s="303"/>
    </row>
    <row r="113" spans="2:14" s="297" customFormat="1" ht="34.35" customHeight="1">
      <c r="B113" s="840"/>
      <c r="C113" s="319" t="s">
        <v>375</v>
      </c>
      <c r="D113" s="330"/>
      <c r="E113" s="354" t="s">
        <v>479</v>
      </c>
      <c r="F113" s="438">
        <f>(F90*(1-$M95))+(F83*$M95)</f>
        <v>2.1130858799999999</v>
      </c>
      <c r="G113" s="439">
        <f>G90</f>
        <v>0</v>
      </c>
      <c r="H113" s="439">
        <f>H90</f>
        <v>4.0924000000000004E-3</v>
      </c>
      <c r="I113" s="439">
        <f>I90</f>
        <v>1.2592000000000001E-5</v>
      </c>
      <c r="J113" s="430">
        <f t="shared" si="5"/>
        <v>2.2310099599999997</v>
      </c>
      <c r="K113" s="298" t="s">
        <v>310</v>
      </c>
      <c r="L113" s="299"/>
      <c r="M113" s="304">
        <v>0.1</v>
      </c>
      <c r="N113" s="295"/>
    </row>
    <row r="114" spans="2:14" s="297" customFormat="1" ht="34.35" customHeight="1">
      <c r="B114" s="840"/>
      <c r="C114" s="293" t="s">
        <v>312</v>
      </c>
      <c r="D114" s="296"/>
      <c r="E114" s="354" t="s">
        <v>479</v>
      </c>
      <c r="F114" s="438">
        <f>F90*(1-M113)</f>
        <v>1.9634075999999998</v>
      </c>
      <c r="G114" s="439">
        <f>G113</f>
        <v>0</v>
      </c>
      <c r="H114" s="439">
        <f>H113</f>
        <v>4.0924000000000004E-3</v>
      </c>
      <c r="I114" s="439">
        <f>I113</f>
        <v>1.2592000000000001E-5</v>
      </c>
      <c r="J114" s="430">
        <f t="shared" si="5"/>
        <v>2.0813316799999999</v>
      </c>
      <c r="K114" s="289" t="s">
        <v>302</v>
      </c>
      <c r="L114" s="290"/>
      <c r="M114" s="290"/>
      <c r="N114" s="291"/>
    </row>
    <row r="115" spans="2:14" s="297" customFormat="1" ht="34.35" customHeight="1">
      <c r="B115" s="840"/>
      <c r="C115" s="305" t="s">
        <v>313</v>
      </c>
      <c r="D115" s="296"/>
      <c r="E115" s="354" t="s">
        <v>479</v>
      </c>
      <c r="F115" s="438">
        <f>F83*(M113)</f>
        <v>0.14967828000000002</v>
      </c>
      <c r="G115" s="439"/>
      <c r="H115" s="439"/>
      <c r="I115" s="439"/>
      <c r="J115" s="430">
        <f t="shared" si="5"/>
        <v>0.14967828000000002</v>
      </c>
      <c r="K115" s="301" t="s">
        <v>304</v>
      </c>
      <c r="L115" s="302"/>
      <c r="M115" s="302"/>
      <c r="N115" s="303"/>
    </row>
    <row r="116" spans="2:14" s="297" customFormat="1" ht="34.35" customHeight="1">
      <c r="B116" s="840"/>
      <c r="C116" s="319" t="s">
        <v>376</v>
      </c>
      <c r="D116" s="330"/>
      <c r="E116" s="354" t="s">
        <v>479</v>
      </c>
      <c r="F116" s="438">
        <f>(F91*(1-$M95))+(F83*$M95)</f>
        <v>2.1130858799999999</v>
      </c>
      <c r="G116" s="439">
        <f>G91</f>
        <v>0</v>
      </c>
      <c r="H116" s="439">
        <f>H91</f>
        <v>5.6663999999999994E-3</v>
      </c>
      <c r="I116" s="439">
        <f>I91</f>
        <v>1.2592000000000001E-5</v>
      </c>
      <c r="J116" s="430">
        <f t="shared" si="5"/>
        <v>2.2750819599999996</v>
      </c>
      <c r="K116" s="298" t="s">
        <v>310</v>
      </c>
      <c r="L116" s="299"/>
      <c r="M116" s="304">
        <v>0.1</v>
      </c>
      <c r="N116" s="295"/>
    </row>
    <row r="117" spans="2:14" s="297" customFormat="1" ht="34.35" customHeight="1">
      <c r="B117" s="840"/>
      <c r="C117" s="293" t="s">
        <v>312</v>
      </c>
      <c r="D117" s="296"/>
      <c r="E117" s="354" t="s">
        <v>479</v>
      </c>
      <c r="F117" s="438">
        <f>F91*(1-M116)</f>
        <v>1.9634075999999998</v>
      </c>
      <c r="G117" s="439">
        <f>G116</f>
        <v>0</v>
      </c>
      <c r="H117" s="439">
        <f>H116</f>
        <v>5.6663999999999994E-3</v>
      </c>
      <c r="I117" s="439">
        <f>I116</f>
        <v>1.2592000000000001E-5</v>
      </c>
      <c r="J117" s="430">
        <f t="shared" si="5"/>
        <v>2.1254036799999998</v>
      </c>
      <c r="K117" s="289" t="s">
        <v>302</v>
      </c>
      <c r="L117" s="290"/>
      <c r="M117" s="290"/>
      <c r="N117" s="291"/>
    </row>
    <row r="118" spans="2:14" s="297" customFormat="1" ht="34.35" customHeight="1">
      <c r="B118" s="840"/>
      <c r="C118" s="305" t="s">
        <v>313</v>
      </c>
      <c r="D118" s="296"/>
      <c r="E118" s="354" t="s">
        <v>479</v>
      </c>
      <c r="F118" s="438">
        <f>F83*(M116)</f>
        <v>0.14967828000000002</v>
      </c>
      <c r="G118" s="439"/>
      <c r="H118" s="439"/>
      <c r="I118" s="439"/>
      <c r="J118" s="430">
        <f t="shared" si="5"/>
        <v>0.14967828000000002</v>
      </c>
      <c r="K118" s="301" t="s">
        <v>304</v>
      </c>
      <c r="L118" s="302"/>
      <c r="M118" s="302"/>
      <c r="N118" s="303"/>
    </row>
    <row r="119" spans="2:14">
      <c r="B119" s="840"/>
      <c r="C119" s="320" t="s">
        <v>377</v>
      </c>
      <c r="D119" s="311"/>
      <c r="E119" s="387"/>
      <c r="F119" s="321"/>
      <c r="G119" s="312"/>
      <c r="H119" s="312"/>
      <c r="I119" s="312"/>
      <c r="J119" s="395"/>
      <c r="K119" s="322"/>
      <c r="L119" s="323"/>
      <c r="M119" s="323"/>
      <c r="N119" s="324"/>
    </row>
    <row r="120" spans="2:14" s="297" customFormat="1" ht="25.35" customHeight="1">
      <c r="B120" s="840"/>
      <c r="C120" s="288" t="s">
        <v>378</v>
      </c>
      <c r="D120" s="296"/>
      <c r="E120" s="354" t="s">
        <v>61</v>
      </c>
      <c r="F120" s="438">
        <f>F201*$D$248/(10^6)</f>
        <v>2.1261899999999998</v>
      </c>
      <c r="G120" s="439">
        <f>G201*$D$248/(10^6)</f>
        <v>0</v>
      </c>
      <c r="H120" s="439">
        <f>H201*$D$248/(10^6)</f>
        <v>3.4867999999999995E-3</v>
      </c>
      <c r="I120" s="439">
        <f>I201*$D$248/(10^6)</f>
        <v>1.1369999999999999E-4</v>
      </c>
      <c r="J120" s="430">
        <f t="shared" ref="J120:J143" si="6">(F120*$C$8)+(G120*$D$8)+(H120*$E$8)+(I120*$F$8)</f>
        <v>2.2539508999999995</v>
      </c>
      <c r="K120" s="318" t="s">
        <v>379</v>
      </c>
      <c r="L120" s="290"/>
      <c r="M120" s="290"/>
      <c r="N120" s="291"/>
    </row>
    <row r="121" spans="2:14" s="297" customFormat="1" ht="25.35" customHeight="1">
      <c r="B121" s="840"/>
      <c r="C121" s="288" t="s">
        <v>286</v>
      </c>
      <c r="D121" s="296"/>
      <c r="E121" s="354" t="s">
        <v>479</v>
      </c>
      <c r="F121" s="438">
        <f>F202*$D$229*$D$253/(10^6)</f>
        <v>1.6797219999999999</v>
      </c>
      <c r="G121" s="439">
        <f>G202*$D$229*$D$253/(10^6)</f>
        <v>0</v>
      </c>
      <c r="H121" s="439">
        <f>H202*$D$229*$D$253/(10^6)</f>
        <v>1.65044E-3</v>
      </c>
      <c r="I121" s="439">
        <f>I202*$D$229*$D$253/(10^6)</f>
        <v>5.3240000000000019E-6</v>
      </c>
      <c r="J121" s="430">
        <f t="shared" si="6"/>
        <v>1.7273451799999999</v>
      </c>
      <c r="K121" s="318" t="s">
        <v>379</v>
      </c>
      <c r="L121" s="290"/>
      <c r="M121" s="290"/>
      <c r="N121" s="291"/>
    </row>
    <row r="122" spans="2:14" s="297" customFormat="1" ht="25.35" customHeight="1">
      <c r="B122" s="840"/>
      <c r="C122" s="288" t="s">
        <v>287</v>
      </c>
      <c r="D122" s="296"/>
      <c r="E122" s="354" t="s">
        <v>61</v>
      </c>
      <c r="F122" s="438">
        <f>F202*$D$229/(10^6)</f>
        <v>3.1105962962962961</v>
      </c>
      <c r="G122" s="439">
        <f>G202*$D$229/(10^6)</f>
        <v>0</v>
      </c>
      <c r="H122" s="439">
        <f>H202*$D$229/(10^6)</f>
        <v>3.0563703703703703E-3</v>
      </c>
      <c r="I122" s="439">
        <f>I202*$D$229/(10^6)</f>
        <v>9.8592592592592602E-6</v>
      </c>
      <c r="J122" s="430">
        <f t="shared" si="6"/>
        <v>3.1987873703703702</v>
      </c>
      <c r="K122" s="318" t="s">
        <v>379</v>
      </c>
      <c r="L122" s="290"/>
      <c r="M122" s="290"/>
      <c r="N122" s="291"/>
    </row>
    <row r="123" spans="2:14" s="297" customFormat="1" ht="25.35" customHeight="1">
      <c r="B123" s="840"/>
      <c r="C123" s="293" t="s">
        <v>380</v>
      </c>
      <c r="D123" s="296"/>
      <c r="E123" s="388" t="s">
        <v>479</v>
      </c>
      <c r="F123" s="438">
        <f>F203*$D$238/(10^6)</f>
        <v>2.6987220000000001</v>
      </c>
      <c r="G123" s="439">
        <f>G203*$D$238/(10^6)</f>
        <v>0</v>
      </c>
      <c r="H123" s="439">
        <f>H203*$D$238/(10^6)</f>
        <v>1.4203800000000001E-4</v>
      </c>
      <c r="I123" s="439">
        <f>I203*$D$238/(10^6)</f>
        <v>1.4203800000000001E-4</v>
      </c>
      <c r="J123" s="430">
        <f t="shared" si="6"/>
        <v>2.7403391340000001</v>
      </c>
      <c r="K123" s="318" t="s">
        <v>379</v>
      </c>
      <c r="L123" s="290"/>
      <c r="M123" s="290"/>
      <c r="N123" s="291"/>
    </row>
    <row r="124" spans="2:14" s="297" customFormat="1" ht="25.35" customHeight="1">
      <c r="B124" s="840"/>
      <c r="C124" s="325" t="s">
        <v>381</v>
      </c>
      <c r="D124" s="296"/>
      <c r="E124" s="388" t="s">
        <v>479</v>
      </c>
      <c r="F124" s="438">
        <f t="shared" ref="F124:I126" si="7">F204*$D$239/(10^6)</f>
        <v>2.1815639999999998</v>
      </c>
      <c r="G124" s="439">
        <f t="shared" si="7"/>
        <v>0</v>
      </c>
      <c r="H124" s="439">
        <f t="shared" si="7"/>
        <v>1.0388399999999999E-3</v>
      </c>
      <c r="I124" s="439">
        <f t="shared" si="7"/>
        <v>1.0073600000000001E-4</v>
      </c>
      <c r="J124" s="430">
        <f t="shared" si="6"/>
        <v>2.2373465599999998</v>
      </c>
      <c r="K124" s="318" t="s">
        <v>379</v>
      </c>
      <c r="L124" s="290"/>
      <c r="M124" s="290"/>
      <c r="N124" s="291"/>
    </row>
    <row r="125" spans="2:14" s="297" customFormat="1" ht="25.35" customHeight="1">
      <c r="B125" s="840"/>
      <c r="C125" s="325" t="s">
        <v>382</v>
      </c>
      <c r="D125" s="296"/>
      <c r="E125" s="388" t="s">
        <v>479</v>
      </c>
      <c r="F125" s="438">
        <f t="shared" si="7"/>
        <v>2.1815639999999998</v>
      </c>
      <c r="G125" s="439">
        <f t="shared" si="7"/>
        <v>0</v>
      </c>
      <c r="H125" s="439">
        <f t="shared" si="7"/>
        <v>7.8700000000000005E-4</v>
      </c>
      <c r="I125" s="439">
        <f t="shared" si="7"/>
        <v>2.5184000000000003E-4</v>
      </c>
      <c r="J125" s="430">
        <f t="shared" si="6"/>
        <v>2.2703376</v>
      </c>
      <c r="K125" s="318" t="s">
        <v>379</v>
      </c>
      <c r="L125" s="290"/>
      <c r="M125" s="290"/>
      <c r="N125" s="291"/>
    </row>
    <row r="126" spans="2:14" s="297" customFormat="1" ht="25.35" customHeight="1">
      <c r="B126" s="840"/>
      <c r="C126" s="326" t="s">
        <v>383</v>
      </c>
      <c r="D126" s="296"/>
      <c r="E126" s="388" t="s">
        <v>479</v>
      </c>
      <c r="F126" s="438">
        <f t="shared" si="7"/>
        <v>2.1815639999999998</v>
      </c>
      <c r="G126" s="439">
        <f t="shared" si="7"/>
        <v>0</v>
      </c>
      <c r="H126" s="439">
        <f t="shared" si="7"/>
        <v>1.1962399999999999E-4</v>
      </c>
      <c r="I126" s="439">
        <f t="shared" si="7"/>
        <v>1.7943599999999999E-4</v>
      </c>
      <c r="J126" s="430">
        <f t="shared" si="6"/>
        <v>2.2324640119999999</v>
      </c>
      <c r="K126" s="318" t="s">
        <v>379</v>
      </c>
      <c r="L126" s="290"/>
      <c r="M126" s="290"/>
      <c r="N126" s="291"/>
    </row>
    <row r="127" spans="2:14" s="297" customFormat="1" ht="25.35" customHeight="1">
      <c r="B127" s="840"/>
      <c r="C127" s="293" t="s">
        <v>298</v>
      </c>
      <c r="D127" s="296"/>
      <c r="E127" s="388" t="s">
        <v>479</v>
      </c>
      <c r="F127" s="438">
        <f>(F208*$D$250*$D$255)/(10^6)</f>
        <v>1.6439760000000001</v>
      </c>
      <c r="G127" s="439">
        <f>(G208*$D$250*$D$255)/(10^6)</f>
        <v>0</v>
      </c>
      <c r="H127" s="439">
        <f>(H208*$D$250*$D$255)/(10^6)</f>
        <v>9.0557999999999996E-5</v>
      </c>
      <c r="I127" s="439">
        <f>(I208*$D$250*$D$255)/(10^6)</f>
        <v>9.0557999999999996E-5</v>
      </c>
      <c r="J127" s="430">
        <f t="shared" si="6"/>
        <v>1.6705094940000003</v>
      </c>
      <c r="K127" s="318" t="s">
        <v>379</v>
      </c>
      <c r="L127" s="290"/>
      <c r="M127" s="290"/>
      <c r="N127" s="291"/>
    </row>
    <row r="128" spans="2:14" s="297" customFormat="1" ht="25.35" customHeight="1">
      <c r="B128" s="840"/>
      <c r="C128" s="288" t="s">
        <v>384</v>
      </c>
      <c r="D128" s="296"/>
      <c r="E128" s="388" t="s">
        <v>479</v>
      </c>
      <c r="F128" s="438">
        <f>F207*$D$251*$D$257/(10^6)</f>
        <v>1.4967828000000001</v>
      </c>
      <c r="G128" s="439">
        <f>G207*$D$251*$D$257/(10^6)</f>
        <v>0</v>
      </c>
      <c r="H128" s="439">
        <f>H207*$D$251*$D$257/(10^6)</f>
        <v>3.8053800000000004E-4</v>
      </c>
      <c r="I128" s="439">
        <f>I207*$D$251*$D$257/(10^6)</f>
        <v>0</v>
      </c>
      <c r="J128" s="430">
        <f t="shared" si="6"/>
        <v>1.5074378640000001</v>
      </c>
      <c r="K128" s="318" t="s">
        <v>379</v>
      </c>
      <c r="L128" s="290"/>
      <c r="M128" s="290"/>
      <c r="N128" s="291"/>
    </row>
    <row r="129" spans="2:15" s="297" customFormat="1" ht="26.85" customHeight="1">
      <c r="B129" s="840"/>
      <c r="C129" s="288" t="s">
        <v>385</v>
      </c>
      <c r="D129" s="296"/>
      <c r="E129" s="388" t="s">
        <v>479</v>
      </c>
      <c r="F129" s="440">
        <f>F123*(1-$M129)+F127*$M129</f>
        <v>2.6248897799999997</v>
      </c>
      <c r="G129" s="441">
        <f>G123*(1-$M129)+G127*$M129</f>
        <v>0</v>
      </c>
      <c r="H129" s="441">
        <f>H123*(1-$M129)+H127*$M129</f>
        <v>1.3843440000000002E-4</v>
      </c>
      <c r="I129" s="441">
        <f>I123*(1-$M129)+I127*$M129</f>
        <v>1.3843440000000002E-4</v>
      </c>
      <c r="J129" s="430">
        <f t="shared" si="6"/>
        <v>2.6654510592</v>
      </c>
      <c r="K129" s="327" t="s">
        <v>386</v>
      </c>
      <c r="L129" s="328"/>
      <c r="M129" s="300">
        <v>7.0000000000000007E-2</v>
      </c>
      <c r="N129" s="329" t="s">
        <v>387</v>
      </c>
    </row>
    <row r="130" spans="2:15" s="297" customFormat="1" ht="26.85" customHeight="1">
      <c r="B130" s="840"/>
      <c r="C130" s="288" t="s">
        <v>388</v>
      </c>
      <c r="D130" s="330"/>
      <c r="E130" s="388" t="s">
        <v>479</v>
      </c>
      <c r="F130" s="440">
        <f>F123*(1-M129)</f>
        <v>2.5098114599999999</v>
      </c>
      <c r="G130" s="441">
        <f>G129</f>
        <v>0</v>
      </c>
      <c r="H130" s="441">
        <f>H129</f>
        <v>1.3843440000000002E-4</v>
      </c>
      <c r="I130" s="441">
        <f>I129</f>
        <v>1.3843440000000002E-4</v>
      </c>
      <c r="J130" s="430">
        <f t="shared" si="6"/>
        <v>2.5503727392000002</v>
      </c>
      <c r="K130" s="331" t="s">
        <v>302</v>
      </c>
      <c r="L130" s="290"/>
      <c r="M130" s="290"/>
      <c r="N130" s="291"/>
    </row>
    <row r="131" spans="2:15" s="297" customFormat="1" ht="26.85" customHeight="1">
      <c r="B131" s="840"/>
      <c r="C131" s="288" t="s">
        <v>389</v>
      </c>
      <c r="D131" s="330"/>
      <c r="E131" s="388" t="s">
        <v>479</v>
      </c>
      <c r="F131" s="440">
        <f>F127*M129</f>
        <v>0.11507832000000001</v>
      </c>
      <c r="G131" s="441"/>
      <c r="H131" s="441"/>
      <c r="I131" s="441"/>
      <c r="J131" s="430">
        <f t="shared" si="6"/>
        <v>0.11507832000000001</v>
      </c>
      <c r="K131" s="332" t="s">
        <v>304</v>
      </c>
      <c r="L131" s="302"/>
      <c r="M131" s="302"/>
      <c r="N131" s="303"/>
    </row>
    <row r="132" spans="2:15" s="297" customFormat="1" ht="26.85" customHeight="1">
      <c r="B132" s="840"/>
      <c r="C132" s="288" t="s">
        <v>385</v>
      </c>
      <c r="D132" s="296"/>
      <c r="E132" s="388" t="s">
        <v>479</v>
      </c>
      <c r="F132" s="440">
        <f>F123*(1-$M132)+F127*$M132</f>
        <v>2.4877728000000001</v>
      </c>
      <c r="G132" s="441">
        <f>G123*(1-$M132)+G127*$M132</f>
        <v>0</v>
      </c>
      <c r="H132" s="441">
        <f>H123*(1-$M132)+H127*$M132</f>
        <v>1.3174200000000001E-4</v>
      </c>
      <c r="I132" s="441">
        <f>I123*(1-$M132)+I127*$M132</f>
        <v>1.3174200000000001E-4</v>
      </c>
      <c r="J132" s="430">
        <f t="shared" si="6"/>
        <v>2.5263732060000001</v>
      </c>
      <c r="K132" s="327" t="s">
        <v>386</v>
      </c>
      <c r="L132" s="328"/>
      <c r="M132" s="300">
        <v>0.2</v>
      </c>
      <c r="N132" s="329" t="s">
        <v>387</v>
      </c>
    </row>
    <row r="133" spans="2:15" s="297" customFormat="1" ht="26.85" customHeight="1">
      <c r="B133" s="840"/>
      <c r="C133" s="288" t="s">
        <v>390</v>
      </c>
      <c r="D133" s="330"/>
      <c r="E133" s="388" t="s">
        <v>479</v>
      </c>
      <c r="F133" s="440">
        <f>F123*(1-M132)</f>
        <v>2.1589776000000001</v>
      </c>
      <c r="G133" s="441">
        <f>G132</f>
        <v>0</v>
      </c>
      <c r="H133" s="441">
        <f>H132</f>
        <v>1.3174200000000001E-4</v>
      </c>
      <c r="I133" s="441">
        <f>I132</f>
        <v>1.3174200000000001E-4</v>
      </c>
      <c r="J133" s="430">
        <f t="shared" si="6"/>
        <v>2.1975780060000001</v>
      </c>
      <c r="K133" s="331" t="s">
        <v>302</v>
      </c>
      <c r="L133" s="290"/>
      <c r="M133" s="290"/>
      <c r="N133" s="291"/>
    </row>
    <row r="134" spans="2:15" s="297" customFormat="1" ht="26.85" customHeight="1">
      <c r="B134" s="840"/>
      <c r="C134" s="288" t="s">
        <v>391</v>
      </c>
      <c r="D134" s="330"/>
      <c r="E134" s="388" t="s">
        <v>479</v>
      </c>
      <c r="F134" s="440">
        <f>F127*M132</f>
        <v>0.32879520000000007</v>
      </c>
      <c r="G134" s="441"/>
      <c r="H134" s="441"/>
      <c r="I134" s="441"/>
      <c r="J134" s="430">
        <f t="shared" si="6"/>
        <v>0.32879520000000007</v>
      </c>
      <c r="K134" s="332" t="s">
        <v>304</v>
      </c>
      <c r="L134" s="302"/>
      <c r="M134" s="302"/>
      <c r="N134" s="303"/>
    </row>
    <row r="135" spans="2:15" s="297" customFormat="1" ht="26.85" customHeight="1">
      <c r="B135" s="840"/>
      <c r="C135" s="305" t="s">
        <v>383</v>
      </c>
      <c r="D135" s="330"/>
      <c r="E135" s="388" t="s">
        <v>479</v>
      </c>
      <c r="F135" s="440">
        <f>F126*(1-$M135)+F128*$M135</f>
        <v>2.1130858799999999</v>
      </c>
      <c r="G135" s="441">
        <f>G126*(1-$M135)+G128*$M135</f>
        <v>0</v>
      </c>
      <c r="H135" s="441">
        <f>H126*(1-$M135)+H128*$M135</f>
        <v>1.4571540000000001E-4</v>
      </c>
      <c r="I135" s="441">
        <f>I126*(1-$M135)+I128*$M135</f>
        <v>1.6149240000000001E-4</v>
      </c>
      <c r="J135" s="430">
        <f t="shared" si="6"/>
        <v>2.1599613972</v>
      </c>
      <c r="K135" s="327" t="s">
        <v>392</v>
      </c>
      <c r="L135" s="328"/>
      <c r="M135" s="304">
        <v>0.1</v>
      </c>
      <c r="N135" s="329" t="s">
        <v>393</v>
      </c>
    </row>
    <row r="136" spans="2:15" s="297" customFormat="1" ht="26.85" customHeight="1">
      <c r="B136" s="840"/>
      <c r="C136" s="305" t="s">
        <v>312</v>
      </c>
      <c r="D136" s="330"/>
      <c r="E136" s="388" t="s">
        <v>479</v>
      </c>
      <c r="F136" s="440">
        <f>F126*(1-M135)</f>
        <v>1.9634075999999998</v>
      </c>
      <c r="G136" s="441">
        <f>G135</f>
        <v>0</v>
      </c>
      <c r="H136" s="441">
        <f>H135</f>
        <v>1.4571540000000001E-4</v>
      </c>
      <c r="I136" s="441">
        <f>I135</f>
        <v>1.6149240000000001E-4</v>
      </c>
      <c r="J136" s="430">
        <f t="shared" si="6"/>
        <v>2.0102831171999997</v>
      </c>
      <c r="K136" s="331" t="s">
        <v>302</v>
      </c>
      <c r="L136" s="290"/>
      <c r="M136" s="290"/>
      <c r="N136" s="291"/>
    </row>
    <row r="137" spans="2:15" s="297" customFormat="1" ht="26.85" customHeight="1">
      <c r="B137" s="840"/>
      <c r="C137" s="305" t="s">
        <v>313</v>
      </c>
      <c r="D137" s="330"/>
      <c r="E137" s="388" t="s">
        <v>479</v>
      </c>
      <c r="F137" s="440">
        <f>F128*M135</f>
        <v>0.14967828000000002</v>
      </c>
      <c r="G137" s="441"/>
      <c r="H137" s="441"/>
      <c r="I137" s="441"/>
      <c r="J137" s="430">
        <f t="shared" si="6"/>
        <v>0.14967828000000002</v>
      </c>
      <c r="K137" s="332" t="s">
        <v>304</v>
      </c>
      <c r="L137" s="302"/>
      <c r="M137" s="302"/>
      <c r="N137" s="303"/>
    </row>
    <row r="138" spans="2:15" s="297" customFormat="1" ht="26.85" customHeight="1">
      <c r="B138" s="840"/>
      <c r="C138" s="305" t="s">
        <v>383</v>
      </c>
      <c r="D138" s="330"/>
      <c r="E138" s="388" t="s">
        <v>479</v>
      </c>
      <c r="F138" s="440">
        <f>F126*(1-$M138)+F128*$M138</f>
        <v>2.0446077599999999</v>
      </c>
      <c r="G138" s="441">
        <f>G126*(1-$M138)+G128*$M138</f>
        <v>0</v>
      </c>
      <c r="H138" s="441">
        <f>H126*(1-$M138)+H128*$M138</f>
        <v>1.7180679999999999E-4</v>
      </c>
      <c r="I138" s="441">
        <f>I126*(1-$M138)+I128*$M138</f>
        <v>1.4354879999999999E-4</v>
      </c>
      <c r="J138" s="430">
        <f t="shared" si="6"/>
        <v>2.0874587823999997</v>
      </c>
      <c r="K138" s="327" t="s">
        <v>392</v>
      </c>
      <c r="L138" s="328"/>
      <c r="M138" s="304">
        <v>0.2</v>
      </c>
      <c r="N138" s="329" t="s">
        <v>393</v>
      </c>
    </row>
    <row r="139" spans="2:15" s="297" customFormat="1" ht="26.85" customHeight="1">
      <c r="B139" s="840"/>
      <c r="C139" s="305" t="s">
        <v>317</v>
      </c>
      <c r="D139" s="330"/>
      <c r="E139" s="388" t="s">
        <v>479</v>
      </c>
      <c r="F139" s="440">
        <f>F126*(1-M138)</f>
        <v>1.7452512</v>
      </c>
      <c r="G139" s="441">
        <f>G138</f>
        <v>0</v>
      </c>
      <c r="H139" s="441">
        <f>H138</f>
        <v>1.7180679999999999E-4</v>
      </c>
      <c r="I139" s="441">
        <f>I138</f>
        <v>1.4354879999999999E-4</v>
      </c>
      <c r="J139" s="430">
        <f t="shared" si="6"/>
        <v>1.7881022224000001</v>
      </c>
      <c r="K139" s="331" t="s">
        <v>302</v>
      </c>
      <c r="L139" s="290"/>
      <c r="M139" s="290"/>
      <c r="N139" s="291"/>
    </row>
    <row r="140" spans="2:15" s="297" customFormat="1" ht="26.85" customHeight="1">
      <c r="B140" s="840"/>
      <c r="C140" s="305" t="s">
        <v>318</v>
      </c>
      <c r="D140" s="330"/>
      <c r="E140" s="388" t="s">
        <v>479</v>
      </c>
      <c r="F140" s="440">
        <f>F128*M138</f>
        <v>0.29935656000000005</v>
      </c>
      <c r="G140" s="441"/>
      <c r="H140" s="441"/>
      <c r="I140" s="441"/>
      <c r="J140" s="430">
        <f t="shared" si="6"/>
        <v>0.29935656000000005</v>
      </c>
      <c r="K140" s="332" t="s">
        <v>304</v>
      </c>
      <c r="L140" s="302"/>
      <c r="M140" s="302"/>
      <c r="N140" s="303"/>
    </row>
    <row r="141" spans="2:15" s="297" customFormat="1" ht="26.85" customHeight="1">
      <c r="B141" s="840"/>
      <c r="C141" s="305" t="s">
        <v>383</v>
      </c>
      <c r="D141" s="330"/>
      <c r="E141" s="388" t="s">
        <v>479</v>
      </c>
      <c r="F141" s="440">
        <f>F126*(1-$M141)+F128*$M141</f>
        <v>1.59949998</v>
      </c>
      <c r="G141" s="441">
        <f>G126*(1-$M141)+G128*$M141</f>
        <v>0</v>
      </c>
      <c r="H141" s="441">
        <f>H126*(1-$M141)+H128*$M141</f>
        <v>3.4140090000000004E-4</v>
      </c>
      <c r="I141" s="441">
        <f>I126*(1-$M141)+I128*$M141</f>
        <v>2.6915400000000003E-5</v>
      </c>
      <c r="J141" s="430">
        <f t="shared" si="6"/>
        <v>1.6161917862000001</v>
      </c>
      <c r="K141" s="327" t="s">
        <v>392</v>
      </c>
      <c r="L141" s="328"/>
      <c r="M141" s="304">
        <v>0.85</v>
      </c>
      <c r="N141" s="329" t="s">
        <v>393</v>
      </c>
    </row>
    <row r="142" spans="2:15" s="297" customFormat="1" ht="26.85" customHeight="1">
      <c r="B142" s="840"/>
      <c r="C142" s="305" t="s">
        <v>320</v>
      </c>
      <c r="D142" s="330"/>
      <c r="E142" s="388" t="s">
        <v>479</v>
      </c>
      <c r="F142" s="440">
        <f>F126*(1-M141)</f>
        <v>0.32723460000000004</v>
      </c>
      <c r="G142" s="441">
        <f>G141</f>
        <v>0</v>
      </c>
      <c r="H142" s="441">
        <f>H141</f>
        <v>3.4140090000000004E-4</v>
      </c>
      <c r="I142" s="441">
        <f>I141</f>
        <v>2.6915400000000003E-5</v>
      </c>
      <c r="J142" s="430">
        <f>(F142*$C$8)+(G142*$D$8)+(H142*$E$8)+(I142*$F$8)</f>
        <v>0.34392640620000009</v>
      </c>
      <c r="K142" s="331" t="s">
        <v>302</v>
      </c>
      <c r="L142" s="290"/>
      <c r="M142" s="290"/>
      <c r="N142" s="291"/>
    </row>
    <row r="143" spans="2:15" s="292" customFormat="1" ht="26.25" customHeight="1">
      <c r="B143" s="841"/>
      <c r="C143" s="305" t="s">
        <v>321</v>
      </c>
      <c r="D143" s="305"/>
      <c r="E143" s="388" t="s">
        <v>479</v>
      </c>
      <c r="F143" s="440">
        <f>F128*M141</f>
        <v>1.2722653800000001</v>
      </c>
      <c r="G143" s="441"/>
      <c r="H143" s="441"/>
      <c r="I143" s="441"/>
      <c r="J143" s="430">
        <f t="shared" si="6"/>
        <v>1.2722653800000001</v>
      </c>
      <c r="K143" s="332" t="s">
        <v>304</v>
      </c>
      <c r="L143" s="302"/>
      <c r="M143" s="302"/>
      <c r="N143" s="303"/>
      <c r="O143" s="333"/>
    </row>
    <row r="144" spans="2:15" ht="19.5" customHeight="1">
      <c r="B144" s="871" t="s">
        <v>515</v>
      </c>
      <c r="C144" s="320" t="s">
        <v>166</v>
      </c>
      <c r="D144" s="311"/>
      <c r="E144" s="387"/>
      <c r="F144" s="321"/>
      <c r="G144" s="312"/>
      <c r="H144" s="312"/>
      <c r="I144" s="312"/>
      <c r="J144" s="395"/>
      <c r="K144" s="808"/>
      <c r="L144" s="808"/>
      <c r="M144" s="808"/>
      <c r="N144" s="808"/>
      <c r="O144" s="333"/>
    </row>
    <row r="145" spans="2:15">
      <c r="B145" s="871"/>
      <c r="C145" s="867" t="s">
        <v>497</v>
      </c>
      <c r="D145" s="868"/>
      <c r="E145" s="401" t="s">
        <v>168</v>
      </c>
      <c r="F145" s="402" t="s">
        <v>176</v>
      </c>
      <c r="G145" s="402" t="s">
        <v>176</v>
      </c>
      <c r="H145" s="402" t="s">
        <v>176</v>
      </c>
      <c r="I145" s="402" t="s">
        <v>176</v>
      </c>
      <c r="J145" s="419">
        <v>0.49990000000000001</v>
      </c>
      <c r="K145" s="809" t="s">
        <v>169</v>
      </c>
      <c r="L145" s="809"/>
      <c r="M145" s="809"/>
      <c r="N145" s="809"/>
      <c r="O145" s="333"/>
    </row>
    <row r="146" spans="2:15" ht="20.100000000000001" customHeight="1">
      <c r="B146" s="871"/>
      <c r="C146" s="867" t="s">
        <v>501</v>
      </c>
      <c r="D146" s="868"/>
      <c r="E146" s="401" t="s">
        <v>168</v>
      </c>
      <c r="F146" s="402" t="s">
        <v>176</v>
      </c>
      <c r="G146" s="402" t="s">
        <v>176</v>
      </c>
      <c r="H146" s="402" t="s">
        <v>176</v>
      </c>
      <c r="I146" s="402" t="s">
        <v>176</v>
      </c>
      <c r="J146" s="419">
        <f>J147-J145</f>
        <v>9.870000000000001E-2</v>
      </c>
      <c r="K146" s="809" t="s">
        <v>169</v>
      </c>
      <c r="L146" s="809"/>
      <c r="M146" s="809"/>
      <c r="N146" s="809"/>
      <c r="O146" s="333"/>
    </row>
    <row r="147" spans="2:15" ht="20.100000000000001" customHeight="1">
      <c r="B147" s="871"/>
      <c r="C147" s="873" t="s">
        <v>502</v>
      </c>
      <c r="D147" s="868"/>
      <c r="E147" s="401" t="s">
        <v>168</v>
      </c>
      <c r="F147" s="402" t="s">
        <v>176</v>
      </c>
      <c r="G147" s="402" t="s">
        <v>176</v>
      </c>
      <c r="H147" s="402" t="s">
        <v>176</v>
      </c>
      <c r="I147" s="402" t="s">
        <v>176</v>
      </c>
      <c r="J147" s="419">
        <v>0.59860000000000002</v>
      </c>
      <c r="K147" s="809" t="s">
        <v>169</v>
      </c>
      <c r="L147" s="809"/>
      <c r="M147" s="809"/>
      <c r="N147" s="809"/>
      <c r="O147" s="333"/>
    </row>
    <row r="148" spans="2:15" ht="20.100000000000001" customHeight="1">
      <c r="B148" s="871"/>
      <c r="C148" s="867" t="s">
        <v>498</v>
      </c>
      <c r="D148" s="868"/>
      <c r="E148" s="401" t="s">
        <v>168</v>
      </c>
      <c r="F148" s="402" t="s">
        <v>176</v>
      </c>
      <c r="G148" s="402" t="s">
        <v>176</v>
      </c>
      <c r="H148" s="402" t="s">
        <v>176</v>
      </c>
      <c r="I148" s="402" t="s">
        <v>176</v>
      </c>
      <c r="J148" s="419">
        <v>0.47499999999999998</v>
      </c>
      <c r="K148" s="809" t="s">
        <v>503</v>
      </c>
      <c r="L148" s="809"/>
      <c r="M148" s="809"/>
      <c r="N148" s="809"/>
      <c r="O148" s="333"/>
    </row>
    <row r="149" spans="2:15" ht="20.100000000000001" customHeight="1">
      <c r="B149" s="871"/>
      <c r="C149" s="867" t="s">
        <v>500</v>
      </c>
      <c r="D149" s="868"/>
      <c r="E149" s="401" t="s">
        <v>168</v>
      </c>
      <c r="F149" s="402" t="s">
        <v>176</v>
      </c>
      <c r="G149" s="402" t="s">
        <v>176</v>
      </c>
      <c r="H149" s="402" t="s">
        <v>176</v>
      </c>
      <c r="I149" s="402" t="s">
        <v>176</v>
      </c>
      <c r="J149" s="419">
        <v>8.1199999999999994E-2</v>
      </c>
      <c r="K149" s="809" t="s">
        <v>503</v>
      </c>
      <c r="L149" s="809"/>
      <c r="M149" s="809"/>
      <c r="N149" s="809"/>
      <c r="O149" s="333"/>
    </row>
    <row r="150" spans="2:15">
      <c r="B150" s="872"/>
      <c r="C150" s="869" t="s">
        <v>499</v>
      </c>
      <c r="D150" s="870"/>
      <c r="E150" s="413" t="s">
        <v>168</v>
      </c>
      <c r="F150" s="414" t="s">
        <v>176</v>
      </c>
      <c r="G150" s="414" t="s">
        <v>176</v>
      </c>
      <c r="H150" s="414" t="s">
        <v>176</v>
      </c>
      <c r="I150" s="414" t="s">
        <v>176</v>
      </c>
      <c r="J150" s="420">
        <f>J148+J149</f>
        <v>0.55620000000000003</v>
      </c>
      <c r="K150" s="810" t="s">
        <v>503</v>
      </c>
      <c r="L150" s="810"/>
      <c r="M150" s="810"/>
      <c r="N150" s="810"/>
      <c r="O150" s="333"/>
    </row>
    <row r="151" spans="2:15" ht="30" customHeight="1">
      <c r="B151" s="799" t="s">
        <v>506</v>
      </c>
      <c r="C151" s="800"/>
      <c r="D151" s="801"/>
      <c r="E151" s="794"/>
      <c r="F151" s="795" t="s">
        <v>504</v>
      </c>
      <c r="G151" s="795"/>
      <c r="H151" s="795"/>
      <c r="I151" s="795"/>
      <c r="J151" s="811"/>
      <c r="K151" s="797" t="s">
        <v>437</v>
      </c>
      <c r="L151" s="797"/>
      <c r="M151" s="797"/>
      <c r="N151" s="797"/>
      <c r="O151" s="333"/>
    </row>
    <row r="152" spans="2:15" ht="21">
      <c r="B152" s="802"/>
      <c r="C152" s="803"/>
      <c r="D152" s="804"/>
      <c r="E152" s="794"/>
      <c r="F152" s="795"/>
      <c r="G152" s="795"/>
      <c r="H152" s="795"/>
      <c r="I152" s="796"/>
      <c r="J152" s="393" t="s">
        <v>52</v>
      </c>
      <c r="K152" s="798"/>
      <c r="L152" s="797"/>
      <c r="M152" s="797"/>
      <c r="N152" s="797"/>
      <c r="O152" s="333"/>
    </row>
    <row r="153" spans="2:15">
      <c r="B153" s="805"/>
      <c r="C153" s="806"/>
      <c r="D153" s="807"/>
      <c r="E153" s="794"/>
      <c r="F153" s="795"/>
      <c r="G153" s="795"/>
      <c r="H153" s="795"/>
      <c r="I153" s="796"/>
      <c r="J153" s="416" t="s">
        <v>505</v>
      </c>
      <c r="K153" s="798"/>
      <c r="L153" s="797"/>
      <c r="M153" s="797"/>
      <c r="N153" s="797"/>
      <c r="O153" s="333"/>
    </row>
    <row r="154" spans="2:15" ht="19.5" customHeight="1">
      <c r="B154" s="843" t="s">
        <v>488</v>
      </c>
      <c r="C154" s="415" t="s">
        <v>170</v>
      </c>
      <c r="D154" s="417"/>
      <c r="E154" s="417"/>
      <c r="F154" s="417"/>
      <c r="G154" s="417"/>
      <c r="H154" s="417"/>
      <c r="I154" s="417"/>
      <c r="J154" s="417"/>
      <c r="K154" s="417"/>
      <c r="L154" s="417"/>
      <c r="M154" s="417"/>
      <c r="N154" s="418"/>
      <c r="O154" s="333"/>
    </row>
    <row r="155" spans="2:15">
      <c r="B155" s="871"/>
      <c r="C155" s="865" t="s">
        <v>175</v>
      </c>
      <c r="D155" s="866"/>
      <c r="E155" s="401" t="s">
        <v>61</v>
      </c>
      <c r="F155" s="404"/>
      <c r="G155" s="405"/>
      <c r="H155" s="405"/>
      <c r="I155" s="406"/>
      <c r="J155" s="419">
        <v>1760</v>
      </c>
      <c r="K155" s="793" t="s">
        <v>174</v>
      </c>
      <c r="L155" s="793"/>
      <c r="M155" s="793"/>
      <c r="N155" s="793"/>
      <c r="O155" s="333"/>
    </row>
    <row r="156" spans="2:15" ht="21" customHeight="1">
      <c r="B156" s="871"/>
      <c r="C156" s="865" t="s">
        <v>171</v>
      </c>
      <c r="D156" s="866"/>
      <c r="E156" s="401" t="s">
        <v>61</v>
      </c>
      <c r="F156" s="407"/>
      <c r="G156" s="408"/>
      <c r="H156" s="408"/>
      <c r="I156" s="409"/>
      <c r="J156" s="419">
        <v>677</v>
      </c>
      <c r="K156" s="793" t="s">
        <v>174</v>
      </c>
      <c r="L156" s="793"/>
      <c r="M156" s="793"/>
      <c r="N156" s="793"/>
      <c r="O156" s="333"/>
    </row>
    <row r="157" spans="2:15" ht="21" customHeight="1">
      <c r="B157" s="871"/>
      <c r="C157" s="865" t="s">
        <v>194</v>
      </c>
      <c r="D157" s="866"/>
      <c r="E157" s="401" t="s">
        <v>61</v>
      </c>
      <c r="F157" s="407"/>
      <c r="G157" s="408"/>
      <c r="H157" s="408"/>
      <c r="I157" s="409"/>
      <c r="J157" s="419">
        <v>3170</v>
      </c>
      <c r="K157" s="793" t="s">
        <v>174</v>
      </c>
      <c r="L157" s="793"/>
      <c r="M157" s="793"/>
      <c r="N157" s="793"/>
      <c r="O157" s="333"/>
    </row>
    <row r="158" spans="2:15" ht="21" customHeight="1">
      <c r="B158" s="871"/>
      <c r="C158" s="865" t="s">
        <v>172</v>
      </c>
      <c r="D158" s="866"/>
      <c r="E158" s="401" t="s">
        <v>61</v>
      </c>
      <c r="F158" s="407"/>
      <c r="G158" s="408"/>
      <c r="H158" s="408"/>
      <c r="I158" s="409"/>
      <c r="J158" s="419">
        <v>1120</v>
      </c>
      <c r="K158" s="793" t="s">
        <v>174</v>
      </c>
      <c r="L158" s="793"/>
      <c r="M158" s="793"/>
      <c r="N158" s="793"/>
      <c r="O158" s="333"/>
    </row>
    <row r="159" spans="2:15">
      <c r="B159" s="871"/>
      <c r="C159" s="865" t="s">
        <v>173</v>
      </c>
      <c r="D159" s="866"/>
      <c r="E159" s="401" t="s">
        <v>61</v>
      </c>
      <c r="F159" s="407"/>
      <c r="G159" s="408"/>
      <c r="H159" s="408"/>
      <c r="I159" s="409"/>
      <c r="J159" s="419">
        <v>1300</v>
      </c>
      <c r="K159" s="793" t="s">
        <v>174</v>
      </c>
      <c r="L159" s="793"/>
      <c r="M159" s="793"/>
      <c r="N159" s="793"/>
      <c r="O159" s="333"/>
    </row>
    <row r="160" spans="2:15">
      <c r="B160" s="871"/>
      <c r="C160" s="865" t="s">
        <v>195</v>
      </c>
      <c r="D160" s="866"/>
      <c r="E160" s="401" t="s">
        <v>61</v>
      </c>
      <c r="F160" s="407"/>
      <c r="G160" s="408"/>
      <c r="H160" s="408"/>
      <c r="I160" s="409"/>
      <c r="J160" s="419">
        <v>328</v>
      </c>
      <c r="K160" s="793" t="s">
        <v>174</v>
      </c>
      <c r="L160" s="793"/>
      <c r="M160" s="793"/>
      <c r="N160" s="793"/>
      <c r="O160" s="333"/>
    </row>
    <row r="161" spans="2:15">
      <c r="B161" s="871"/>
      <c r="C161" s="865" t="s">
        <v>196</v>
      </c>
      <c r="D161" s="866"/>
      <c r="E161" s="401" t="s">
        <v>61</v>
      </c>
      <c r="F161" s="407"/>
      <c r="G161" s="408"/>
      <c r="H161" s="408"/>
      <c r="I161" s="409"/>
      <c r="J161" s="419">
        <v>4800</v>
      </c>
      <c r="K161" s="793" t="s">
        <v>174</v>
      </c>
      <c r="L161" s="793"/>
      <c r="M161" s="793"/>
      <c r="N161" s="793"/>
      <c r="O161" s="333"/>
    </row>
    <row r="162" spans="2:15">
      <c r="B162" s="871"/>
      <c r="C162" s="865" t="s">
        <v>489</v>
      </c>
      <c r="D162" s="866"/>
      <c r="E162" s="401" t="s">
        <v>61</v>
      </c>
      <c r="F162" s="407"/>
      <c r="G162" s="408"/>
      <c r="H162" s="408"/>
      <c r="I162" s="409"/>
      <c r="J162" s="421">
        <f>J157*0.44+J161*0.52+J159*0.04</f>
        <v>3942.8</v>
      </c>
      <c r="K162" s="793" t="s">
        <v>493</v>
      </c>
      <c r="L162" s="793"/>
      <c r="M162" s="793"/>
      <c r="N162" s="793"/>
      <c r="O162" s="338"/>
    </row>
    <row r="163" spans="2:15">
      <c r="B163" s="871"/>
      <c r="C163" s="865" t="s">
        <v>490</v>
      </c>
      <c r="D163" s="866"/>
      <c r="E163" s="401" t="s">
        <v>61</v>
      </c>
      <c r="F163" s="407"/>
      <c r="G163" s="408"/>
      <c r="H163" s="408"/>
      <c r="I163" s="409"/>
      <c r="J163" s="421">
        <f>J156*0.2+J159*0.4+J157*0.4</f>
        <v>1923.4</v>
      </c>
      <c r="K163" s="793" t="s">
        <v>494</v>
      </c>
      <c r="L163" s="793"/>
      <c r="M163" s="793"/>
      <c r="N163" s="793"/>
      <c r="O163" s="338"/>
    </row>
    <row r="164" spans="2:15">
      <c r="B164" s="871"/>
      <c r="C164" s="865" t="s">
        <v>491</v>
      </c>
      <c r="D164" s="866"/>
      <c r="E164" s="401" t="s">
        <v>61</v>
      </c>
      <c r="F164" s="407"/>
      <c r="G164" s="408"/>
      <c r="H164" s="408"/>
      <c r="I164" s="409"/>
      <c r="J164" s="421">
        <f>J156*0.23+J157*0.25+J159*0.52</f>
        <v>1624.21</v>
      </c>
      <c r="K164" s="793" t="s">
        <v>495</v>
      </c>
      <c r="L164" s="793"/>
      <c r="M164" s="793"/>
      <c r="N164" s="793"/>
      <c r="O164" s="338"/>
    </row>
    <row r="165" spans="2:15">
      <c r="B165" s="871"/>
      <c r="C165" s="865" t="s">
        <v>492</v>
      </c>
      <c r="D165" s="866"/>
      <c r="E165" s="401" t="s">
        <v>61</v>
      </c>
      <c r="F165" s="410"/>
      <c r="G165" s="411"/>
      <c r="H165" s="411"/>
      <c r="I165" s="412"/>
      <c r="J165" s="421">
        <f>J156*0.5+J157*0.5</f>
        <v>1923.5</v>
      </c>
      <c r="K165" s="793" t="s">
        <v>496</v>
      </c>
      <c r="L165" s="793"/>
      <c r="M165" s="793"/>
      <c r="N165" s="793"/>
      <c r="O165" s="338"/>
    </row>
    <row r="166" spans="2:15">
      <c r="B166" s="334"/>
      <c r="C166" s="335"/>
      <c r="D166" s="335"/>
      <c r="E166" s="336"/>
      <c r="F166" s="285"/>
      <c r="G166" s="286"/>
      <c r="H166" s="286"/>
      <c r="I166" s="286"/>
      <c r="J166" s="396"/>
      <c r="K166" s="336"/>
      <c r="L166" s="336"/>
      <c r="M166" s="337"/>
      <c r="N166" s="338"/>
      <c r="O166" s="338"/>
    </row>
    <row r="167" spans="2:15">
      <c r="B167" s="334"/>
      <c r="C167" s="335"/>
      <c r="D167" s="335"/>
      <c r="E167" s="336"/>
      <c r="F167" s="285"/>
      <c r="G167" s="286"/>
      <c r="H167" s="286"/>
      <c r="I167" s="286"/>
      <c r="J167" s="396"/>
      <c r="K167" s="336"/>
      <c r="L167" s="336"/>
      <c r="M167" s="337"/>
      <c r="N167" s="338"/>
      <c r="O167" s="338"/>
    </row>
    <row r="168" spans="2:15">
      <c r="B168" s="334"/>
      <c r="C168" s="335"/>
      <c r="D168" s="335"/>
      <c r="E168" s="336"/>
      <c r="F168" s="285"/>
      <c r="G168" s="286"/>
      <c r="H168" s="286"/>
      <c r="I168" s="286"/>
      <c r="J168" s="396"/>
      <c r="K168" s="336"/>
      <c r="L168" s="336"/>
      <c r="M168" s="337"/>
      <c r="N168" s="338"/>
      <c r="O168" s="338"/>
    </row>
    <row r="169" spans="2:15">
      <c r="B169" s="334"/>
      <c r="C169" s="335"/>
      <c r="D169" s="335"/>
      <c r="E169" s="336"/>
      <c r="F169" s="285"/>
      <c r="G169" s="286"/>
      <c r="H169" s="286"/>
      <c r="I169" s="286"/>
      <c r="J169" s="396"/>
      <c r="K169" s="336"/>
      <c r="L169" s="336"/>
      <c r="M169" s="337"/>
      <c r="N169" s="338"/>
      <c r="O169" s="338"/>
    </row>
    <row r="170" spans="2:15">
      <c r="B170" s="334"/>
      <c r="C170" s="335"/>
      <c r="D170" s="335"/>
      <c r="E170" s="336"/>
      <c r="F170" s="285"/>
      <c r="G170" s="286"/>
      <c r="H170" s="286"/>
      <c r="I170" s="286"/>
      <c r="J170" s="396"/>
      <c r="K170" s="336"/>
      <c r="L170" s="336"/>
      <c r="M170" s="337"/>
      <c r="N170" s="338"/>
      <c r="O170" s="338"/>
    </row>
    <row r="171" spans="2:15">
      <c r="B171" s="334"/>
      <c r="C171" s="335"/>
      <c r="D171" s="335"/>
      <c r="E171" s="336"/>
      <c r="F171" s="285"/>
      <c r="G171" s="286"/>
      <c r="H171" s="286"/>
      <c r="I171" s="286"/>
      <c r="J171" s="396"/>
      <c r="K171" s="336"/>
      <c r="L171" s="336"/>
      <c r="M171" s="337"/>
      <c r="N171" s="338"/>
      <c r="O171" s="338"/>
    </row>
    <row r="172" spans="2:15">
      <c r="B172" s="334"/>
      <c r="C172" s="335"/>
      <c r="D172" s="335"/>
      <c r="E172" s="336"/>
      <c r="F172" s="285"/>
      <c r="G172" s="286"/>
      <c r="H172" s="286"/>
      <c r="I172" s="286"/>
      <c r="J172" s="396"/>
      <c r="K172" s="336"/>
      <c r="L172" s="336"/>
      <c r="M172" s="337"/>
      <c r="N172" s="338"/>
      <c r="O172" s="338"/>
    </row>
    <row r="173" spans="2:15">
      <c r="B173" s="334"/>
      <c r="C173" s="335"/>
      <c r="D173" s="335"/>
      <c r="E173" s="336"/>
      <c r="F173" s="285"/>
      <c r="G173" s="286"/>
      <c r="H173" s="286"/>
      <c r="I173" s="286"/>
      <c r="J173" s="396"/>
      <c r="K173" s="336"/>
      <c r="L173" s="336"/>
      <c r="M173" s="337"/>
      <c r="N173" s="338"/>
      <c r="O173" s="338"/>
    </row>
    <row r="174" spans="2:15" s="341" customFormat="1">
      <c r="B174" s="339" t="s">
        <v>394</v>
      </c>
      <c r="C174" s="340"/>
      <c r="E174" s="351"/>
      <c r="F174" s="276"/>
      <c r="G174" s="342"/>
      <c r="H174" s="276"/>
      <c r="I174" s="276"/>
      <c r="J174" s="391"/>
    </row>
    <row r="175" spans="2:15" s="341" customFormat="1" ht="22.5" customHeight="1">
      <c r="B175" s="852" t="s">
        <v>277</v>
      </c>
      <c r="C175" s="853"/>
      <c r="D175" s="853"/>
      <c r="E175" s="854"/>
      <c r="F175" s="820" t="s">
        <v>278</v>
      </c>
      <c r="G175" s="821"/>
      <c r="H175" s="821"/>
      <c r="I175" s="821"/>
      <c r="J175" s="822"/>
      <c r="K175" s="861" t="s">
        <v>279</v>
      </c>
      <c r="L175" s="861"/>
      <c r="M175" s="861"/>
      <c r="N175" s="861"/>
    </row>
    <row r="176" spans="2:15" s="341" customFormat="1" ht="24">
      <c r="B176" s="855"/>
      <c r="C176" s="856"/>
      <c r="D176" s="856"/>
      <c r="E176" s="857"/>
      <c r="F176" s="383" t="s">
        <v>480</v>
      </c>
      <c r="G176" s="384" t="s">
        <v>481</v>
      </c>
      <c r="H176" s="383" t="s">
        <v>482</v>
      </c>
      <c r="I176" s="385" t="s">
        <v>483</v>
      </c>
      <c r="J176" s="397" t="s">
        <v>52</v>
      </c>
      <c r="K176" s="861"/>
      <c r="L176" s="861"/>
      <c r="M176" s="861"/>
      <c r="N176" s="861"/>
    </row>
    <row r="177" spans="2:14" s="341" customFormat="1" ht="24">
      <c r="B177" s="858"/>
      <c r="C177" s="859"/>
      <c r="D177" s="859"/>
      <c r="E177" s="860"/>
      <c r="F177" s="371" t="s">
        <v>484</v>
      </c>
      <c r="G177" s="371" t="s">
        <v>484</v>
      </c>
      <c r="H177" s="371" t="s">
        <v>485</v>
      </c>
      <c r="I177" s="371" t="s">
        <v>486</v>
      </c>
      <c r="J177" s="398" t="s">
        <v>487</v>
      </c>
      <c r="K177" s="861"/>
      <c r="L177" s="861"/>
      <c r="M177" s="861"/>
      <c r="N177" s="861"/>
    </row>
    <row r="178" spans="2:14" s="341" customFormat="1" ht="22.5" customHeight="1">
      <c r="B178" s="862" t="s">
        <v>395</v>
      </c>
      <c r="C178" s="365" t="s">
        <v>396</v>
      </c>
      <c r="D178" s="344"/>
      <c r="E178" s="363"/>
      <c r="F178" s="427">
        <v>56100</v>
      </c>
      <c r="G178" s="428"/>
      <c r="H178" s="428">
        <v>1</v>
      </c>
      <c r="I178" s="429">
        <v>0.1</v>
      </c>
      <c r="J178" s="430">
        <f t="shared" ref="J178:J199" si="8">(F178*$C$8)+(G178*$D$8)+(H178*$E$8)+(I178*$F$8)</f>
        <v>56154.5</v>
      </c>
      <c r="K178" s="812" t="s">
        <v>397</v>
      </c>
      <c r="L178" s="812"/>
      <c r="M178" s="812"/>
      <c r="N178" s="812"/>
    </row>
    <row r="179" spans="2:14" s="341" customFormat="1" ht="22.5" customHeight="1">
      <c r="B179" s="863"/>
      <c r="C179" s="325" t="s">
        <v>398</v>
      </c>
      <c r="D179" s="325"/>
      <c r="E179" s="364"/>
      <c r="F179" s="431">
        <v>56100</v>
      </c>
      <c r="G179" s="431"/>
      <c r="H179" s="431">
        <v>1</v>
      </c>
      <c r="I179" s="431">
        <v>0.1</v>
      </c>
      <c r="J179" s="430">
        <f t="shared" si="8"/>
        <v>56154.5</v>
      </c>
      <c r="K179" s="812" t="s">
        <v>397</v>
      </c>
      <c r="L179" s="812"/>
      <c r="M179" s="812"/>
      <c r="N179" s="812"/>
    </row>
    <row r="180" spans="2:14" s="341" customFormat="1" ht="22.5" customHeight="1">
      <c r="B180" s="863"/>
      <c r="C180" s="325" t="s">
        <v>67</v>
      </c>
      <c r="D180" s="325"/>
      <c r="E180" s="364"/>
      <c r="F180" s="431">
        <v>63100</v>
      </c>
      <c r="G180" s="431"/>
      <c r="H180" s="431">
        <v>1</v>
      </c>
      <c r="I180" s="431">
        <v>0.1</v>
      </c>
      <c r="J180" s="430">
        <f t="shared" si="8"/>
        <v>63154.5</v>
      </c>
      <c r="K180" s="812" t="s">
        <v>397</v>
      </c>
      <c r="L180" s="812"/>
      <c r="M180" s="812"/>
      <c r="N180" s="812"/>
    </row>
    <row r="181" spans="2:14" s="341" customFormat="1" ht="22.5" customHeight="1">
      <c r="B181" s="863"/>
      <c r="C181" s="288" t="s">
        <v>399</v>
      </c>
      <c r="D181" s="325"/>
      <c r="E181" s="364"/>
      <c r="F181" s="431">
        <v>77400</v>
      </c>
      <c r="G181" s="432"/>
      <c r="H181" s="432">
        <v>3</v>
      </c>
      <c r="I181" s="432">
        <v>0.6</v>
      </c>
      <c r="J181" s="430">
        <f t="shared" si="8"/>
        <v>77643</v>
      </c>
      <c r="K181" s="812" t="s">
        <v>397</v>
      </c>
      <c r="L181" s="812"/>
      <c r="M181" s="812"/>
      <c r="N181" s="812"/>
    </row>
    <row r="182" spans="2:14" s="341" customFormat="1" ht="22.5" customHeight="1">
      <c r="B182" s="863"/>
      <c r="C182" s="288" t="s">
        <v>66</v>
      </c>
      <c r="D182" s="325"/>
      <c r="E182" s="364"/>
      <c r="F182" s="431">
        <v>71500</v>
      </c>
      <c r="G182" s="432"/>
      <c r="H182" s="432">
        <v>3</v>
      </c>
      <c r="I182" s="432">
        <v>0.6</v>
      </c>
      <c r="J182" s="430">
        <f t="shared" si="8"/>
        <v>71743</v>
      </c>
      <c r="K182" s="812" t="s">
        <v>397</v>
      </c>
      <c r="L182" s="812"/>
      <c r="M182" s="812"/>
      <c r="N182" s="812"/>
    </row>
    <row r="183" spans="2:14" s="341" customFormat="1" ht="22.5" customHeight="1">
      <c r="B183" s="863"/>
      <c r="C183" s="288" t="s">
        <v>507</v>
      </c>
      <c r="D183" s="325"/>
      <c r="E183" s="364"/>
      <c r="F183" s="431">
        <v>71900</v>
      </c>
      <c r="G183" s="432"/>
      <c r="H183" s="432">
        <v>3</v>
      </c>
      <c r="I183" s="432">
        <v>0.6</v>
      </c>
      <c r="J183" s="430">
        <f t="shared" si="8"/>
        <v>72143</v>
      </c>
      <c r="K183" s="812" t="s">
        <v>397</v>
      </c>
      <c r="L183" s="812"/>
      <c r="M183" s="812"/>
      <c r="N183" s="812"/>
    </row>
    <row r="184" spans="2:14" s="341" customFormat="1" ht="22.5" customHeight="1">
      <c r="B184" s="863"/>
      <c r="C184" s="365" t="s">
        <v>78</v>
      </c>
      <c r="D184" s="344"/>
      <c r="E184" s="363"/>
      <c r="F184" s="427">
        <v>74100</v>
      </c>
      <c r="G184" s="432"/>
      <c r="H184" s="432">
        <v>3</v>
      </c>
      <c r="I184" s="429">
        <v>0.6</v>
      </c>
      <c r="J184" s="430">
        <f t="shared" si="8"/>
        <v>74343</v>
      </c>
      <c r="K184" s="812" t="s">
        <v>397</v>
      </c>
      <c r="L184" s="812"/>
      <c r="M184" s="812"/>
      <c r="N184" s="812"/>
    </row>
    <row r="185" spans="2:14" s="341" customFormat="1" ht="22.5" customHeight="1">
      <c r="B185" s="863"/>
      <c r="C185" s="365" t="s">
        <v>401</v>
      </c>
      <c r="D185" s="344"/>
      <c r="E185" s="363"/>
      <c r="F185" s="427">
        <v>70800</v>
      </c>
      <c r="G185" s="428"/>
      <c r="H185" s="432">
        <v>3</v>
      </c>
      <c r="I185" s="429">
        <v>0.6</v>
      </c>
      <c r="J185" s="430">
        <f t="shared" si="8"/>
        <v>71043</v>
      </c>
      <c r="K185" s="812" t="s">
        <v>397</v>
      </c>
      <c r="L185" s="812"/>
      <c r="M185" s="812"/>
      <c r="N185" s="812"/>
    </row>
    <row r="186" spans="2:14" s="341" customFormat="1">
      <c r="B186" s="863"/>
      <c r="C186" s="365" t="s">
        <v>402</v>
      </c>
      <c r="D186" s="344"/>
      <c r="E186" s="363"/>
      <c r="F186" s="427">
        <v>69300</v>
      </c>
      <c r="G186" s="431"/>
      <c r="H186" s="431">
        <v>3</v>
      </c>
      <c r="I186" s="427">
        <v>0.6</v>
      </c>
      <c r="J186" s="430">
        <f t="shared" si="8"/>
        <v>69543</v>
      </c>
      <c r="K186" s="812" t="s">
        <v>397</v>
      </c>
      <c r="L186" s="812"/>
      <c r="M186" s="812"/>
      <c r="N186" s="812"/>
    </row>
    <row r="187" spans="2:14" s="341" customFormat="1">
      <c r="B187" s="863"/>
      <c r="C187" s="365" t="s">
        <v>403</v>
      </c>
      <c r="D187" s="344"/>
      <c r="E187" s="363"/>
      <c r="F187" s="427">
        <v>70800</v>
      </c>
      <c r="G187" s="428"/>
      <c r="H187" s="432">
        <v>3</v>
      </c>
      <c r="I187" s="429">
        <v>0.6</v>
      </c>
      <c r="J187" s="430">
        <f t="shared" si="8"/>
        <v>71043</v>
      </c>
      <c r="K187" s="812" t="s">
        <v>397</v>
      </c>
      <c r="L187" s="812"/>
      <c r="M187" s="812"/>
      <c r="N187" s="812"/>
    </row>
    <row r="188" spans="2:14" s="341" customFormat="1" ht="22.5" customHeight="1">
      <c r="B188" s="863"/>
      <c r="C188" s="288" t="s">
        <v>60</v>
      </c>
      <c r="D188" s="325"/>
      <c r="E188" s="364"/>
      <c r="F188" s="431">
        <v>101000</v>
      </c>
      <c r="G188" s="432"/>
      <c r="H188" s="432">
        <v>10</v>
      </c>
      <c r="I188" s="432">
        <v>1.5</v>
      </c>
      <c r="J188" s="430">
        <f t="shared" si="8"/>
        <v>101677.5</v>
      </c>
      <c r="K188" s="812" t="s">
        <v>397</v>
      </c>
      <c r="L188" s="812"/>
      <c r="M188" s="812"/>
      <c r="N188" s="812"/>
    </row>
    <row r="189" spans="2:14" s="341" customFormat="1" ht="22.5" customHeight="1">
      <c r="B189" s="863"/>
      <c r="C189" s="288" t="s">
        <v>404</v>
      </c>
      <c r="D189" s="325"/>
      <c r="E189" s="364"/>
      <c r="F189" s="431">
        <v>98300</v>
      </c>
      <c r="G189" s="432"/>
      <c r="H189" s="432">
        <v>10</v>
      </c>
      <c r="I189" s="432">
        <v>1.5</v>
      </c>
      <c r="J189" s="430">
        <f t="shared" si="8"/>
        <v>98977.5</v>
      </c>
      <c r="K189" s="812" t="s">
        <v>397</v>
      </c>
      <c r="L189" s="812"/>
      <c r="M189" s="812"/>
      <c r="N189" s="812"/>
    </row>
    <row r="190" spans="2:14" s="341" customFormat="1" ht="22.5" customHeight="1">
      <c r="B190" s="863"/>
      <c r="C190" s="288" t="s">
        <v>405</v>
      </c>
      <c r="D190" s="325"/>
      <c r="E190" s="364"/>
      <c r="F190" s="431">
        <v>94600</v>
      </c>
      <c r="G190" s="432"/>
      <c r="H190" s="432">
        <v>10</v>
      </c>
      <c r="I190" s="432">
        <v>1.5</v>
      </c>
      <c r="J190" s="430">
        <f t="shared" si="8"/>
        <v>95277.5</v>
      </c>
      <c r="K190" s="812" t="s">
        <v>397</v>
      </c>
      <c r="L190" s="812"/>
      <c r="M190" s="812"/>
      <c r="N190" s="812"/>
    </row>
    <row r="191" spans="2:14" s="341" customFormat="1" ht="22.5" customHeight="1">
      <c r="B191" s="863"/>
      <c r="C191" s="288" t="s">
        <v>406</v>
      </c>
      <c r="D191" s="325"/>
      <c r="E191" s="364"/>
      <c r="F191" s="431">
        <v>94600</v>
      </c>
      <c r="G191" s="432"/>
      <c r="H191" s="432">
        <v>10</v>
      </c>
      <c r="I191" s="432">
        <v>1.5</v>
      </c>
      <c r="J191" s="430">
        <f t="shared" si="8"/>
        <v>95277.5</v>
      </c>
      <c r="K191" s="812" t="s">
        <v>397</v>
      </c>
      <c r="L191" s="812"/>
      <c r="M191" s="812"/>
      <c r="N191" s="812"/>
    </row>
    <row r="192" spans="2:14" s="341" customFormat="1">
      <c r="B192" s="863"/>
      <c r="C192" s="325" t="s">
        <v>407</v>
      </c>
      <c r="D192" s="325"/>
      <c r="E192" s="364"/>
      <c r="F192" s="427">
        <v>112000</v>
      </c>
      <c r="G192" s="427"/>
      <c r="H192" s="432">
        <v>30</v>
      </c>
      <c r="I192" s="432">
        <v>4</v>
      </c>
      <c r="J192" s="430">
        <f t="shared" si="8"/>
        <v>113900</v>
      </c>
      <c r="K192" s="812" t="s">
        <v>397</v>
      </c>
      <c r="L192" s="812"/>
      <c r="M192" s="812"/>
      <c r="N192" s="812"/>
    </row>
    <row r="193" spans="2:14" s="341" customFormat="1">
      <c r="B193" s="863"/>
      <c r="C193" s="325" t="s">
        <v>408</v>
      </c>
      <c r="D193" s="325"/>
      <c r="E193" s="364"/>
      <c r="F193" s="427">
        <v>112000</v>
      </c>
      <c r="G193" s="427"/>
      <c r="H193" s="432">
        <v>30</v>
      </c>
      <c r="I193" s="432">
        <v>4</v>
      </c>
      <c r="J193" s="430">
        <f t="shared" si="8"/>
        <v>113900</v>
      </c>
      <c r="K193" s="812" t="s">
        <v>397</v>
      </c>
      <c r="L193" s="812"/>
      <c r="M193" s="812"/>
      <c r="N193" s="812"/>
    </row>
    <row r="194" spans="2:14" s="341" customFormat="1">
      <c r="B194" s="863"/>
      <c r="C194" s="325" t="s">
        <v>409</v>
      </c>
      <c r="D194" s="325"/>
      <c r="E194" s="364"/>
      <c r="F194" s="427">
        <v>112000</v>
      </c>
      <c r="G194" s="427"/>
      <c r="H194" s="432">
        <v>30</v>
      </c>
      <c r="I194" s="432">
        <v>4</v>
      </c>
      <c r="J194" s="430">
        <f t="shared" si="8"/>
        <v>113900</v>
      </c>
      <c r="K194" s="812" t="s">
        <v>397</v>
      </c>
      <c r="L194" s="812"/>
      <c r="M194" s="812"/>
      <c r="N194" s="812"/>
    </row>
    <row r="195" spans="2:14" s="341" customFormat="1">
      <c r="B195" s="863"/>
      <c r="C195" s="325" t="s">
        <v>410</v>
      </c>
      <c r="D195" s="325"/>
      <c r="E195" s="364"/>
      <c r="F195" s="427">
        <v>100000</v>
      </c>
      <c r="G195" s="427"/>
      <c r="H195" s="432">
        <v>30</v>
      </c>
      <c r="I195" s="432">
        <v>4</v>
      </c>
      <c r="J195" s="430">
        <f t="shared" si="8"/>
        <v>101900</v>
      </c>
      <c r="K195" s="812" t="s">
        <v>397</v>
      </c>
      <c r="L195" s="812"/>
      <c r="M195" s="812"/>
      <c r="N195" s="812"/>
    </row>
    <row r="196" spans="2:14" s="341" customFormat="1">
      <c r="B196" s="863"/>
      <c r="C196" s="325" t="s">
        <v>411</v>
      </c>
      <c r="D196" s="325"/>
      <c r="E196" s="364"/>
      <c r="F196" s="427">
        <v>100000</v>
      </c>
      <c r="G196" s="427"/>
      <c r="H196" s="432">
        <v>30</v>
      </c>
      <c r="I196" s="432">
        <v>4</v>
      </c>
      <c r="J196" s="430">
        <f t="shared" si="8"/>
        <v>101900</v>
      </c>
      <c r="K196" s="812" t="s">
        <v>397</v>
      </c>
      <c r="L196" s="812"/>
      <c r="M196" s="812"/>
      <c r="N196" s="812"/>
    </row>
    <row r="197" spans="2:14" s="341" customFormat="1">
      <c r="B197" s="863"/>
      <c r="C197" s="325" t="s">
        <v>412</v>
      </c>
      <c r="D197" s="325"/>
      <c r="E197" s="364"/>
      <c r="F197" s="427">
        <v>100000</v>
      </c>
      <c r="G197" s="427"/>
      <c r="H197" s="432">
        <v>30</v>
      </c>
      <c r="I197" s="432">
        <v>4</v>
      </c>
      <c r="J197" s="430">
        <f t="shared" si="8"/>
        <v>101900</v>
      </c>
      <c r="K197" s="812" t="s">
        <v>397</v>
      </c>
      <c r="L197" s="812"/>
      <c r="M197" s="812"/>
      <c r="N197" s="812"/>
    </row>
    <row r="198" spans="2:14" s="341" customFormat="1">
      <c r="B198" s="863"/>
      <c r="C198" s="325" t="s">
        <v>187</v>
      </c>
      <c r="D198" s="325"/>
      <c r="E198" s="364"/>
      <c r="F198" s="427">
        <v>100000</v>
      </c>
      <c r="G198" s="427"/>
      <c r="H198" s="432">
        <v>30</v>
      </c>
      <c r="I198" s="432">
        <v>4</v>
      </c>
      <c r="J198" s="430">
        <f t="shared" si="8"/>
        <v>101900</v>
      </c>
      <c r="K198" s="812" t="s">
        <v>397</v>
      </c>
      <c r="L198" s="812"/>
      <c r="M198" s="812"/>
      <c r="N198" s="812"/>
    </row>
    <row r="199" spans="2:14" s="341" customFormat="1">
      <c r="B199" s="864"/>
      <c r="C199" s="325" t="s">
        <v>188</v>
      </c>
      <c r="D199" s="325"/>
      <c r="E199" s="364"/>
      <c r="F199" s="431">
        <v>54600</v>
      </c>
      <c r="G199" s="432"/>
      <c r="H199" s="432">
        <v>1</v>
      </c>
      <c r="I199" s="432">
        <v>0.1</v>
      </c>
      <c r="J199" s="430">
        <f t="shared" si="8"/>
        <v>54654.5</v>
      </c>
      <c r="K199" s="812" t="s">
        <v>397</v>
      </c>
      <c r="L199" s="812"/>
      <c r="M199" s="812"/>
      <c r="N199" s="812"/>
    </row>
    <row r="200" spans="2:14" s="341" customFormat="1" ht="22.5" customHeight="1">
      <c r="B200" s="815" t="s">
        <v>351</v>
      </c>
      <c r="C200" s="343" t="s">
        <v>377</v>
      </c>
      <c r="D200" s="344"/>
      <c r="E200" s="368"/>
      <c r="F200" s="433"/>
      <c r="G200" s="433"/>
      <c r="H200" s="433"/>
      <c r="I200" s="434"/>
      <c r="J200" s="435">
        <f>(F200*$C$8)+(H200*$C$9)+(I200*$C$10)</f>
        <v>0</v>
      </c>
      <c r="K200" s="812"/>
      <c r="L200" s="812"/>
      <c r="M200" s="812"/>
      <c r="N200" s="812"/>
    </row>
    <row r="201" spans="2:14" s="341" customFormat="1">
      <c r="B201" s="816"/>
      <c r="C201" s="325" t="s">
        <v>398</v>
      </c>
      <c r="D201" s="325"/>
      <c r="E201" s="364"/>
      <c r="F201" s="436">
        <v>56100</v>
      </c>
      <c r="G201" s="436"/>
      <c r="H201" s="436">
        <v>92</v>
      </c>
      <c r="I201" s="436">
        <v>3</v>
      </c>
      <c r="J201" s="430">
        <f t="shared" ref="J201:J207" si="9">(F201*$C$8)+(G201*$D$8)+(H201*$E$8)+(I201*$F$8)</f>
        <v>59471</v>
      </c>
      <c r="K201" s="812" t="s">
        <v>413</v>
      </c>
      <c r="L201" s="812"/>
      <c r="M201" s="812"/>
      <c r="N201" s="812"/>
    </row>
    <row r="202" spans="2:14" s="341" customFormat="1">
      <c r="B202" s="816"/>
      <c r="C202" s="325" t="s">
        <v>67</v>
      </c>
      <c r="D202" s="325"/>
      <c r="E202" s="364"/>
      <c r="F202" s="436">
        <v>63100</v>
      </c>
      <c r="G202" s="436"/>
      <c r="H202" s="436">
        <v>62</v>
      </c>
      <c r="I202" s="436">
        <v>0.2</v>
      </c>
      <c r="J202" s="430">
        <f t="shared" si="9"/>
        <v>64889</v>
      </c>
      <c r="K202" s="812" t="s">
        <v>413</v>
      </c>
      <c r="L202" s="812"/>
      <c r="M202" s="812"/>
      <c r="N202" s="812"/>
    </row>
    <row r="203" spans="2:14" s="341" customFormat="1">
      <c r="B203" s="816"/>
      <c r="C203" s="325" t="s">
        <v>78</v>
      </c>
      <c r="D203" s="325"/>
      <c r="E203" s="364"/>
      <c r="F203" s="436">
        <v>74100</v>
      </c>
      <c r="G203" s="436"/>
      <c r="H203" s="436">
        <v>3.9</v>
      </c>
      <c r="I203" s="436">
        <v>3.9</v>
      </c>
      <c r="J203" s="430">
        <f t="shared" si="9"/>
        <v>75242.7</v>
      </c>
      <c r="K203" s="812" t="s">
        <v>413</v>
      </c>
      <c r="L203" s="812"/>
      <c r="M203" s="812"/>
      <c r="N203" s="812"/>
    </row>
    <row r="204" spans="2:14" s="341" customFormat="1">
      <c r="B204" s="816"/>
      <c r="C204" s="325" t="s">
        <v>69</v>
      </c>
      <c r="D204" s="325"/>
      <c r="E204" s="364"/>
      <c r="F204" s="437">
        <v>69300</v>
      </c>
      <c r="G204" s="436"/>
      <c r="H204" s="436">
        <v>33</v>
      </c>
      <c r="I204" s="436">
        <v>3.2</v>
      </c>
      <c r="J204" s="430">
        <f t="shared" si="9"/>
        <v>71072</v>
      </c>
      <c r="K204" s="812" t="s">
        <v>413</v>
      </c>
      <c r="L204" s="812"/>
      <c r="M204" s="812"/>
      <c r="N204" s="812"/>
    </row>
    <row r="205" spans="2:14" s="341" customFormat="1">
      <c r="B205" s="816"/>
      <c r="C205" s="325" t="s">
        <v>150</v>
      </c>
      <c r="D205" s="325"/>
      <c r="E205" s="364"/>
      <c r="F205" s="437">
        <v>69300</v>
      </c>
      <c r="G205" s="436"/>
      <c r="H205" s="436">
        <v>25</v>
      </c>
      <c r="I205" s="436">
        <v>8</v>
      </c>
      <c r="J205" s="430">
        <f t="shared" si="9"/>
        <v>72120</v>
      </c>
      <c r="K205" s="812" t="s">
        <v>413</v>
      </c>
      <c r="L205" s="812"/>
      <c r="M205" s="812"/>
      <c r="N205" s="812"/>
    </row>
    <row r="206" spans="2:14" s="346" customFormat="1" ht="24" customHeight="1">
      <c r="B206" s="816"/>
      <c r="C206" s="326" t="s">
        <v>72</v>
      </c>
      <c r="D206" s="345"/>
      <c r="E206" s="389"/>
      <c r="F206" s="437">
        <v>69300</v>
      </c>
      <c r="G206" s="437"/>
      <c r="H206" s="437">
        <v>3.8</v>
      </c>
      <c r="I206" s="437">
        <v>5.7</v>
      </c>
      <c r="J206" s="430">
        <f t="shared" si="9"/>
        <v>70916.899999999994</v>
      </c>
      <c r="K206" s="812" t="s">
        <v>413</v>
      </c>
      <c r="L206" s="812"/>
      <c r="M206" s="812"/>
      <c r="N206" s="812"/>
    </row>
    <row r="207" spans="2:14" s="341" customFormat="1">
      <c r="B207" s="816"/>
      <c r="C207" s="325" t="s">
        <v>414</v>
      </c>
      <c r="D207" s="325"/>
      <c r="E207" s="364"/>
      <c r="F207" s="436">
        <v>70800</v>
      </c>
      <c r="G207" s="436"/>
      <c r="H207" s="436">
        <v>18</v>
      </c>
      <c r="I207" s="436">
        <v>0</v>
      </c>
      <c r="J207" s="430">
        <f t="shared" si="9"/>
        <v>71304</v>
      </c>
      <c r="K207" s="812" t="s">
        <v>413</v>
      </c>
      <c r="L207" s="812"/>
      <c r="M207" s="812"/>
      <c r="N207" s="812"/>
    </row>
    <row r="208" spans="2:14" s="348" customFormat="1">
      <c r="B208" s="816"/>
      <c r="C208" s="347" t="s">
        <v>401</v>
      </c>
      <c r="D208" s="347"/>
      <c r="E208" s="390"/>
      <c r="F208" s="422">
        <v>70800</v>
      </c>
      <c r="G208" s="422"/>
      <c r="H208" s="422">
        <v>3.9</v>
      </c>
      <c r="I208" s="422">
        <v>3.9</v>
      </c>
      <c r="J208" s="430">
        <f>(F208*$C$8)+(G208*$D$8)+(H208*$E$8)+(I208*$F$8)</f>
        <v>71942.7</v>
      </c>
      <c r="K208" s="812" t="s">
        <v>415</v>
      </c>
      <c r="L208" s="812"/>
      <c r="M208" s="812"/>
      <c r="N208" s="812"/>
    </row>
    <row r="209" spans="2:14" s="341" customFormat="1" ht="22.5" customHeight="1">
      <c r="B209" s="816"/>
      <c r="C209" s="367" t="s">
        <v>352</v>
      </c>
      <c r="D209" s="343"/>
      <c r="E209" s="366"/>
      <c r="F209" s="436"/>
      <c r="G209" s="436"/>
      <c r="H209" s="436"/>
      <c r="I209" s="436"/>
      <c r="J209" s="435"/>
      <c r="K209" s="812"/>
      <c r="L209" s="812"/>
      <c r="M209" s="812"/>
      <c r="N209" s="812"/>
    </row>
    <row r="210" spans="2:14" s="292" customFormat="1" ht="24">
      <c r="B210" s="816"/>
      <c r="C210" s="305" t="s">
        <v>67</v>
      </c>
      <c r="D210" s="305"/>
      <c r="E210" s="330"/>
      <c r="F210" s="437">
        <v>63100</v>
      </c>
      <c r="G210" s="437"/>
      <c r="H210" s="437">
        <v>50</v>
      </c>
      <c r="I210" s="437">
        <v>2</v>
      </c>
      <c r="J210" s="430">
        <f t="shared" ref="J210:J222" si="10">(F210*$C$8)+(G210*$D$8)+(H210*$E$8)+(I210*$F$8)</f>
        <v>65030</v>
      </c>
      <c r="K210" s="812" t="s">
        <v>467</v>
      </c>
      <c r="L210" s="812"/>
      <c r="M210" s="812"/>
      <c r="N210" s="812"/>
    </row>
    <row r="211" spans="2:14" s="341" customFormat="1" ht="22.5" customHeight="1">
      <c r="B211" s="816"/>
      <c r="C211" s="305" t="s">
        <v>416</v>
      </c>
      <c r="D211" s="325"/>
      <c r="E211" s="364"/>
      <c r="F211" s="436">
        <v>74100</v>
      </c>
      <c r="G211" s="436"/>
      <c r="H211" s="436">
        <v>4.1500000000000004</v>
      </c>
      <c r="I211" s="436">
        <v>28.6</v>
      </c>
      <c r="J211" s="430">
        <f t="shared" si="10"/>
        <v>81795.199999999997</v>
      </c>
      <c r="K211" s="812" t="s">
        <v>417</v>
      </c>
      <c r="L211" s="812"/>
      <c r="M211" s="812"/>
      <c r="N211" s="812"/>
    </row>
    <row r="212" spans="2:14" s="341" customFormat="1" ht="22.5" customHeight="1">
      <c r="B212" s="816"/>
      <c r="C212" s="305" t="s">
        <v>418</v>
      </c>
      <c r="D212" s="325"/>
      <c r="E212" s="364"/>
      <c r="F212" s="436">
        <v>74100</v>
      </c>
      <c r="G212" s="436"/>
      <c r="H212" s="436">
        <v>4.1500000000000004</v>
      </c>
      <c r="I212" s="436">
        <v>28.6</v>
      </c>
      <c r="J212" s="430">
        <f t="shared" si="10"/>
        <v>81795.199999999997</v>
      </c>
      <c r="K212" s="812" t="s">
        <v>417</v>
      </c>
      <c r="L212" s="812"/>
      <c r="M212" s="812"/>
      <c r="N212" s="812"/>
    </row>
    <row r="213" spans="2:14" s="341" customFormat="1" ht="22.5" customHeight="1">
      <c r="B213" s="816"/>
      <c r="C213" s="305" t="s">
        <v>419</v>
      </c>
      <c r="D213" s="325"/>
      <c r="E213" s="364"/>
      <c r="F213" s="436">
        <v>74100</v>
      </c>
      <c r="G213" s="436"/>
      <c r="H213" s="436">
        <v>4.1500000000000004</v>
      </c>
      <c r="I213" s="436">
        <v>28.6</v>
      </c>
      <c r="J213" s="430">
        <f t="shared" si="10"/>
        <v>81795.199999999997</v>
      </c>
      <c r="K213" s="812" t="s">
        <v>417</v>
      </c>
      <c r="L213" s="812"/>
      <c r="M213" s="812"/>
      <c r="N213" s="812"/>
    </row>
    <row r="214" spans="2:14" s="341" customFormat="1" ht="22.5" customHeight="1">
      <c r="B214" s="816"/>
      <c r="C214" s="305" t="s">
        <v>420</v>
      </c>
      <c r="D214" s="325"/>
      <c r="E214" s="364"/>
      <c r="F214" s="436">
        <v>74100</v>
      </c>
      <c r="G214" s="436"/>
      <c r="H214" s="436">
        <v>4.1500000000000004</v>
      </c>
      <c r="I214" s="436">
        <v>28.6</v>
      </c>
      <c r="J214" s="430">
        <f t="shared" si="10"/>
        <v>81795.199999999997</v>
      </c>
      <c r="K214" s="812" t="s">
        <v>417</v>
      </c>
      <c r="L214" s="812"/>
      <c r="M214" s="812"/>
      <c r="N214" s="812"/>
    </row>
    <row r="215" spans="2:14" s="341" customFormat="1" ht="22.5" customHeight="1">
      <c r="B215" s="816"/>
      <c r="C215" s="305" t="s">
        <v>421</v>
      </c>
      <c r="D215" s="325"/>
      <c r="E215" s="364"/>
      <c r="F215" s="436">
        <v>69300</v>
      </c>
      <c r="G215" s="436"/>
      <c r="H215" s="436">
        <v>80</v>
      </c>
      <c r="I215" s="436">
        <v>2</v>
      </c>
      <c r="J215" s="430">
        <f t="shared" si="10"/>
        <v>72070</v>
      </c>
      <c r="K215" s="812" t="s">
        <v>417</v>
      </c>
      <c r="L215" s="812"/>
      <c r="M215" s="812"/>
      <c r="N215" s="812"/>
    </row>
    <row r="216" spans="2:14" s="341" customFormat="1" ht="22.5" customHeight="1">
      <c r="B216" s="816"/>
      <c r="C216" s="316" t="s">
        <v>422</v>
      </c>
      <c r="D216" s="325"/>
      <c r="E216" s="364"/>
      <c r="F216" s="436">
        <v>69300</v>
      </c>
      <c r="G216" s="436"/>
      <c r="H216" s="436">
        <v>0</v>
      </c>
      <c r="I216" s="436">
        <v>0</v>
      </c>
      <c r="J216" s="430">
        <f t="shared" si="10"/>
        <v>69300</v>
      </c>
      <c r="K216" s="812" t="s">
        <v>417</v>
      </c>
      <c r="L216" s="812"/>
      <c r="M216" s="812"/>
      <c r="N216" s="812"/>
    </row>
    <row r="217" spans="2:14" s="341" customFormat="1" ht="22.5" customHeight="1">
      <c r="B217" s="816"/>
      <c r="C217" s="316" t="s">
        <v>423</v>
      </c>
      <c r="D217" s="325"/>
      <c r="E217" s="364"/>
      <c r="F217" s="436">
        <v>69300</v>
      </c>
      <c r="G217" s="436"/>
      <c r="H217" s="436">
        <v>50</v>
      </c>
      <c r="I217" s="436">
        <v>2</v>
      </c>
      <c r="J217" s="430">
        <f t="shared" si="10"/>
        <v>71230</v>
      </c>
      <c r="K217" s="812" t="s">
        <v>417</v>
      </c>
      <c r="L217" s="812"/>
      <c r="M217" s="812"/>
      <c r="N217" s="812"/>
    </row>
    <row r="218" spans="2:14" s="341" customFormat="1" ht="22.5" customHeight="1">
      <c r="B218" s="816"/>
      <c r="C218" s="316" t="s">
        <v>424</v>
      </c>
      <c r="D218" s="325"/>
      <c r="E218" s="364"/>
      <c r="F218" s="436">
        <v>69300</v>
      </c>
      <c r="G218" s="436"/>
      <c r="H218" s="436">
        <v>120</v>
      </c>
      <c r="I218" s="436">
        <v>2</v>
      </c>
      <c r="J218" s="430">
        <f t="shared" si="10"/>
        <v>73190</v>
      </c>
      <c r="K218" s="812" t="s">
        <v>417</v>
      </c>
      <c r="L218" s="812"/>
      <c r="M218" s="812"/>
      <c r="N218" s="812"/>
    </row>
    <row r="219" spans="2:14" s="341" customFormat="1" ht="22.5" customHeight="1">
      <c r="B219" s="816"/>
      <c r="C219" s="316" t="s">
        <v>425</v>
      </c>
      <c r="D219" s="325"/>
      <c r="E219" s="364"/>
      <c r="F219" s="436">
        <v>69300</v>
      </c>
      <c r="G219" s="436"/>
      <c r="H219" s="436">
        <v>140</v>
      </c>
      <c r="I219" s="436">
        <v>0.4</v>
      </c>
      <c r="J219" s="430">
        <f t="shared" si="10"/>
        <v>73326</v>
      </c>
      <c r="K219" s="812" t="s">
        <v>417</v>
      </c>
      <c r="L219" s="812"/>
      <c r="M219" s="812"/>
      <c r="N219" s="812"/>
    </row>
    <row r="220" spans="2:14" s="341" customFormat="1" ht="22.5" customHeight="1">
      <c r="B220" s="816"/>
      <c r="C220" s="316" t="s">
        <v>426</v>
      </c>
      <c r="D220" s="325"/>
      <c r="E220" s="364"/>
      <c r="F220" s="436">
        <v>69300</v>
      </c>
      <c r="G220" s="436"/>
      <c r="H220" s="436">
        <v>170</v>
      </c>
      <c r="I220" s="436">
        <v>0.4</v>
      </c>
      <c r="J220" s="430">
        <f t="shared" si="10"/>
        <v>74166</v>
      </c>
      <c r="K220" s="812" t="s">
        <v>417</v>
      </c>
      <c r="L220" s="812"/>
      <c r="M220" s="812"/>
      <c r="N220" s="812"/>
    </row>
    <row r="221" spans="2:14" s="341" customFormat="1">
      <c r="B221" s="816"/>
      <c r="C221" s="316" t="s">
        <v>427</v>
      </c>
      <c r="D221" s="325"/>
      <c r="E221" s="364"/>
      <c r="F221" s="436">
        <v>69300</v>
      </c>
      <c r="G221" s="436"/>
      <c r="H221" s="436">
        <v>130</v>
      </c>
      <c r="I221" s="436">
        <v>0.4</v>
      </c>
      <c r="J221" s="430">
        <f t="shared" si="10"/>
        <v>73046</v>
      </c>
      <c r="K221" s="812" t="s">
        <v>417</v>
      </c>
      <c r="L221" s="812"/>
      <c r="M221" s="812"/>
      <c r="N221" s="812"/>
    </row>
    <row r="222" spans="2:14" s="341" customFormat="1">
      <c r="B222" s="816"/>
      <c r="C222" s="316" t="s">
        <v>428</v>
      </c>
      <c r="D222" s="325"/>
      <c r="E222" s="364"/>
      <c r="F222" s="436">
        <v>69300</v>
      </c>
      <c r="G222" s="436"/>
      <c r="H222" s="436">
        <v>180</v>
      </c>
      <c r="I222" s="436">
        <v>0.4</v>
      </c>
      <c r="J222" s="430">
        <f t="shared" si="10"/>
        <v>74446</v>
      </c>
      <c r="K222" s="812" t="s">
        <v>417</v>
      </c>
      <c r="L222" s="812"/>
      <c r="M222" s="812"/>
      <c r="N222" s="812"/>
    </row>
    <row r="223" spans="2:14" s="348" customFormat="1">
      <c r="B223" s="816"/>
      <c r="C223" s="347" t="s">
        <v>401</v>
      </c>
      <c r="D223" s="347"/>
      <c r="E223" s="390"/>
      <c r="F223" s="422">
        <v>70800</v>
      </c>
      <c r="G223" s="422"/>
      <c r="H223" s="422">
        <v>3.9</v>
      </c>
      <c r="I223" s="422">
        <v>3.9</v>
      </c>
      <c r="J223" s="430">
        <f>(F223*$C$8)+(G223*$D$8)+(H223*$E$8)+(I223*$F$8)</f>
        <v>71942.7</v>
      </c>
      <c r="K223" s="812" t="s">
        <v>429</v>
      </c>
      <c r="L223" s="812"/>
      <c r="M223" s="812"/>
      <c r="N223" s="812"/>
    </row>
    <row r="224" spans="2:14" s="348" customFormat="1">
      <c r="B224" s="817"/>
      <c r="C224" s="347" t="s">
        <v>430</v>
      </c>
      <c r="D224" s="347"/>
      <c r="E224" s="390"/>
      <c r="F224" s="422">
        <v>70800</v>
      </c>
      <c r="G224" s="422"/>
      <c r="H224" s="436">
        <v>180</v>
      </c>
      <c r="I224" s="436">
        <v>0.4</v>
      </c>
      <c r="J224" s="430">
        <f>(F224*$C$8)+(G224*$D$8)+(H224*$E$8)+(I224*$F$8)</f>
        <v>75946</v>
      </c>
      <c r="K224" s="812" t="s">
        <v>431</v>
      </c>
      <c r="L224" s="812"/>
      <c r="M224" s="812"/>
      <c r="N224" s="812"/>
    </row>
    <row r="225" spans="2:15" s="341" customFormat="1">
      <c r="B225" s="341" t="s">
        <v>432</v>
      </c>
      <c r="C225" s="349"/>
      <c r="D225" s="350"/>
      <c r="E225" s="351"/>
      <c r="F225" s="276"/>
      <c r="G225" s="276"/>
      <c r="H225" s="342"/>
      <c r="I225" s="342"/>
      <c r="J225" s="399"/>
      <c r="K225" s="351"/>
      <c r="L225" s="351"/>
      <c r="M225" s="351"/>
      <c r="N225" s="352"/>
      <c r="O225" s="353"/>
    </row>
    <row r="226" spans="2:15" ht="20.25" thickBot="1">
      <c r="B226" s="277" t="s">
        <v>433</v>
      </c>
      <c r="E226" s="342"/>
      <c r="I226" s="272"/>
    </row>
    <row r="227" spans="2:15">
      <c r="B227" s="818" t="s">
        <v>434</v>
      </c>
      <c r="C227" s="819"/>
      <c r="D227" s="373" t="s">
        <v>435</v>
      </c>
      <c r="E227" s="374" t="s">
        <v>436</v>
      </c>
      <c r="F227" s="819" t="s">
        <v>437</v>
      </c>
      <c r="G227" s="819"/>
      <c r="H227" s="819"/>
      <c r="I227" s="819"/>
      <c r="J227" s="819"/>
      <c r="K227" s="819"/>
      <c r="L227" s="823"/>
    </row>
    <row r="228" spans="2:15">
      <c r="B228" s="379" t="s">
        <v>438</v>
      </c>
      <c r="C228" s="380"/>
      <c r="D228" s="424">
        <v>1.02</v>
      </c>
      <c r="E228" s="281" t="s">
        <v>439</v>
      </c>
      <c r="F228" s="813" t="s">
        <v>440</v>
      </c>
      <c r="G228" s="813"/>
      <c r="H228" s="813"/>
      <c r="I228" s="813"/>
      <c r="J228" s="813"/>
      <c r="K228" s="813"/>
      <c r="L228" s="814"/>
    </row>
    <row r="229" spans="2:15">
      <c r="B229" s="379" t="s">
        <v>67</v>
      </c>
      <c r="C229" s="380"/>
      <c r="D229" s="424">
        <f>26.62/0.54</f>
        <v>49.296296296296298</v>
      </c>
      <c r="E229" s="281" t="s">
        <v>441</v>
      </c>
      <c r="F229" s="813" t="s">
        <v>440</v>
      </c>
      <c r="G229" s="813"/>
      <c r="H229" s="813"/>
      <c r="I229" s="813"/>
      <c r="J229" s="813"/>
      <c r="K229" s="813"/>
      <c r="L229" s="814"/>
    </row>
    <row r="230" spans="2:15" ht="21" customHeight="1">
      <c r="B230" s="379" t="s">
        <v>60</v>
      </c>
      <c r="C230" s="380"/>
      <c r="D230" s="424">
        <v>11.9</v>
      </c>
      <c r="E230" s="281" t="s">
        <v>441</v>
      </c>
      <c r="F230" s="813" t="s">
        <v>442</v>
      </c>
      <c r="G230" s="813"/>
      <c r="H230" s="813"/>
      <c r="I230" s="813"/>
      <c r="J230" s="813"/>
      <c r="K230" s="813"/>
      <c r="L230" s="814"/>
    </row>
    <row r="231" spans="2:15">
      <c r="B231" s="379" t="s">
        <v>404</v>
      </c>
      <c r="C231" s="380"/>
      <c r="D231" s="424">
        <v>31.4</v>
      </c>
      <c r="E231" s="281" t="s">
        <v>441</v>
      </c>
      <c r="F231" s="813" t="s">
        <v>440</v>
      </c>
      <c r="G231" s="813"/>
      <c r="H231" s="813"/>
      <c r="I231" s="813"/>
      <c r="J231" s="813"/>
      <c r="K231" s="813"/>
      <c r="L231" s="814"/>
    </row>
    <row r="232" spans="2:15">
      <c r="B232" s="379" t="s">
        <v>405</v>
      </c>
      <c r="C232" s="380"/>
      <c r="D232" s="424">
        <v>26.37</v>
      </c>
      <c r="E232" s="281" t="s">
        <v>441</v>
      </c>
      <c r="F232" s="813" t="s">
        <v>440</v>
      </c>
      <c r="G232" s="813"/>
      <c r="H232" s="813"/>
      <c r="I232" s="813"/>
      <c r="J232" s="813"/>
      <c r="K232" s="813"/>
      <c r="L232" s="814"/>
    </row>
    <row r="233" spans="2:15">
      <c r="B233" s="379" t="s">
        <v>406</v>
      </c>
      <c r="C233" s="380"/>
      <c r="D233" s="424">
        <v>27.63</v>
      </c>
      <c r="E233" s="281" t="s">
        <v>441</v>
      </c>
      <c r="F233" s="813" t="s">
        <v>440</v>
      </c>
      <c r="G233" s="813"/>
      <c r="H233" s="813"/>
      <c r="I233" s="813"/>
      <c r="J233" s="813"/>
      <c r="K233" s="813"/>
      <c r="L233" s="814"/>
    </row>
    <row r="234" spans="2:15" ht="21" customHeight="1">
      <c r="B234" s="379" t="s">
        <v>154</v>
      </c>
      <c r="C234" s="380"/>
      <c r="D234" s="424">
        <v>41.468972149499997</v>
      </c>
      <c r="E234" s="281" t="s">
        <v>443</v>
      </c>
      <c r="F234" s="813" t="s">
        <v>444</v>
      </c>
      <c r="G234" s="813"/>
      <c r="H234" s="813"/>
      <c r="I234" s="813"/>
      <c r="J234" s="813"/>
      <c r="K234" s="813"/>
      <c r="L234" s="814"/>
    </row>
    <row r="235" spans="2:15" ht="21" customHeight="1">
      <c r="B235" s="379" t="s">
        <v>157</v>
      </c>
      <c r="C235" s="380"/>
      <c r="D235" s="424">
        <v>41.8002597021</v>
      </c>
      <c r="E235" s="281" t="s">
        <v>443</v>
      </c>
      <c r="F235" s="813" t="s">
        <v>444</v>
      </c>
      <c r="G235" s="813"/>
      <c r="H235" s="813"/>
      <c r="I235" s="813"/>
      <c r="J235" s="813"/>
      <c r="K235" s="813"/>
      <c r="L235" s="814"/>
    </row>
    <row r="236" spans="2:15">
      <c r="B236" s="379" t="s">
        <v>66</v>
      </c>
      <c r="C236" s="380"/>
      <c r="D236" s="424">
        <v>34.53</v>
      </c>
      <c r="E236" s="281" t="s">
        <v>443</v>
      </c>
      <c r="F236" s="813" t="s">
        <v>440</v>
      </c>
      <c r="G236" s="813"/>
      <c r="H236" s="813"/>
      <c r="I236" s="813"/>
      <c r="J236" s="813"/>
      <c r="K236" s="813"/>
      <c r="L236" s="814"/>
    </row>
    <row r="237" spans="2:15">
      <c r="B237" s="379" t="s">
        <v>400</v>
      </c>
      <c r="C237" s="380"/>
      <c r="D237" s="424">
        <v>34.53</v>
      </c>
      <c r="E237" s="281" t="s">
        <v>443</v>
      </c>
      <c r="F237" s="813" t="s">
        <v>440</v>
      </c>
      <c r="G237" s="813"/>
      <c r="H237" s="813"/>
      <c r="I237" s="813"/>
      <c r="J237" s="813"/>
      <c r="K237" s="813"/>
      <c r="L237" s="814"/>
    </row>
    <row r="238" spans="2:15" ht="23.25" customHeight="1">
      <c r="B238" s="379" t="s">
        <v>78</v>
      </c>
      <c r="C238" s="380"/>
      <c r="D238" s="425">
        <v>36.42</v>
      </c>
      <c r="E238" s="281" t="s">
        <v>443</v>
      </c>
      <c r="F238" s="813" t="s">
        <v>440</v>
      </c>
      <c r="G238" s="813"/>
      <c r="H238" s="813"/>
      <c r="I238" s="813"/>
      <c r="J238" s="813"/>
      <c r="K238" s="813"/>
      <c r="L238" s="814"/>
    </row>
    <row r="239" spans="2:15">
      <c r="B239" s="379" t="s">
        <v>402</v>
      </c>
      <c r="C239" s="380"/>
      <c r="D239" s="425">
        <v>31.48</v>
      </c>
      <c r="E239" s="281" t="s">
        <v>443</v>
      </c>
      <c r="F239" s="813" t="s">
        <v>440</v>
      </c>
      <c r="G239" s="813"/>
      <c r="H239" s="813"/>
      <c r="I239" s="813"/>
      <c r="J239" s="813"/>
      <c r="K239" s="813"/>
      <c r="L239" s="814"/>
    </row>
    <row r="240" spans="2:15">
      <c r="B240" s="379" t="s">
        <v>407</v>
      </c>
      <c r="C240" s="380"/>
      <c r="D240" s="425">
        <v>15.99</v>
      </c>
      <c r="E240" s="281" t="s">
        <v>441</v>
      </c>
      <c r="F240" s="813" t="s">
        <v>440</v>
      </c>
      <c r="G240" s="813"/>
      <c r="H240" s="813"/>
      <c r="I240" s="813"/>
      <c r="J240" s="813"/>
      <c r="K240" s="813"/>
      <c r="L240" s="814"/>
    </row>
    <row r="241" spans="2:12">
      <c r="B241" s="379" t="s">
        <v>408</v>
      </c>
      <c r="C241" s="380"/>
      <c r="D241" s="425">
        <v>10.88</v>
      </c>
      <c r="E241" s="281" t="s">
        <v>441</v>
      </c>
      <c r="F241" s="813" t="s">
        <v>440</v>
      </c>
      <c r="G241" s="813"/>
      <c r="H241" s="813"/>
      <c r="I241" s="813"/>
      <c r="J241" s="813"/>
      <c r="K241" s="813"/>
      <c r="L241" s="814"/>
    </row>
    <row r="242" spans="2:12">
      <c r="B242" s="379" t="s">
        <v>409</v>
      </c>
      <c r="C242" s="380"/>
      <c r="D242" s="425">
        <v>28.88</v>
      </c>
      <c r="E242" s="281" t="s">
        <v>441</v>
      </c>
      <c r="F242" s="813" t="s">
        <v>440</v>
      </c>
      <c r="G242" s="813"/>
      <c r="H242" s="813"/>
      <c r="I242" s="813"/>
      <c r="J242" s="813"/>
      <c r="K242" s="813"/>
      <c r="L242" s="814"/>
    </row>
    <row r="243" spans="2:12">
      <c r="B243" s="379" t="s">
        <v>410</v>
      </c>
      <c r="C243" s="380"/>
      <c r="D243" s="425">
        <v>14.4</v>
      </c>
      <c r="E243" s="281" t="s">
        <v>441</v>
      </c>
      <c r="F243" s="813" t="s">
        <v>440</v>
      </c>
      <c r="G243" s="813"/>
      <c r="H243" s="813"/>
      <c r="I243" s="813"/>
      <c r="J243" s="813"/>
      <c r="K243" s="813"/>
      <c r="L243" s="814"/>
    </row>
    <row r="244" spans="2:12">
      <c r="B244" s="379" t="s">
        <v>411</v>
      </c>
      <c r="C244" s="380"/>
      <c r="D244" s="425">
        <v>7.53</v>
      </c>
      <c r="E244" s="281" t="s">
        <v>441</v>
      </c>
      <c r="F244" s="813" t="s">
        <v>440</v>
      </c>
      <c r="G244" s="813"/>
      <c r="H244" s="813"/>
      <c r="I244" s="813"/>
      <c r="J244" s="813"/>
      <c r="K244" s="813"/>
      <c r="L244" s="814"/>
    </row>
    <row r="245" spans="2:12">
      <c r="B245" s="379" t="s">
        <v>412</v>
      </c>
      <c r="C245" s="380"/>
      <c r="D245" s="425">
        <v>18.53</v>
      </c>
      <c r="E245" s="281" t="s">
        <v>441</v>
      </c>
      <c r="F245" s="813" t="s">
        <v>440</v>
      </c>
      <c r="G245" s="813"/>
      <c r="H245" s="813"/>
      <c r="I245" s="813"/>
      <c r="J245" s="813"/>
      <c r="K245" s="813"/>
      <c r="L245" s="814"/>
    </row>
    <row r="246" spans="2:12">
      <c r="B246" s="379" t="s">
        <v>187</v>
      </c>
      <c r="C246" s="380"/>
      <c r="D246" s="425">
        <v>16.78</v>
      </c>
      <c r="E246" s="281" t="s">
        <v>441</v>
      </c>
      <c r="F246" s="813" t="s">
        <v>440</v>
      </c>
      <c r="G246" s="813"/>
      <c r="H246" s="813"/>
      <c r="I246" s="813"/>
      <c r="J246" s="813"/>
      <c r="K246" s="813"/>
      <c r="L246" s="814"/>
    </row>
    <row r="247" spans="2:12">
      <c r="B247" s="379" t="s">
        <v>188</v>
      </c>
      <c r="C247" s="380"/>
      <c r="D247" s="424">
        <v>20.93</v>
      </c>
      <c r="E247" s="281" t="s">
        <v>445</v>
      </c>
      <c r="F247" s="813" t="s">
        <v>440</v>
      </c>
      <c r="G247" s="813"/>
      <c r="H247" s="813"/>
      <c r="I247" s="813"/>
      <c r="J247" s="813"/>
      <c r="K247" s="813"/>
      <c r="L247" s="814"/>
    </row>
    <row r="248" spans="2:12" ht="21" customHeight="1">
      <c r="B248" s="379" t="s">
        <v>398</v>
      </c>
      <c r="C248" s="380"/>
      <c r="D248" s="425">
        <v>37.9</v>
      </c>
      <c r="E248" s="281" t="s">
        <v>441</v>
      </c>
      <c r="F248" s="813" t="s">
        <v>444</v>
      </c>
      <c r="G248" s="813"/>
      <c r="H248" s="813"/>
      <c r="I248" s="813"/>
      <c r="J248" s="813"/>
      <c r="K248" s="813"/>
      <c r="L248" s="814"/>
    </row>
    <row r="249" spans="2:12" ht="24.75" customHeight="1">
      <c r="B249" s="379" t="s">
        <v>60</v>
      </c>
      <c r="C249" s="380"/>
      <c r="D249" s="425">
        <v>11.9</v>
      </c>
      <c r="E249" s="281" t="s">
        <v>441</v>
      </c>
      <c r="F249" s="813" t="s">
        <v>442</v>
      </c>
      <c r="G249" s="813"/>
      <c r="H249" s="813"/>
      <c r="I249" s="813"/>
      <c r="J249" s="813"/>
      <c r="K249" s="813"/>
      <c r="L249" s="814"/>
    </row>
    <row r="250" spans="2:12" ht="23.25" customHeight="1">
      <c r="B250" s="379" t="s">
        <v>401</v>
      </c>
      <c r="C250" s="380"/>
      <c r="D250" s="425">
        <v>27</v>
      </c>
      <c r="E250" s="281" t="s">
        <v>441</v>
      </c>
      <c r="F250" s="813" t="s">
        <v>442</v>
      </c>
      <c r="G250" s="813"/>
      <c r="H250" s="813"/>
      <c r="I250" s="813"/>
      <c r="J250" s="813"/>
      <c r="K250" s="813"/>
      <c r="L250" s="814"/>
    </row>
    <row r="251" spans="2:12" ht="24.75" customHeight="1">
      <c r="B251" s="379" t="s">
        <v>384</v>
      </c>
      <c r="C251" s="380"/>
      <c r="D251" s="425">
        <v>27</v>
      </c>
      <c r="E251" s="281" t="s">
        <v>441</v>
      </c>
      <c r="F251" s="813" t="s">
        <v>442</v>
      </c>
      <c r="G251" s="813"/>
      <c r="H251" s="813"/>
      <c r="I251" s="813"/>
      <c r="J251" s="813"/>
      <c r="K251" s="813"/>
      <c r="L251" s="814"/>
    </row>
    <row r="252" spans="2:12">
      <c r="B252" s="848" t="s">
        <v>434</v>
      </c>
      <c r="C252" s="846"/>
      <c r="D252" s="426" t="s">
        <v>446</v>
      </c>
      <c r="E252" s="371" t="s">
        <v>436</v>
      </c>
      <c r="F252" s="846" t="s">
        <v>437</v>
      </c>
      <c r="G252" s="846"/>
      <c r="H252" s="846"/>
      <c r="I252" s="846"/>
      <c r="J252" s="846"/>
      <c r="K252" s="846"/>
      <c r="L252" s="847"/>
    </row>
    <row r="253" spans="2:12" ht="21" customHeight="1">
      <c r="B253" s="379" t="s">
        <v>67</v>
      </c>
      <c r="C253" s="380"/>
      <c r="D253" s="354">
        <v>0.54</v>
      </c>
      <c r="E253" s="281" t="s">
        <v>447</v>
      </c>
      <c r="F253" s="813" t="s">
        <v>440</v>
      </c>
      <c r="G253" s="813"/>
      <c r="H253" s="813"/>
      <c r="I253" s="813"/>
      <c r="J253" s="813"/>
      <c r="K253" s="813"/>
      <c r="L253" s="814"/>
    </row>
    <row r="254" spans="2:12" ht="21" customHeight="1">
      <c r="B254" s="379" t="s">
        <v>448</v>
      </c>
      <c r="C254" s="380"/>
      <c r="D254" s="354">
        <v>0.87</v>
      </c>
      <c r="E254" s="281" t="s">
        <v>447</v>
      </c>
      <c r="F254" s="813" t="s">
        <v>449</v>
      </c>
      <c r="G254" s="813"/>
      <c r="H254" s="813"/>
      <c r="I254" s="813"/>
      <c r="J254" s="813"/>
      <c r="K254" s="813"/>
      <c r="L254" s="814"/>
    </row>
    <row r="255" spans="2:12" ht="21" customHeight="1">
      <c r="B255" s="379" t="s">
        <v>401</v>
      </c>
      <c r="C255" s="380"/>
      <c r="D255" s="354">
        <v>0.86</v>
      </c>
      <c r="E255" s="281" t="s">
        <v>447</v>
      </c>
      <c r="F255" s="813" t="s">
        <v>450</v>
      </c>
      <c r="G255" s="813"/>
      <c r="H255" s="813"/>
      <c r="I255" s="813"/>
      <c r="J255" s="813"/>
      <c r="K255" s="813"/>
      <c r="L255" s="814"/>
    </row>
    <row r="256" spans="2:12" ht="23.25" customHeight="1">
      <c r="B256" s="379" t="s">
        <v>402</v>
      </c>
      <c r="C256" s="380"/>
      <c r="D256" s="372">
        <v>0.73470000000000002</v>
      </c>
      <c r="E256" s="281" t="s">
        <v>447</v>
      </c>
      <c r="F256" s="813" t="s">
        <v>451</v>
      </c>
      <c r="G256" s="813"/>
      <c r="H256" s="813"/>
      <c r="I256" s="813"/>
      <c r="J256" s="813"/>
      <c r="K256" s="813"/>
      <c r="L256" s="814"/>
    </row>
    <row r="257" spans="2:12" ht="21" customHeight="1">
      <c r="B257" s="379" t="s">
        <v>452</v>
      </c>
      <c r="C257" s="380"/>
      <c r="D257" s="354">
        <v>0.78300000000000003</v>
      </c>
      <c r="E257" s="281" t="s">
        <v>447</v>
      </c>
      <c r="F257" s="813" t="s">
        <v>453</v>
      </c>
      <c r="G257" s="813"/>
      <c r="H257" s="813"/>
      <c r="I257" s="813"/>
      <c r="J257" s="813"/>
      <c r="K257" s="813"/>
      <c r="L257" s="814"/>
    </row>
    <row r="258" spans="2:12">
      <c r="B258" s="848" t="s">
        <v>454</v>
      </c>
      <c r="C258" s="846"/>
      <c r="D258" s="370" t="s">
        <v>455</v>
      </c>
      <c r="E258" s="371" t="s">
        <v>436</v>
      </c>
      <c r="F258" s="846" t="s">
        <v>437</v>
      </c>
      <c r="G258" s="846"/>
      <c r="H258" s="846"/>
      <c r="I258" s="846"/>
      <c r="J258" s="846"/>
      <c r="K258" s="846"/>
      <c r="L258" s="847"/>
    </row>
    <row r="259" spans="2:12" ht="21" customHeight="1" thickBot="1">
      <c r="B259" s="375" t="s">
        <v>456</v>
      </c>
      <c r="C259" s="376"/>
      <c r="D259" s="377">
        <v>1055.0558530000001</v>
      </c>
      <c r="E259" s="378" t="s">
        <v>457</v>
      </c>
      <c r="F259" s="844" t="s">
        <v>440</v>
      </c>
      <c r="G259" s="844"/>
      <c r="H259" s="844"/>
      <c r="I259" s="844"/>
      <c r="J259" s="844"/>
      <c r="K259" s="844"/>
      <c r="L259" s="845"/>
    </row>
    <row r="260" spans="2:12">
      <c r="B260" s="272" t="s">
        <v>458</v>
      </c>
      <c r="C260" s="355"/>
      <c r="D260" s="274"/>
      <c r="E260" s="275"/>
      <c r="F260" s="275"/>
      <c r="G260" s="275"/>
      <c r="H260" s="282"/>
      <c r="I260" s="356"/>
      <c r="J260" s="400"/>
      <c r="K260" s="356"/>
      <c r="L260" s="356"/>
    </row>
    <row r="261" spans="2:12">
      <c r="B261" s="357"/>
    </row>
  </sheetData>
  <sheetProtection algorithmName="SHA-512" hashValue="I29j3PcqMTpWXUPCb6qVE+LkCKF2yNUodf3ZjRgpKPOUTrxxGJYDtxXIMhfve+20RCwkoBjOiYtzVyiyx9EBVA==" saltValue="EJV/Df2kLC4qNBvdjHONQg==" spinCount="100000" sheet="1" objects="1" scenarios="1"/>
  <autoFilter ref="F13:J165" xr:uid="{47DB3C40-C732-7E4E-9D60-9EA2E8E5BA23}"/>
  <mergeCells count="137">
    <mergeCell ref="C164:D164"/>
    <mergeCell ref="C165:D165"/>
    <mergeCell ref="C145:D145"/>
    <mergeCell ref="C150:D150"/>
    <mergeCell ref="B144:B150"/>
    <mergeCell ref="B154:B165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46:D146"/>
    <mergeCell ref="C147:D147"/>
    <mergeCell ref="C148:D148"/>
    <mergeCell ref="C149:D149"/>
    <mergeCell ref="B2:L4"/>
    <mergeCell ref="B12:D14"/>
    <mergeCell ref="F12:J12"/>
    <mergeCell ref="K12:N14"/>
    <mergeCell ref="B76:B143"/>
    <mergeCell ref="B15:B75"/>
    <mergeCell ref="F259:L259"/>
    <mergeCell ref="F258:L258"/>
    <mergeCell ref="B252:C252"/>
    <mergeCell ref="F249:L249"/>
    <mergeCell ref="F250:L250"/>
    <mergeCell ref="F251:L251"/>
    <mergeCell ref="F252:L252"/>
    <mergeCell ref="B258:C258"/>
    <mergeCell ref="E12:E14"/>
    <mergeCell ref="B175:E177"/>
    <mergeCell ref="K175:N177"/>
    <mergeCell ref="K178:N178"/>
    <mergeCell ref="F253:L253"/>
    <mergeCell ref="F254:L254"/>
    <mergeCell ref="F255:L255"/>
    <mergeCell ref="F256:L256"/>
    <mergeCell ref="F257:L257"/>
    <mergeCell ref="B178:B199"/>
    <mergeCell ref="B200:B224"/>
    <mergeCell ref="B227:C227"/>
    <mergeCell ref="F175:J175"/>
    <mergeCell ref="K202:N202"/>
    <mergeCell ref="K203:N203"/>
    <mergeCell ref="K194:N194"/>
    <mergeCell ref="K195:N195"/>
    <mergeCell ref="K196:N196"/>
    <mergeCell ref="K197:N197"/>
    <mergeCell ref="K198:N198"/>
    <mergeCell ref="K190:N190"/>
    <mergeCell ref="K191:N191"/>
    <mergeCell ref="K199:N199"/>
    <mergeCell ref="K200:N200"/>
    <mergeCell ref="K201:N201"/>
    <mergeCell ref="K192:N192"/>
    <mergeCell ref="K193:N193"/>
    <mergeCell ref="F227:L227"/>
    <mergeCell ref="K223:N223"/>
    <mergeCell ref="K224:N224"/>
    <mergeCell ref="K204:N204"/>
    <mergeCell ref="K205:N205"/>
    <mergeCell ref="K206:N206"/>
    <mergeCell ref="K217:N217"/>
    <mergeCell ref="F248:L248"/>
    <mergeCell ref="F239:L239"/>
    <mergeCell ref="F240:L240"/>
    <mergeCell ref="F241:L241"/>
    <mergeCell ref="F242:L242"/>
    <mergeCell ref="F243:L243"/>
    <mergeCell ref="K222:N222"/>
    <mergeCell ref="F244:L244"/>
    <mergeCell ref="F245:L245"/>
    <mergeCell ref="F246:L246"/>
    <mergeCell ref="F247:L247"/>
    <mergeCell ref="F234:L234"/>
    <mergeCell ref="F235:L235"/>
    <mergeCell ref="F236:L236"/>
    <mergeCell ref="F237:L237"/>
    <mergeCell ref="F238:L238"/>
    <mergeCell ref="F228:L228"/>
    <mergeCell ref="F229:L229"/>
    <mergeCell ref="F230:L230"/>
    <mergeCell ref="F231:L231"/>
    <mergeCell ref="F232:L232"/>
    <mergeCell ref="F233:L233"/>
    <mergeCell ref="K218:N218"/>
    <mergeCell ref="K219:N219"/>
    <mergeCell ref="K220:N220"/>
    <mergeCell ref="K221:N221"/>
    <mergeCell ref="K212:N212"/>
    <mergeCell ref="K213:N213"/>
    <mergeCell ref="K214:N214"/>
    <mergeCell ref="K215:N215"/>
    <mergeCell ref="K216:N216"/>
    <mergeCell ref="K164:N164"/>
    <mergeCell ref="K165:N165"/>
    <mergeCell ref="F151:J151"/>
    <mergeCell ref="K207:N207"/>
    <mergeCell ref="K179:N179"/>
    <mergeCell ref="K208:N208"/>
    <mergeCell ref="K210:N210"/>
    <mergeCell ref="K211:N211"/>
    <mergeCell ref="K209:N209"/>
    <mergeCell ref="K180:N180"/>
    <mergeCell ref="K181:N181"/>
    <mergeCell ref="K182:N182"/>
    <mergeCell ref="K183:N183"/>
    <mergeCell ref="K184:N184"/>
    <mergeCell ref="K185:N185"/>
    <mergeCell ref="K186:N186"/>
    <mergeCell ref="K187:N187"/>
    <mergeCell ref="K188:N188"/>
    <mergeCell ref="K189:N189"/>
    <mergeCell ref="K155:N155"/>
    <mergeCell ref="K156:N156"/>
    <mergeCell ref="K157:N157"/>
    <mergeCell ref="K158:N158"/>
    <mergeCell ref="K159:N159"/>
    <mergeCell ref="K160:N160"/>
    <mergeCell ref="K161:N161"/>
    <mergeCell ref="K162:N162"/>
    <mergeCell ref="K163:N163"/>
    <mergeCell ref="E151:E153"/>
    <mergeCell ref="F152:I153"/>
    <mergeCell ref="K151:N153"/>
    <mergeCell ref="B151:D153"/>
    <mergeCell ref="K144:N144"/>
    <mergeCell ref="K145:N145"/>
    <mergeCell ref="K146:N146"/>
    <mergeCell ref="K147:N147"/>
    <mergeCell ref="K148:N148"/>
    <mergeCell ref="K149:N149"/>
    <mergeCell ref="K150:N15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185"/>
  <sheetViews>
    <sheetView topLeftCell="A62" workbookViewId="0">
      <selection activeCell="G71" sqref="G71"/>
    </sheetView>
  </sheetViews>
  <sheetFormatPr defaultColWidth="9.140625" defaultRowHeight="15"/>
  <cols>
    <col min="1" max="1" width="6.28515625" style="137" customWidth="1"/>
    <col min="2" max="2" width="34.42578125" style="137" customWidth="1"/>
    <col min="3" max="3" width="8" style="137" customWidth="1"/>
    <col min="4" max="7" width="14.28515625" style="137" customWidth="1"/>
    <col min="8" max="8" width="14.28515625" style="168" customWidth="1"/>
    <col min="9" max="9" width="59.85546875" style="137" customWidth="1"/>
    <col min="10" max="10" width="9.140625" style="137"/>
    <col min="11" max="11" width="16.28515625" style="137" customWidth="1"/>
    <col min="12" max="12" width="13.28515625" style="137" customWidth="1"/>
    <col min="13" max="13" width="9.140625" style="137"/>
    <col min="14" max="14" width="8.85546875" style="137" hidden="1" customWidth="1"/>
    <col min="15" max="16" width="0" style="137" hidden="1" customWidth="1"/>
    <col min="17" max="17" width="9.140625" style="137"/>
    <col min="18" max="18" width="23.140625" style="137" customWidth="1"/>
    <col min="19" max="20" width="9.140625" style="137"/>
    <col min="21" max="21" width="15.140625" style="137" bestFit="1" customWidth="1"/>
    <col min="22" max="22" width="12.28515625" style="137" bestFit="1" customWidth="1"/>
    <col min="23" max="23" width="15.140625" style="137" bestFit="1" customWidth="1"/>
    <col min="24" max="16384" width="9.140625" style="137"/>
  </cols>
  <sheetData>
    <row r="2" spans="1:12" ht="18">
      <c r="A2" s="877"/>
      <c r="B2" s="874" t="s">
        <v>45</v>
      </c>
      <c r="C2" s="877" t="s">
        <v>46</v>
      </c>
      <c r="D2" s="786" t="s">
        <v>47</v>
      </c>
      <c r="E2" s="787"/>
      <c r="F2" s="787"/>
      <c r="G2" s="787"/>
      <c r="H2" s="880"/>
      <c r="I2" s="874" t="s">
        <v>48</v>
      </c>
      <c r="K2" s="609" t="s">
        <v>12</v>
      </c>
      <c r="L2" s="610"/>
    </row>
    <row r="3" spans="1:12">
      <c r="A3" s="878"/>
      <c r="B3" s="875"/>
      <c r="C3" s="878"/>
      <c r="D3" s="157" t="s">
        <v>49</v>
      </c>
      <c r="E3" s="157" t="s">
        <v>270</v>
      </c>
      <c r="F3" s="157" t="s">
        <v>271</v>
      </c>
      <c r="G3" s="157" t="s">
        <v>51</v>
      </c>
      <c r="H3" s="179" t="s">
        <v>52</v>
      </c>
      <c r="I3" s="875"/>
      <c r="K3" s="2" t="s">
        <v>13</v>
      </c>
      <c r="L3" s="136" t="s">
        <v>152</v>
      </c>
    </row>
    <row r="4" spans="1:12">
      <c r="A4" s="879"/>
      <c r="B4" s="876"/>
      <c r="C4" s="879"/>
      <c r="D4" s="157" t="s">
        <v>53</v>
      </c>
      <c r="E4" s="157" t="s">
        <v>54</v>
      </c>
      <c r="F4" s="157" t="s">
        <v>54</v>
      </c>
      <c r="G4" s="157" t="s">
        <v>55</v>
      </c>
      <c r="H4" s="179" t="s">
        <v>148</v>
      </c>
      <c r="I4" s="876"/>
      <c r="K4" s="2" t="s">
        <v>16</v>
      </c>
      <c r="L4" s="173">
        <v>1</v>
      </c>
    </row>
    <row r="5" spans="1:12">
      <c r="A5" s="158" t="s">
        <v>56</v>
      </c>
      <c r="C5" s="159"/>
      <c r="D5" s="159"/>
      <c r="E5" s="159"/>
      <c r="F5" s="159"/>
      <c r="G5" s="159"/>
      <c r="H5" s="180"/>
      <c r="I5" s="138"/>
      <c r="K5" s="2" t="s">
        <v>265</v>
      </c>
      <c r="L5" s="173">
        <v>30</v>
      </c>
    </row>
    <row r="6" spans="1:12">
      <c r="A6" s="139"/>
      <c r="B6" s="140" t="s">
        <v>57</v>
      </c>
      <c r="C6" s="139" t="s">
        <v>58</v>
      </c>
      <c r="D6" s="160">
        <f>D70*$G$70*10^-6</f>
        <v>5.7221999999999995E-2</v>
      </c>
      <c r="E6" s="160">
        <f>E70*$G$70*10^-6</f>
        <v>1.02E-6</v>
      </c>
      <c r="F6" s="160"/>
      <c r="G6" s="160">
        <f>F70*$G$70*10^-6</f>
        <v>1.02E-7</v>
      </c>
      <c r="H6" s="180">
        <f t="shared" ref="H6:H15" si="0">D6+(E6*$L$5)+(G6*$L$7)</f>
        <v>5.7279629999999991E-2</v>
      </c>
      <c r="I6" s="141" t="s">
        <v>59</v>
      </c>
      <c r="J6" s="168"/>
      <c r="K6" s="2" t="s">
        <v>26</v>
      </c>
      <c r="L6" s="173">
        <v>28</v>
      </c>
    </row>
    <row r="7" spans="1:12">
      <c r="A7" s="139"/>
      <c r="B7" s="140" t="s">
        <v>57</v>
      </c>
      <c r="C7" s="139" t="s">
        <v>151</v>
      </c>
      <c r="D7" s="160">
        <f>D70/1000000</f>
        <v>5.6099999999999997E-2</v>
      </c>
      <c r="E7" s="160">
        <f t="shared" ref="E7" si="1">E70/1000000</f>
        <v>9.9999999999999995E-7</v>
      </c>
      <c r="F7" s="160"/>
      <c r="G7" s="160">
        <f>F70/1000000</f>
        <v>1.0000000000000001E-7</v>
      </c>
      <c r="H7" s="180">
        <f t="shared" si="0"/>
        <v>5.6156499999999998E-2</v>
      </c>
      <c r="I7" s="141" t="s">
        <v>59</v>
      </c>
      <c r="J7" s="168"/>
      <c r="K7" s="2" t="s">
        <v>27</v>
      </c>
      <c r="L7" s="173">
        <v>265</v>
      </c>
    </row>
    <row r="8" spans="1:12">
      <c r="A8" s="139"/>
      <c r="B8" s="140" t="s">
        <v>60</v>
      </c>
      <c r="C8" s="139" t="s">
        <v>61</v>
      </c>
      <c r="D8" s="160">
        <f>D71*$G$71*10^-6</f>
        <v>1.0574699999999999</v>
      </c>
      <c r="E8" s="160">
        <f>E71*$G$71*10^-6</f>
        <v>1.047E-5</v>
      </c>
      <c r="F8" s="160"/>
      <c r="G8" s="160">
        <f>F71*$G$71*10^-6</f>
        <v>1.5705E-5</v>
      </c>
      <c r="H8" s="180">
        <f t="shared" si="0"/>
        <v>1.0619459249999998</v>
      </c>
      <c r="I8" s="141" t="s">
        <v>59</v>
      </c>
      <c r="J8" s="168"/>
      <c r="K8" s="2" t="s">
        <v>28</v>
      </c>
      <c r="L8" s="173">
        <v>23500</v>
      </c>
    </row>
    <row r="9" spans="1:12">
      <c r="A9" s="139"/>
      <c r="B9" s="140" t="s">
        <v>154</v>
      </c>
      <c r="C9" s="139" t="s">
        <v>62</v>
      </c>
      <c r="D9" s="160">
        <f>D72*$G$72*10^-6</f>
        <v>3.2096984443713019</v>
      </c>
      <c r="E9" s="160">
        <f>E72*$G$72*10^-6</f>
        <v>1.2440691644850007E-4</v>
      </c>
      <c r="F9" s="160"/>
      <c r="G9" s="160">
        <f>F72*$G$72*10^-6</f>
        <v>2.4881383289700012E-5</v>
      </c>
      <c r="H9" s="180">
        <f t="shared" si="0"/>
        <v>3.2200242184365275</v>
      </c>
      <c r="I9" s="141" t="s">
        <v>158</v>
      </c>
      <c r="J9" s="168"/>
      <c r="K9" s="2" t="s">
        <v>29</v>
      </c>
      <c r="L9" s="173">
        <v>16100</v>
      </c>
    </row>
    <row r="10" spans="1:12">
      <c r="A10" s="139"/>
      <c r="B10" s="140" t="s">
        <v>157</v>
      </c>
      <c r="C10" s="139" t="s">
        <v>62</v>
      </c>
      <c r="D10" s="160">
        <f>D73*$G$73*10^-6</f>
        <v>3.2353401009425418</v>
      </c>
      <c r="E10" s="160">
        <f>E73*$G$73*10^-6</f>
        <v>1.2540077910630005E-4</v>
      </c>
      <c r="F10" s="160"/>
      <c r="G10" s="160">
        <f>F73*$G$73*10^-6</f>
        <v>2.5080155821260009E-5</v>
      </c>
      <c r="H10" s="180">
        <f t="shared" si="0"/>
        <v>3.2457483656083648</v>
      </c>
      <c r="I10" s="141" t="s">
        <v>158</v>
      </c>
      <c r="J10" s="168"/>
      <c r="K10" s="137" t="s">
        <v>161</v>
      </c>
    </row>
    <row r="11" spans="1:12">
      <c r="A11" s="139"/>
      <c r="B11" s="140" t="s">
        <v>63</v>
      </c>
      <c r="C11" s="139" t="s">
        <v>62</v>
      </c>
      <c r="D11" s="160">
        <f>D74*$G$74*10^-6</f>
        <v>2.6987220000000001</v>
      </c>
      <c r="E11" s="160">
        <f>E74*$G$74*10^-6</f>
        <v>1.0925999999999999E-4</v>
      </c>
      <c r="F11" s="160"/>
      <c r="G11" s="160">
        <f>F74*$G$74*10^-6</f>
        <v>2.1852E-5</v>
      </c>
      <c r="H11" s="180">
        <f t="shared" si="0"/>
        <v>2.7077905800000002</v>
      </c>
      <c r="I11" s="141" t="s">
        <v>59</v>
      </c>
      <c r="J11" s="168"/>
    </row>
    <row r="12" spans="1:12">
      <c r="A12" s="139"/>
      <c r="B12" s="140" t="s">
        <v>64</v>
      </c>
      <c r="C12" s="139" t="s">
        <v>61</v>
      </c>
      <c r="D12" s="160">
        <f>D75*$G$75*10^-6</f>
        <v>3.0866199999999999</v>
      </c>
      <c r="E12" s="160">
        <f>E75*$G$75*10^-6</f>
        <v>3.1399999999999998E-5</v>
      </c>
      <c r="F12" s="160"/>
      <c r="G12" s="160">
        <f>F75*$G$75*10^-6</f>
        <v>4.7099999999999993E-5</v>
      </c>
      <c r="H12" s="180">
        <f t="shared" si="0"/>
        <v>3.1000435</v>
      </c>
      <c r="I12" s="141" t="s">
        <v>59</v>
      </c>
      <c r="J12" s="168"/>
    </row>
    <row r="13" spans="1:12">
      <c r="A13" s="139"/>
      <c r="B13" s="140" t="s">
        <v>65</v>
      </c>
      <c r="C13" s="139" t="s">
        <v>61</v>
      </c>
      <c r="D13" s="160">
        <f>D76*$G$76*10^-6</f>
        <v>2.534157</v>
      </c>
      <c r="E13" s="160">
        <f>E76*$G$76*10^-6</f>
        <v>2.637E-5</v>
      </c>
      <c r="F13" s="160"/>
      <c r="G13" s="160">
        <f>F76*$G$76*10^-6</f>
        <v>3.9554999999999997E-5</v>
      </c>
      <c r="H13" s="180">
        <f t="shared" si="0"/>
        <v>2.5454301749999999</v>
      </c>
      <c r="I13" s="141" t="s">
        <v>59</v>
      </c>
      <c r="J13" s="168"/>
    </row>
    <row r="14" spans="1:12">
      <c r="A14" s="139"/>
      <c r="B14" s="140" t="s">
        <v>66</v>
      </c>
      <c r="C14" s="139" t="s">
        <v>62</v>
      </c>
      <c r="D14" s="160">
        <f>D77*$G$77*10^-6</f>
        <v>2.4688949999999998</v>
      </c>
      <c r="E14" s="160">
        <f>E77*$G$77*10^-6</f>
        <v>1.0359E-4</v>
      </c>
      <c r="F14" s="160"/>
      <c r="G14" s="160">
        <f t="shared" ref="G14" si="2">F77*$G$77*10^-6</f>
        <v>2.0718000000000001E-5</v>
      </c>
      <c r="H14" s="180">
        <f t="shared" si="0"/>
        <v>2.4774929700000001</v>
      </c>
      <c r="I14" s="141" t="s">
        <v>59</v>
      </c>
      <c r="J14" s="168"/>
    </row>
    <row r="15" spans="1:12">
      <c r="A15" s="139"/>
      <c r="B15" s="140" t="s">
        <v>67</v>
      </c>
      <c r="C15" s="139" t="s">
        <v>62</v>
      </c>
      <c r="D15" s="160">
        <f>D78*$G$78*10^-6</f>
        <v>1.6797219999999999</v>
      </c>
      <c r="E15" s="160">
        <f>E78*$G$78*10^-6</f>
        <v>2.6619999999999999E-5</v>
      </c>
      <c r="F15" s="160"/>
      <c r="G15" s="160">
        <f>F78*$G$78*10^-6</f>
        <v>2.6620000000000001E-6</v>
      </c>
      <c r="H15" s="180">
        <f t="shared" si="0"/>
        <v>1.6812260299999999</v>
      </c>
      <c r="I15" s="141" t="s">
        <v>59</v>
      </c>
      <c r="J15" s="168"/>
    </row>
    <row r="16" spans="1:12">
      <c r="A16" s="158"/>
      <c r="B16" s="140" t="s">
        <v>67</v>
      </c>
      <c r="C16" s="139" t="s">
        <v>61</v>
      </c>
      <c r="D16" s="160">
        <f>D15/0.54</f>
        <v>3.1105962962962961</v>
      </c>
      <c r="E16" s="160">
        <f>E15/0.54</f>
        <v>4.9296296296296292E-5</v>
      </c>
      <c r="F16" s="160"/>
      <c r="G16" s="160">
        <f t="shared" ref="G16" si="3">G15/0.54</f>
        <v>4.9296296296296292E-6</v>
      </c>
      <c r="H16" s="180">
        <f>D16+(E16*$L$5)+(G16*$L$7)</f>
        <v>3.1133815370370366</v>
      </c>
      <c r="I16" s="141" t="s">
        <v>159</v>
      </c>
      <c r="J16" s="168"/>
    </row>
    <row r="17" spans="1:10">
      <c r="A17" s="158"/>
      <c r="B17" s="140" t="s">
        <v>149</v>
      </c>
      <c r="C17" s="139" t="s">
        <v>62</v>
      </c>
      <c r="D17" s="160">
        <f>D79*$G$79*10^-6</f>
        <v>2.1815639999999998</v>
      </c>
      <c r="E17" s="160">
        <f>E79*$G$79*10^-6</f>
        <v>9.4439999999999997E-5</v>
      </c>
      <c r="F17" s="160"/>
      <c r="G17" s="160">
        <f>F79*$G$79*10^-6</f>
        <v>1.8887999999999996E-5</v>
      </c>
      <c r="H17" s="180">
        <f>D17+(E17*$L$5)+(G17*$L$7)</f>
        <v>2.1894025199999998</v>
      </c>
      <c r="I17" s="141" t="s">
        <v>59</v>
      </c>
      <c r="J17" s="168"/>
    </row>
    <row r="18" spans="1:10">
      <c r="A18" s="158"/>
      <c r="B18" s="140" t="s">
        <v>184</v>
      </c>
      <c r="C18" s="139" t="s">
        <v>61</v>
      </c>
      <c r="D18" s="160"/>
      <c r="E18" s="160"/>
      <c r="F18" s="160">
        <f>E80*$G$80*10^-6</f>
        <v>4.7969999999999995E-4</v>
      </c>
      <c r="G18" s="160">
        <f>F80*$G$80*10^-6</f>
        <v>6.3960000000000004E-5</v>
      </c>
      <c r="H18" s="180">
        <f>D18+(F18*$L$6)+(G18*$L$7)</f>
        <v>3.0380999999999998E-2</v>
      </c>
      <c r="I18" s="141" t="s">
        <v>59</v>
      </c>
      <c r="J18" s="168"/>
    </row>
    <row r="19" spans="1:10">
      <c r="A19" s="158"/>
      <c r="B19" s="140" t="s">
        <v>185</v>
      </c>
      <c r="C19" s="139" t="s">
        <v>61</v>
      </c>
      <c r="D19" s="160"/>
      <c r="E19" s="160"/>
      <c r="F19" s="160">
        <f>E82*$G$82*10^-6</f>
        <v>2.2589999999999999E-4</v>
      </c>
      <c r="G19" s="160">
        <f>F82*$G$82*10^-6</f>
        <v>3.012E-5</v>
      </c>
      <c r="H19" s="180">
        <f>D19+(F19*$L$6)+(G19*$L$7)</f>
        <v>1.4307E-2</v>
      </c>
      <c r="I19" s="141" t="s">
        <v>59</v>
      </c>
      <c r="J19" s="168"/>
    </row>
    <row r="20" spans="1:10">
      <c r="A20" s="158"/>
      <c r="B20" s="140" t="s">
        <v>186</v>
      </c>
      <c r="C20" s="139" t="s">
        <v>61</v>
      </c>
      <c r="D20" s="160"/>
      <c r="E20" s="160"/>
      <c r="F20" s="160">
        <f>E83*$G$83*10^-6</f>
        <v>5.5590000000000001E-4</v>
      </c>
      <c r="G20" s="160">
        <f>F83*$G$83*10^-6</f>
        <v>7.4120000000000002E-5</v>
      </c>
      <c r="H20" s="180">
        <f>D20+(F20*$L$6)+(G20*$L$7)</f>
        <v>3.5207000000000002E-2</v>
      </c>
      <c r="I20" s="141" t="s">
        <v>59</v>
      </c>
      <c r="J20" s="168"/>
    </row>
    <row r="21" spans="1:10">
      <c r="A21" s="158"/>
      <c r="B21" s="140" t="s">
        <v>187</v>
      </c>
      <c r="C21" s="139" t="s">
        <v>61</v>
      </c>
      <c r="D21" s="160"/>
      <c r="E21" s="160"/>
      <c r="F21" s="160">
        <f>E84*$G$84*10^-6</f>
        <v>5.0339999999999998E-4</v>
      </c>
      <c r="G21" s="160">
        <f>F84*$G$84*10^-6</f>
        <v>6.7120000000000008E-5</v>
      </c>
      <c r="H21" s="180">
        <f>D21+(F21*$L$6)+(G21*$L$7)</f>
        <v>3.1882000000000001E-2</v>
      </c>
      <c r="I21" s="141" t="s">
        <v>59</v>
      </c>
      <c r="J21" s="168"/>
    </row>
    <row r="22" spans="1:10">
      <c r="A22" s="158"/>
      <c r="B22" s="140" t="s">
        <v>188</v>
      </c>
      <c r="C22" s="139" t="s">
        <v>215</v>
      </c>
      <c r="D22" s="160"/>
      <c r="E22" s="160"/>
      <c r="F22" s="160">
        <f>E85*$G$85*10^-6</f>
        <v>2.0929999999999998E-5</v>
      </c>
      <c r="G22" s="160">
        <f>F85*$G$85*10^-6</f>
        <v>2.0929999999999997E-6</v>
      </c>
      <c r="H22" s="180">
        <f>D22+(F22*$L$6)+(G22*$L$7)</f>
        <v>1.1406849999999998E-3</v>
      </c>
      <c r="I22" s="141" t="s">
        <v>59</v>
      </c>
      <c r="J22" s="168"/>
    </row>
    <row r="23" spans="1:10">
      <c r="A23" s="158"/>
      <c r="B23" s="140" t="s">
        <v>189</v>
      </c>
      <c r="C23" s="139" t="s">
        <v>61</v>
      </c>
      <c r="D23" s="160">
        <f>D80*$G$80*10^-6</f>
        <v>1.79088</v>
      </c>
      <c r="E23" s="160"/>
      <c r="F23" s="160"/>
      <c r="G23" s="160"/>
      <c r="H23" s="180">
        <f>D23+(E23*$L$5)+(G23*$L$7)</f>
        <v>1.79088</v>
      </c>
      <c r="I23" s="141" t="s">
        <v>59</v>
      </c>
      <c r="J23" s="168"/>
    </row>
    <row r="24" spans="1:10">
      <c r="A24" s="158"/>
      <c r="B24" s="140" t="s">
        <v>190</v>
      </c>
      <c r="C24" s="139" t="s">
        <v>61</v>
      </c>
      <c r="D24" s="160">
        <f>D82*$G$82*10^-6</f>
        <v>0.753</v>
      </c>
      <c r="E24" s="160"/>
      <c r="F24" s="160"/>
      <c r="G24" s="160"/>
      <c r="H24" s="180">
        <f>D24+(E24*$L$5)+(G24*$L$7)</f>
        <v>0.753</v>
      </c>
      <c r="I24" s="141" t="s">
        <v>59</v>
      </c>
      <c r="J24" s="168"/>
    </row>
    <row r="25" spans="1:10">
      <c r="A25" s="158"/>
      <c r="B25" s="140" t="s">
        <v>191</v>
      </c>
      <c r="C25" s="139" t="s">
        <v>61</v>
      </c>
      <c r="D25" s="160">
        <f>D83*$G$83*10^-6</f>
        <v>1.853</v>
      </c>
      <c r="E25" s="160"/>
      <c r="F25" s="160"/>
      <c r="G25" s="160"/>
      <c r="H25" s="180">
        <f>D25+(E25*$L$5)+(G25*$L$7)</f>
        <v>1.853</v>
      </c>
      <c r="I25" s="141" t="s">
        <v>59</v>
      </c>
      <c r="J25" s="168"/>
    </row>
    <row r="26" spans="1:10">
      <c r="A26" s="158"/>
      <c r="B26" s="140" t="s">
        <v>192</v>
      </c>
      <c r="C26" s="139" t="s">
        <v>61</v>
      </c>
      <c r="D26" s="160">
        <f>D84*$G$84*10^-6</f>
        <v>1.6779999999999999</v>
      </c>
      <c r="E26" s="160"/>
      <c r="F26" s="160"/>
      <c r="G26" s="160"/>
      <c r="H26" s="180">
        <f>D26+(E26*$L$5)+(G26*$L$7)</f>
        <v>1.6779999999999999</v>
      </c>
      <c r="I26" s="141" t="s">
        <v>59</v>
      </c>
      <c r="J26" s="168"/>
    </row>
    <row r="27" spans="1:10">
      <c r="A27" s="158"/>
      <c r="B27" s="140" t="s">
        <v>193</v>
      </c>
      <c r="C27" s="139" t="s">
        <v>215</v>
      </c>
      <c r="D27" s="160">
        <f>D85*$G$85*10^-6</f>
        <v>1.1427779999999998</v>
      </c>
      <c r="E27" s="160"/>
      <c r="F27" s="160"/>
      <c r="G27" s="160"/>
      <c r="H27" s="180">
        <f>D27+(E27*$L$5)+(G27*$L$7)</f>
        <v>1.1427779999999998</v>
      </c>
      <c r="I27" s="141" t="s">
        <v>59</v>
      </c>
      <c r="J27" s="168"/>
    </row>
    <row r="28" spans="1:10">
      <c r="A28" s="158" t="s">
        <v>68</v>
      </c>
      <c r="B28" s="140"/>
      <c r="C28" s="139"/>
      <c r="D28" s="160"/>
      <c r="E28" s="160"/>
      <c r="F28" s="160"/>
      <c r="G28" s="160"/>
      <c r="H28" s="180"/>
      <c r="I28" s="141"/>
      <c r="J28" s="168"/>
    </row>
    <row r="29" spans="1:10">
      <c r="A29" s="158"/>
      <c r="B29" s="140" t="s">
        <v>69</v>
      </c>
      <c r="C29" s="142" t="s">
        <v>62</v>
      </c>
      <c r="D29" s="160">
        <f>D91*$G$91*10^-6</f>
        <v>2.1815639999999998</v>
      </c>
      <c r="E29" s="160">
        <f>E91*$G$91*10^-6</f>
        <v>1.0388399999999999E-3</v>
      </c>
      <c r="F29" s="160"/>
      <c r="G29" s="160">
        <f>F91*$G$91*10^-6</f>
        <v>1.0073600000000001E-4</v>
      </c>
      <c r="H29" s="180">
        <f t="shared" ref="H29:H35" si="4">D29+(E29*$L$5)+(G29*$L$7)</f>
        <v>2.2394242399999995</v>
      </c>
      <c r="I29" s="141" t="s">
        <v>70</v>
      </c>
      <c r="J29" s="168"/>
    </row>
    <row r="30" spans="1:10">
      <c r="A30" s="158"/>
      <c r="B30" s="140" t="s">
        <v>150</v>
      </c>
      <c r="C30" s="142" t="s">
        <v>62</v>
      </c>
      <c r="D30" s="160">
        <f>D92*$G$92*10^-6</f>
        <v>2.1815639999999998</v>
      </c>
      <c r="E30" s="160">
        <f>E92*$G$92*10^-6</f>
        <v>7.8699999999999994E-4</v>
      </c>
      <c r="F30" s="160"/>
      <c r="G30" s="160">
        <f>F92*$G$92*10^-6</f>
        <v>2.5183999999999997E-4</v>
      </c>
      <c r="H30" s="180">
        <f t="shared" si="4"/>
        <v>2.2719116000000001</v>
      </c>
      <c r="I30" s="141" t="s">
        <v>70</v>
      </c>
      <c r="J30" s="168"/>
    </row>
    <row r="31" spans="1:10">
      <c r="A31" s="158"/>
      <c r="B31" s="140" t="s">
        <v>72</v>
      </c>
      <c r="C31" s="142" t="s">
        <v>62</v>
      </c>
      <c r="D31" s="160">
        <f>D93*$G$93*10^-6</f>
        <v>2.1815639999999998</v>
      </c>
      <c r="E31" s="160">
        <f>E93*$G$93*10^-6</f>
        <v>1.1962399999999999E-4</v>
      </c>
      <c r="F31" s="160"/>
      <c r="G31" s="160">
        <f>F93*$G$93*10^-6</f>
        <v>1.7943599999999999E-4</v>
      </c>
      <c r="H31" s="180">
        <f t="shared" si="4"/>
        <v>2.2327032600000001</v>
      </c>
      <c r="I31" s="141" t="s">
        <v>70</v>
      </c>
      <c r="J31" s="168"/>
    </row>
    <row r="32" spans="1:10">
      <c r="A32" s="158"/>
      <c r="B32" s="140" t="s">
        <v>73</v>
      </c>
      <c r="C32" s="142" t="s">
        <v>62</v>
      </c>
      <c r="D32" s="160">
        <f>D94*$G$94*10^-6</f>
        <v>2.6987220000000001</v>
      </c>
      <c r="E32" s="160">
        <f>E94*$G$94*10^-6</f>
        <v>1.4203800000000001E-4</v>
      </c>
      <c r="F32" s="160"/>
      <c r="G32" s="160">
        <f>F94*$G$94*10^-6</f>
        <v>1.4203800000000001E-4</v>
      </c>
      <c r="H32" s="180">
        <f t="shared" si="4"/>
        <v>2.7406232100000003</v>
      </c>
      <c r="I32" s="141" t="s">
        <v>70</v>
      </c>
      <c r="J32" s="168"/>
    </row>
    <row r="33" spans="1:10">
      <c r="A33" s="158"/>
      <c r="B33" s="140" t="s">
        <v>74</v>
      </c>
      <c r="C33" s="142" t="s">
        <v>61</v>
      </c>
      <c r="D33" s="160">
        <f>D95*$G$95*10^-6</f>
        <v>2.1261899999999998</v>
      </c>
      <c r="E33" s="160">
        <f>E95*$G$95*10^-6</f>
        <v>3.4867999999999995E-3</v>
      </c>
      <c r="F33" s="160"/>
      <c r="G33" s="160">
        <f>F95*$G$95*10^-6</f>
        <v>1.1369999999999999E-4</v>
      </c>
      <c r="H33" s="180">
        <f t="shared" si="4"/>
        <v>2.2609244999999998</v>
      </c>
      <c r="I33" s="141" t="s">
        <v>75</v>
      </c>
      <c r="J33" s="168"/>
    </row>
    <row r="34" spans="1:10">
      <c r="A34" s="158"/>
      <c r="B34" s="140" t="s">
        <v>76</v>
      </c>
      <c r="C34" s="142" t="s">
        <v>62</v>
      </c>
      <c r="D34" s="160">
        <f>D96*$G$96*10^-6</f>
        <v>1.6797219999999999</v>
      </c>
      <c r="E34" s="160">
        <f>E96*$G$96*10^-6</f>
        <v>1.65044E-3</v>
      </c>
      <c r="F34" s="160"/>
      <c r="G34" s="160">
        <f>F96*$G$96*10^-6</f>
        <v>5.3240000000000002E-6</v>
      </c>
      <c r="H34" s="180">
        <f t="shared" si="4"/>
        <v>1.73064606</v>
      </c>
      <c r="I34" s="141" t="s">
        <v>70</v>
      </c>
      <c r="J34" s="168"/>
    </row>
    <row r="35" spans="1:10">
      <c r="A35" s="158"/>
      <c r="B35" s="140" t="s">
        <v>76</v>
      </c>
      <c r="C35" s="139" t="s">
        <v>61</v>
      </c>
      <c r="D35" s="160">
        <f>D34/0.54</f>
        <v>3.1105962962962961</v>
      </c>
      <c r="E35" s="160">
        <f t="shared" ref="E35:G35" si="5">E34/0.54</f>
        <v>3.0563703703703703E-3</v>
      </c>
      <c r="F35" s="160"/>
      <c r="G35" s="160">
        <f t="shared" si="5"/>
        <v>9.8592592592592585E-6</v>
      </c>
      <c r="H35" s="180">
        <f t="shared" si="4"/>
        <v>3.2049001111111108</v>
      </c>
      <c r="I35" s="141" t="s">
        <v>160</v>
      </c>
      <c r="J35" s="168"/>
    </row>
    <row r="36" spans="1:10">
      <c r="A36" s="158" t="s">
        <v>77</v>
      </c>
      <c r="B36" s="140"/>
      <c r="C36" s="139"/>
      <c r="D36" s="160"/>
      <c r="E36" s="160"/>
      <c r="F36" s="160"/>
      <c r="G36" s="160"/>
      <c r="H36" s="180"/>
      <c r="I36" s="141"/>
      <c r="J36" s="168"/>
    </row>
    <row r="37" spans="1:10">
      <c r="A37" s="158"/>
      <c r="B37" s="143" t="s">
        <v>78</v>
      </c>
      <c r="C37" s="142"/>
      <c r="D37" s="160"/>
      <c r="E37" s="160"/>
      <c r="F37" s="160"/>
      <c r="G37" s="160"/>
      <c r="H37" s="180"/>
      <c r="I37" s="141"/>
      <c r="J37" s="168"/>
    </row>
    <row r="38" spans="1:10">
      <c r="A38" s="158"/>
      <c r="B38" s="144" t="s">
        <v>79</v>
      </c>
      <c r="C38" s="142" t="s">
        <v>62</v>
      </c>
      <c r="D38" s="160">
        <f>D103*$G$103/(10^6)</f>
        <v>2.6987220000000001</v>
      </c>
      <c r="E38" s="160">
        <f>E103*$G$103/(10^6)</f>
        <v>1.5114300000000004E-4</v>
      </c>
      <c r="F38" s="160"/>
      <c r="G38" s="160">
        <f>F103*$G$103/(10^6)</f>
        <v>1.0416120000000001E-3</v>
      </c>
      <c r="H38" s="180">
        <f>D38+(E38*$L$5)+(G38*$L$7)</f>
        <v>2.9792834700000004</v>
      </c>
      <c r="I38" s="141" t="s">
        <v>80</v>
      </c>
      <c r="J38" s="168"/>
    </row>
    <row r="39" spans="1:10">
      <c r="A39" s="158"/>
      <c r="B39" s="144" t="s">
        <v>81</v>
      </c>
      <c r="C39" s="142" t="s">
        <v>62</v>
      </c>
      <c r="D39" s="160">
        <f>D104*$G$104/(10^6)</f>
        <v>2.6987220000000001</v>
      </c>
      <c r="E39" s="160">
        <f>E104*$G$104/(10^6)</f>
        <v>1.5114300000000004E-4</v>
      </c>
      <c r="F39" s="160"/>
      <c r="G39" s="160">
        <f>F104*$G$104/(10^6)</f>
        <v>1.0416120000000001E-3</v>
      </c>
      <c r="H39" s="180">
        <f>D39+(E39*$L$5)+(G39*$L$7)</f>
        <v>2.9792834700000004</v>
      </c>
      <c r="I39" s="141" t="s">
        <v>80</v>
      </c>
      <c r="J39" s="168"/>
    </row>
    <row r="40" spans="1:10">
      <c r="A40" s="158"/>
      <c r="B40" s="144" t="s">
        <v>82</v>
      </c>
      <c r="C40" s="142" t="s">
        <v>62</v>
      </c>
      <c r="D40" s="160">
        <f>D105*$G$105/(10^6)</f>
        <v>2.6987220000000001</v>
      </c>
      <c r="E40" s="160">
        <f>E105*$G$105/(10^6)</f>
        <v>1.5114300000000004E-4</v>
      </c>
      <c r="F40" s="160"/>
      <c r="G40" s="160">
        <f>F105*$G$105/(10^6)</f>
        <v>1.0416120000000001E-3</v>
      </c>
      <c r="H40" s="180">
        <f>D40+(E40*$L$5)+(G40*$L$7)</f>
        <v>2.9792834700000004</v>
      </c>
      <c r="I40" s="141" t="s">
        <v>80</v>
      </c>
      <c r="J40" s="168"/>
    </row>
    <row r="41" spans="1:10">
      <c r="A41" s="158"/>
      <c r="B41" s="144" t="s">
        <v>83</v>
      </c>
      <c r="C41" s="142" t="s">
        <v>62</v>
      </c>
      <c r="D41" s="160">
        <f>D106*$G$106/(10^6)</f>
        <v>2.6987220000000001</v>
      </c>
      <c r="E41" s="160">
        <f>E106*$G$106/(10^6)</f>
        <v>1.5114300000000004E-4</v>
      </c>
      <c r="F41" s="160"/>
      <c r="G41" s="160">
        <f>F106*$G$106/(10^6)</f>
        <v>1.0416120000000001E-3</v>
      </c>
      <c r="H41" s="180">
        <f>D41+(E41*$L$5)+(G41*$L$7)</f>
        <v>2.9792834700000004</v>
      </c>
      <c r="I41" s="141" t="s">
        <v>80</v>
      </c>
      <c r="J41" s="168"/>
    </row>
    <row r="42" spans="1:10">
      <c r="A42" s="158"/>
      <c r="B42" s="143" t="s">
        <v>84</v>
      </c>
      <c r="C42" s="142"/>
      <c r="D42" s="160"/>
      <c r="E42" s="160"/>
      <c r="F42" s="160"/>
      <c r="G42" s="160"/>
      <c r="H42" s="180"/>
      <c r="I42" s="141"/>
      <c r="J42" s="168"/>
    </row>
    <row r="43" spans="1:10">
      <c r="A43" s="158"/>
      <c r="B43" s="144" t="s">
        <v>79</v>
      </c>
      <c r="C43" s="142" t="s">
        <v>62</v>
      </c>
      <c r="D43" s="160">
        <f>D108*$G$108/(10^6)</f>
        <v>2.1815639999999998</v>
      </c>
      <c r="E43" s="160">
        <f>E108*$G$108/(10^6)</f>
        <v>2.5184000000000001E-3</v>
      </c>
      <c r="F43" s="160"/>
      <c r="G43" s="160">
        <f>F108*$G$108/(10^6)</f>
        <v>6.2960000000000007E-5</v>
      </c>
      <c r="H43" s="180">
        <f>D43+(E43*$L$5)+(G43*$L$7)</f>
        <v>2.2738003999999998</v>
      </c>
      <c r="I43" s="141" t="s">
        <v>80</v>
      </c>
      <c r="J43" s="168"/>
    </row>
    <row r="44" spans="1:10">
      <c r="A44" s="138"/>
      <c r="B44" s="144" t="s">
        <v>81</v>
      </c>
      <c r="C44" s="142" t="s">
        <v>62</v>
      </c>
      <c r="D44" s="160">
        <f>D109*$G$109/(10^6)</f>
        <v>2.1815639999999998</v>
      </c>
      <c r="E44" s="160">
        <f>E109*$G$109/(10^6)</f>
        <v>0</v>
      </c>
      <c r="F44" s="160"/>
      <c r="G44" s="160">
        <f>F109*$G$109/(10^6)</f>
        <v>0</v>
      </c>
      <c r="H44" s="180">
        <f>D44+(E44*$L$5)+(G44*$L$7)</f>
        <v>2.1815639999999998</v>
      </c>
      <c r="I44" s="141" t="s">
        <v>80</v>
      </c>
      <c r="J44" s="168"/>
    </row>
    <row r="45" spans="1:10">
      <c r="A45" s="138"/>
      <c r="B45" s="144" t="s">
        <v>82</v>
      </c>
      <c r="C45" s="142" t="s">
        <v>62</v>
      </c>
      <c r="D45" s="160">
        <f>D110*$G$110/(10^6)</f>
        <v>2.1815639999999998</v>
      </c>
      <c r="E45" s="160">
        <f>E110*$G$110/(10^6)</f>
        <v>1.5740000000000001E-3</v>
      </c>
      <c r="F45" s="160"/>
      <c r="G45" s="160">
        <f>F110*$G$110/(10^6)</f>
        <v>6.2960000000000007E-5</v>
      </c>
      <c r="H45" s="180">
        <f>D45+(E45*$L$5)+(G45*$L$7)</f>
        <v>2.2454683999999996</v>
      </c>
      <c r="I45" s="141" t="s">
        <v>80</v>
      </c>
      <c r="J45" s="168"/>
    </row>
    <row r="46" spans="1:10">
      <c r="A46" s="138"/>
      <c r="B46" s="144" t="s">
        <v>83</v>
      </c>
      <c r="C46" s="142" t="s">
        <v>62</v>
      </c>
      <c r="D46" s="160">
        <f>D111*$G$111/(10^6)</f>
        <v>2.1815639999999998</v>
      </c>
      <c r="E46" s="160">
        <f>E111*$G$111/(10^6)</f>
        <v>3.7775999999999999E-3</v>
      </c>
      <c r="F46" s="160"/>
      <c r="G46" s="160">
        <f>F111*$G$111/(10^6)</f>
        <v>6.2960000000000007E-5</v>
      </c>
      <c r="H46" s="180">
        <f>D46+(E46*$L$5)+(G46*$L$7)</f>
        <v>2.3115763999999999</v>
      </c>
      <c r="I46" s="141" t="s">
        <v>80</v>
      </c>
      <c r="J46" s="168"/>
    </row>
    <row r="47" spans="1:10">
      <c r="A47" s="158"/>
      <c r="B47" s="143" t="s">
        <v>85</v>
      </c>
      <c r="C47" s="142"/>
      <c r="D47" s="160"/>
      <c r="E47" s="160"/>
      <c r="F47" s="160"/>
      <c r="G47" s="160"/>
      <c r="H47" s="180"/>
      <c r="I47" s="141"/>
      <c r="J47" s="168"/>
    </row>
    <row r="48" spans="1:10">
      <c r="A48" s="158"/>
      <c r="B48" s="144" t="s">
        <v>79</v>
      </c>
      <c r="C48" s="142" t="s">
        <v>62</v>
      </c>
      <c r="D48" s="160">
        <f>D113*$G$113/(10^6)</f>
        <v>2.1815639999999998</v>
      </c>
      <c r="E48" s="160">
        <f>E113*$G$113/(10^6)</f>
        <v>4.4072E-3</v>
      </c>
      <c r="F48" s="160"/>
      <c r="G48" s="160">
        <f>F113*$G$113/(10^6)</f>
        <v>1.2592000000000001E-5</v>
      </c>
      <c r="H48" s="180">
        <f>D48+(E48*$L$5)+(G48*$L$7)</f>
        <v>2.3171168799999999</v>
      </c>
      <c r="I48" s="141" t="s">
        <v>80</v>
      </c>
      <c r="J48" s="168"/>
    </row>
    <row r="49" spans="1:11">
      <c r="A49" s="138"/>
      <c r="B49" s="144" t="s">
        <v>81</v>
      </c>
      <c r="C49" s="142" t="s">
        <v>62</v>
      </c>
      <c r="D49" s="160">
        <f>D114*$G$114/(10^6)</f>
        <v>2.1815639999999998</v>
      </c>
      <c r="E49" s="160">
        <f>E114*$G$114/(10^6)</f>
        <v>5.3516000000000006E-3</v>
      </c>
      <c r="F49" s="160"/>
      <c r="G49" s="160">
        <f>F114*$G$114/(10^6)</f>
        <v>1.2592000000000001E-5</v>
      </c>
      <c r="H49" s="180">
        <f>D49+(E49*$L$5)+(G49*$L$7)</f>
        <v>2.3454488799999997</v>
      </c>
      <c r="I49" s="141" t="s">
        <v>80</v>
      </c>
      <c r="J49" s="168"/>
    </row>
    <row r="50" spans="1:11">
      <c r="A50" s="138"/>
      <c r="B50" s="144" t="s">
        <v>82</v>
      </c>
      <c r="C50" s="142" t="s">
        <v>62</v>
      </c>
      <c r="D50" s="160">
        <f>D115*$G$115/(10^6)</f>
        <v>2.1815639999999998</v>
      </c>
      <c r="E50" s="160">
        <f>E115*$G$115/(10^6)</f>
        <v>4.0924000000000004E-3</v>
      </c>
      <c r="F50" s="160"/>
      <c r="G50" s="160">
        <f>F115*$G$115/(10^6)</f>
        <v>1.2592000000000001E-5</v>
      </c>
      <c r="H50" s="180">
        <f>D50+(E50*$L$5)+(G50*$L$7)</f>
        <v>2.3076728799999997</v>
      </c>
      <c r="I50" s="141" t="s">
        <v>80</v>
      </c>
      <c r="J50" s="168"/>
    </row>
    <row r="51" spans="1:11">
      <c r="A51" s="138"/>
      <c r="B51" s="144" t="s">
        <v>83</v>
      </c>
      <c r="C51" s="142" t="s">
        <v>62</v>
      </c>
      <c r="D51" s="160">
        <f>D116*$G$116/(10^6)</f>
        <v>2.1815639999999998</v>
      </c>
      <c r="E51" s="160">
        <f t="shared" ref="E51" si="6">E116*$G$116/(10^6)</f>
        <v>5.6663999999999994E-3</v>
      </c>
      <c r="F51" s="160"/>
      <c r="G51" s="160">
        <f>F116*$G$116/(10^6)</f>
        <v>1.2592000000000001E-5</v>
      </c>
      <c r="H51" s="180">
        <f>D51+(E51*$L$5)+(G51*$L$7)</f>
        <v>2.35489288</v>
      </c>
      <c r="I51" s="141" t="s">
        <v>80</v>
      </c>
      <c r="J51" s="168"/>
    </row>
    <row r="52" spans="1:11">
      <c r="A52" s="158" t="s">
        <v>166</v>
      </c>
      <c r="B52" s="144"/>
      <c r="C52" s="142"/>
      <c r="D52" s="160"/>
      <c r="E52" s="160"/>
      <c r="F52" s="160"/>
      <c r="G52" s="160"/>
      <c r="H52" s="180"/>
      <c r="I52" s="141"/>
      <c r="J52" s="168"/>
    </row>
    <row r="53" spans="1:11" ht="45">
      <c r="A53" s="177"/>
      <c r="B53" s="178" t="s">
        <v>167</v>
      </c>
      <c r="C53" s="141" t="s">
        <v>168</v>
      </c>
      <c r="D53" s="160" t="s">
        <v>176</v>
      </c>
      <c r="E53" s="160" t="s">
        <v>176</v>
      </c>
      <c r="F53" s="160" t="s">
        <v>176</v>
      </c>
      <c r="G53" s="160" t="s">
        <v>176</v>
      </c>
      <c r="H53" s="180">
        <v>0.49990000000000001</v>
      </c>
      <c r="I53" s="176" t="s">
        <v>169</v>
      </c>
      <c r="J53" s="168"/>
      <c r="K53" s="213"/>
    </row>
    <row r="54" spans="1:11">
      <c r="A54" s="186" t="s">
        <v>170</v>
      </c>
      <c r="B54" s="178"/>
      <c r="C54" s="141"/>
      <c r="D54" s="160"/>
      <c r="E54" s="160"/>
      <c r="F54" s="160"/>
      <c r="G54" s="160"/>
      <c r="H54" s="180"/>
      <c r="I54" s="176"/>
      <c r="J54" s="168"/>
    </row>
    <row r="55" spans="1:11">
      <c r="A55" s="186"/>
      <c r="B55" s="178" t="s">
        <v>175</v>
      </c>
      <c r="C55" s="141" t="s">
        <v>61</v>
      </c>
      <c r="D55" s="160" t="s">
        <v>176</v>
      </c>
      <c r="E55" s="160" t="s">
        <v>176</v>
      </c>
      <c r="F55" s="160" t="s">
        <v>176</v>
      </c>
      <c r="G55" s="160" t="s">
        <v>176</v>
      </c>
      <c r="H55" s="180">
        <v>1760</v>
      </c>
      <c r="I55" s="176" t="s">
        <v>174</v>
      </c>
      <c r="J55" s="168"/>
    </row>
    <row r="56" spans="1:11">
      <c r="A56" s="177"/>
      <c r="B56" s="178" t="s">
        <v>171</v>
      </c>
      <c r="C56" s="141" t="s">
        <v>61</v>
      </c>
      <c r="D56" s="160" t="s">
        <v>176</v>
      </c>
      <c r="E56" s="160" t="s">
        <v>176</v>
      </c>
      <c r="F56" s="160" t="s">
        <v>176</v>
      </c>
      <c r="G56" s="160" t="s">
        <v>176</v>
      </c>
      <c r="H56" s="180">
        <v>677</v>
      </c>
      <c r="I56" s="176" t="s">
        <v>174</v>
      </c>
      <c r="J56" s="168"/>
    </row>
    <row r="57" spans="1:11">
      <c r="A57" s="177"/>
      <c r="B57" s="178" t="s">
        <v>194</v>
      </c>
      <c r="C57" s="141" t="s">
        <v>61</v>
      </c>
      <c r="D57" s="160" t="s">
        <v>176</v>
      </c>
      <c r="E57" s="160" t="s">
        <v>176</v>
      </c>
      <c r="F57" s="160" t="s">
        <v>176</v>
      </c>
      <c r="G57" s="160" t="s">
        <v>176</v>
      </c>
      <c r="H57" s="180">
        <v>3170</v>
      </c>
      <c r="I57" s="176" t="s">
        <v>174</v>
      </c>
      <c r="J57" s="168"/>
    </row>
    <row r="58" spans="1:11">
      <c r="A58" s="177"/>
      <c r="B58" s="178" t="s">
        <v>172</v>
      </c>
      <c r="C58" s="141" t="s">
        <v>61</v>
      </c>
      <c r="D58" s="160" t="s">
        <v>176</v>
      </c>
      <c r="E58" s="160" t="s">
        <v>176</v>
      </c>
      <c r="F58" s="160" t="s">
        <v>176</v>
      </c>
      <c r="G58" s="160" t="s">
        <v>176</v>
      </c>
      <c r="H58" s="180">
        <v>1120</v>
      </c>
      <c r="I58" s="176" t="s">
        <v>174</v>
      </c>
      <c r="J58" s="168"/>
    </row>
    <row r="59" spans="1:11">
      <c r="A59" s="177"/>
      <c r="B59" s="178" t="s">
        <v>173</v>
      </c>
      <c r="C59" s="141" t="s">
        <v>61</v>
      </c>
      <c r="D59" s="160" t="s">
        <v>176</v>
      </c>
      <c r="E59" s="160" t="s">
        <v>176</v>
      </c>
      <c r="F59" s="160" t="s">
        <v>176</v>
      </c>
      <c r="G59" s="160" t="s">
        <v>176</v>
      </c>
      <c r="H59" s="180">
        <v>1300</v>
      </c>
      <c r="I59" s="176" t="s">
        <v>174</v>
      </c>
      <c r="J59" s="168"/>
    </row>
    <row r="60" spans="1:11">
      <c r="A60" s="177"/>
      <c r="B60" s="178" t="s">
        <v>195</v>
      </c>
      <c r="C60" s="141" t="s">
        <v>61</v>
      </c>
      <c r="D60" s="160" t="s">
        <v>176</v>
      </c>
      <c r="E60" s="160" t="s">
        <v>176</v>
      </c>
      <c r="F60" s="160" t="s">
        <v>176</v>
      </c>
      <c r="G60" s="160" t="s">
        <v>176</v>
      </c>
      <c r="H60" s="180">
        <v>328</v>
      </c>
      <c r="I60" s="176" t="s">
        <v>174</v>
      </c>
      <c r="J60" s="168"/>
    </row>
    <row r="61" spans="1:11">
      <c r="A61" s="177"/>
      <c r="B61" s="178" t="s">
        <v>196</v>
      </c>
      <c r="C61" s="141" t="s">
        <v>61</v>
      </c>
      <c r="D61" s="160" t="s">
        <v>176</v>
      </c>
      <c r="E61" s="160" t="s">
        <v>176</v>
      </c>
      <c r="F61" s="160" t="s">
        <v>176</v>
      </c>
      <c r="G61" s="160" t="s">
        <v>176</v>
      </c>
      <c r="H61" s="180">
        <v>4800</v>
      </c>
      <c r="I61" s="176" t="s">
        <v>174</v>
      </c>
      <c r="J61" s="168"/>
    </row>
    <row r="62" spans="1:11">
      <c r="A62" s="203"/>
      <c r="B62" s="204"/>
      <c r="C62" s="205"/>
      <c r="D62" s="206"/>
      <c r="E62" s="206"/>
      <c r="F62" s="206"/>
      <c r="G62" s="206"/>
      <c r="H62" s="181"/>
      <c r="I62" s="207"/>
      <c r="J62" s="168"/>
    </row>
    <row r="63" spans="1:11">
      <c r="A63" s="137" t="s">
        <v>197</v>
      </c>
      <c r="B63" s="208"/>
      <c r="C63" s="171"/>
      <c r="D63" s="206"/>
      <c r="E63" s="209" t="s">
        <v>198</v>
      </c>
      <c r="F63" s="209"/>
      <c r="G63" s="206"/>
      <c r="H63" s="181"/>
      <c r="I63" s="205"/>
      <c r="J63" s="168"/>
    </row>
    <row r="64" spans="1:11">
      <c r="B64" s="208"/>
      <c r="C64" s="171"/>
      <c r="D64" s="206"/>
      <c r="E64" s="206"/>
      <c r="F64" s="206"/>
      <c r="G64" s="206"/>
      <c r="H64" s="181"/>
      <c r="I64" s="205"/>
      <c r="J64" s="168"/>
    </row>
    <row r="65" spans="1:12">
      <c r="B65" s="162"/>
      <c r="C65" s="162"/>
      <c r="D65" s="163"/>
      <c r="E65" s="163"/>
      <c r="F65" s="163"/>
      <c r="G65" s="163"/>
    </row>
    <row r="66" spans="1:12" s="146" customFormat="1">
      <c r="A66" s="145" t="s">
        <v>56</v>
      </c>
      <c r="B66" s="164"/>
      <c r="C66" s="164"/>
      <c r="D66" s="165"/>
      <c r="E66" s="166"/>
      <c r="F66" s="166"/>
      <c r="G66" s="165"/>
      <c r="H66" s="182"/>
    </row>
    <row r="67" spans="1:12">
      <c r="D67" s="147"/>
      <c r="E67" s="148" t="s">
        <v>86</v>
      </c>
      <c r="F67" s="148"/>
      <c r="G67" s="183" t="s">
        <v>87</v>
      </c>
      <c r="H67" s="137"/>
    </row>
    <row r="68" spans="1:12">
      <c r="B68" s="140"/>
      <c r="C68" s="139"/>
      <c r="D68" s="881" t="s">
        <v>88</v>
      </c>
      <c r="E68" s="882"/>
      <c r="F68" s="883"/>
      <c r="G68" s="184" t="s">
        <v>89</v>
      </c>
      <c r="H68" s="137"/>
    </row>
    <row r="69" spans="1:12">
      <c r="B69" s="140"/>
      <c r="C69" s="139" t="s">
        <v>90</v>
      </c>
      <c r="D69" s="156" t="s">
        <v>16</v>
      </c>
      <c r="E69" s="139" t="s">
        <v>26</v>
      </c>
      <c r="F69" s="139" t="s">
        <v>27</v>
      </c>
      <c r="G69" s="184" t="s">
        <v>91</v>
      </c>
      <c r="H69" s="137"/>
    </row>
    <row r="70" spans="1:12">
      <c r="B70" s="140" t="s">
        <v>57</v>
      </c>
      <c r="C70" s="139" t="s">
        <v>58</v>
      </c>
      <c r="D70" s="210">
        <v>56100</v>
      </c>
      <c r="E70" s="211">
        <v>1</v>
      </c>
      <c r="F70" s="211">
        <v>0.1</v>
      </c>
      <c r="G70" s="184">
        <v>1.02</v>
      </c>
      <c r="H70" s="137" t="s">
        <v>92</v>
      </c>
    </row>
    <row r="71" spans="1:12">
      <c r="B71" s="140" t="s">
        <v>60</v>
      </c>
      <c r="C71" s="139" t="s">
        <v>61</v>
      </c>
      <c r="D71" s="210">
        <v>101000</v>
      </c>
      <c r="E71" s="211">
        <v>1</v>
      </c>
      <c r="F71" s="211">
        <v>1.5</v>
      </c>
      <c r="G71" s="184">
        <v>10.47</v>
      </c>
      <c r="H71" s="137"/>
    </row>
    <row r="72" spans="1:12">
      <c r="B72" s="140" t="s">
        <v>155</v>
      </c>
      <c r="C72" s="139" t="s">
        <v>62</v>
      </c>
      <c r="D72" s="210">
        <v>77400</v>
      </c>
      <c r="E72" s="211">
        <v>3</v>
      </c>
      <c r="F72" s="211">
        <v>0.6</v>
      </c>
      <c r="G72" s="184">
        <v>41.468972149500026</v>
      </c>
      <c r="H72" s="137" t="s">
        <v>94</v>
      </c>
      <c r="K72" s="171"/>
      <c r="L72" s="169"/>
    </row>
    <row r="73" spans="1:12">
      <c r="B73" s="140" t="s">
        <v>156</v>
      </c>
      <c r="C73" s="139" t="s">
        <v>62</v>
      </c>
      <c r="D73" s="210">
        <v>77400</v>
      </c>
      <c r="E73" s="211">
        <v>3</v>
      </c>
      <c r="F73" s="211">
        <v>0.6</v>
      </c>
      <c r="G73" s="184">
        <v>41.800259702100021</v>
      </c>
      <c r="H73" s="137" t="s">
        <v>94</v>
      </c>
      <c r="K73" s="171"/>
      <c r="L73" s="169"/>
    </row>
    <row r="74" spans="1:12">
      <c r="B74" s="140" t="s">
        <v>63</v>
      </c>
      <c r="C74" s="139" t="s">
        <v>62</v>
      </c>
      <c r="D74" s="210">
        <v>74100</v>
      </c>
      <c r="E74" s="211">
        <v>3</v>
      </c>
      <c r="F74" s="211">
        <v>0.6</v>
      </c>
      <c r="G74" s="184">
        <v>36.42</v>
      </c>
      <c r="H74" s="137"/>
    </row>
    <row r="75" spans="1:12">
      <c r="B75" s="140" t="s">
        <v>64</v>
      </c>
      <c r="C75" s="139" t="s">
        <v>61</v>
      </c>
      <c r="D75" s="210">
        <v>98300</v>
      </c>
      <c r="E75" s="211">
        <v>1</v>
      </c>
      <c r="F75" s="211">
        <v>1.5</v>
      </c>
      <c r="G75" s="184">
        <v>31.4</v>
      </c>
      <c r="H75" s="137"/>
    </row>
    <row r="76" spans="1:12">
      <c r="B76" s="212" t="s">
        <v>65</v>
      </c>
      <c r="C76" s="211" t="s">
        <v>61</v>
      </c>
      <c r="D76" s="210">
        <v>96100</v>
      </c>
      <c r="E76" s="211">
        <v>1</v>
      </c>
      <c r="F76" s="211">
        <v>1.5</v>
      </c>
      <c r="G76" s="184">
        <v>26.37</v>
      </c>
      <c r="H76" s="137"/>
    </row>
    <row r="77" spans="1:12">
      <c r="B77" s="140" t="s">
        <v>66</v>
      </c>
      <c r="C77" s="139" t="s">
        <v>62</v>
      </c>
      <c r="D77" s="210">
        <v>71500</v>
      </c>
      <c r="E77" s="211">
        <v>3</v>
      </c>
      <c r="F77" s="211">
        <v>0.6</v>
      </c>
      <c r="G77" s="184">
        <v>34.53</v>
      </c>
      <c r="H77" s="137"/>
    </row>
    <row r="78" spans="1:12">
      <c r="B78" s="140" t="s">
        <v>67</v>
      </c>
      <c r="C78" s="139" t="s">
        <v>62</v>
      </c>
      <c r="D78" s="210">
        <v>63100</v>
      </c>
      <c r="E78" s="211">
        <v>1</v>
      </c>
      <c r="F78" s="211">
        <v>0.1</v>
      </c>
      <c r="G78" s="184">
        <v>26.62</v>
      </c>
      <c r="H78" s="423">
        <f>G78/0.54</f>
        <v>49.296296296296298</v>
      </c>
    </row>
    <row r="79" spans="1:12">
      <c r="B79" s="140" t="s">
        <v>149</v>
      </c>
      <c r="C79" s="139" t="s">
        <v>62</v>
      </c>
      <c r="D79" s="210">
        <v>69300</v>
      </c>
      <c r="E79" s="211">
        <v>3</v>
      </c>
      <c r="F79" s="211">
        <v>0.6</v>
      </c>
      <c r="G79" s="184">
        <f>G91</f>
        <v>31.48</v>
      </c>
      <c r="H79" s="137"/>
    </row>
    <row r="80" spans="1:12">
      <c r="B80" s="140" t="s">
        <v>199</v>
      </c>
      <c r="C80" s="139" t="s">
        <v>61</v>
      </c>
      <c r="D80" s="210">
        <v>112000</v>
      </c>
      <c r="E80" s="211">
        <v>30</v>
      </c>
      <c r="F80" s="211">
        <v>4</v>
      </c>
      <c r="G80" s="184">
        <v>15.99</v>
      </c>
      <c r="H80" s="137"/>
    </row>
    <row r="81" spans="1:8">
      <c r="B81" s="140" t="s">
        <v>200</v>
      </c>
      <c r="C81" s="139"/>
      <c r="D81" s="210"/>
      <c r="E81" s="211"/>
      <c r="F81" s="211"/>
      <c r="G81" s="184"/>
      <c r="H81" s="137"/>
    </row>
    <row r="82" spans="1:8">
      <c r="B82" s="140" t="s">
        <v>185</v>
      </c>
      <c r="C82" s="139" t="s">
        <v>61</v>
      </c>
      <c r="D82" s="210">
        <v>100000</v>
      </c>
      <c r="E82" s="211">
        <v>30</v>
      </c>
      <c r="F82" s="211">
        <v>4</v>
      </c>
      <c r="G82" s="184">
        <v>7.53</v>
      </c>
      <c r="H82" s="137"/>
    </row>
    <row r="83" spans="1:8">
      <c r="B83" s="140" t="s">
        <v>186</v>
      </c>
      <c r="C83" s="139" t="s">
        <v>61</v>
      </c>
      <c r="D83" s="210">
        <v>100000</v>
      </c>
      <c r="E83" s="211">
        <v>30</v>
      </c>
      <c r="F83" s="211">
        <v>4</v>
      </c>
      <c r="G83" s="184">
        <v>18.53</v>
      </c>
      <c r="H83" s="137"/>
    </row>
    <row r="84" spans="1:8">
      <c r="B84" s="140" t="s">
        <v>187</v>
      </c>
      <c r="C84" s="139" t="s">
        <v>61</v>
      </c>
      <c r="D84" s="210">
        <v>100000</v>
      </c>
      <c r="E84" s="211">
        <v>30</v>
      </c>
      <c r="F84" s="211">
        <v>4</v>
      </c>
      <c r="G84" s="184">
        <v>16.78</v>
      </c>
      <c r="H84" s="137"/>
    </row>
    <row r="85" spans="1:8" ht="17.25">
      <c r="B85" s="140" t="s">
        <v>188</v>
      </c>
      <c r="C85" s="139" t="s">
        <v>201</v>
      </c>
      <c r="D85" s="210">
        <v>54600</v>
      </c>
      <c r="E85" s="211">
        <v>1</v>
      </c>
      <c r="F85" s="211">
        <v>0.1</v>
      </c>
      <c r="G85" s="184">
        <v>20.93</v>
      </c>
      <c r="H85" s="137"/>
    </row>
    <row r="86" spans="1:8">
      <c r="D86" s="147"/>
      <c r="E86" s="147"/>
      <c r="F86" s="147"/>
      <c r="G86" s="183"/>
      <c r="H86" s="137"/>
    </row>
    <row r="87" spans="1:8" s="146" customFormat="1">
      <c r="A87" s="145" t="s">
        <v>68</v>
      </c>
      <c r="B87" s="164"/>
      <c r="C87" s="164"/>
      <c r="D87" s="165"/>
      <c r="E87" s="166"/>
      <c r="F87" s="165"/>
      <c r="G87" s="182"/>
    </row>
    <row r="88" spans="1:8">
      <c r="D88" s="789" t="s">
        <v>86</v>
      </c>
      <c r="E88" s="789"/>
      <c r="F88" s="789"/>
      <c r="G88" s="183" t="s">
        <v>87</v>
      </c>
      <c r="H88" s="137"/>
    </row>
    <row r="89" spans="1:8">
      <c r="B89" s="140"/>
      <c r="C89" s="138"/>
      <c r="D89" s="881" t="s">
        <v>88</v>
      </c>
      <c r="E89" s="882"/>
      <c r="F89" s="883"/>
      <c r="G89" s="184" t="s">
        <v>89</v>
      </c>
      <c r="H89" s="137"/>
    </row>
    <row r="90" spans="1:8">
      <c r="B90" s="140"/>
      <c r="C90" s="142" t="s">
        <v>90</v>
      </c>
      <c r="D90" s="139" t="s">
        <v>16</v>
      </c>
      <c r="E90" s="156" t="s">
        <v>26</v>
      </c>
      <c r="F90" s="139" t="s">
        <v>27</v>
      </c>
      <c r="G90" s="184" t="s">
        <v>91</v>
      </c>
      <c r="H90" s="137"/>
    </row>
    <row r="91" spans="1:8">
      <c r="B91" s="140" t="s">
        <v>69</v>
      </c>
      <c r="C91" s="142" t="s">
        <v>62</v>
      </c>
      <c r="D91" s="139">
        <v>69300</v>
      </c>
      <c r="E91" s="150">
        <v>33</v>
      </c>
      <c r="F91" s="139">
        <v>3.2</v>
      </c>
      <c r="G91" s="184">
        <v>31.48</v>
      </c>
      <c r="H91" s="137" t="s">
        <v>93</v>
      </c>
    </row>
    <row r="92" spans="1:8">
      <c r="B92" s="140" t="s">
        <v>71</v>
      </c>
      <c r="C92" s="142" t="s">
        <v>62</v>
      </c>
      <c r="D92" s="139">
        <v>69300</v>
      </c>
      <c r="E92" s="150">
        <v>25</v>
      </c>
      <c r="F92" s="139">
        <v>8</v>
      </c>
      <c r="G92" s="184">
        <v>31.48</v>
      </c>
      <c r="H92" s="137"/>
    </row>
    <row r="93" spans="1:8">
      <c r="B93" s="140" t="s">
        <v>72</v>
      </c>
      <c r="C93" s="142" t="s">
        <v>62</v>
      </c>
      <c r="D93" s="139">
        <v>69300</v>
      </c>
      <c r="E93" s="150">
        <v>3.8</v>
      </c>
      <c r="F93" s="139">
        <v>5.7</v>
      </c>
      <c r="G93" s="184">
        <v>31.48</v>
      </c>
      <c r="H93" s="137"/>
    </row>
    <row r="94" spans="1:8">
      <c r="B94" s="140" t="s">
        <v>73</v>
      </c>
      <c r="C94" s="142" t="s">
        <v>62</v>
      </c>
      <c r="D94" s="139">
        <v>74100</v>
      </c>
      <c r="E94" s="150">
        <v>3.9</v>
      </c>
      <c r="F94" s="139">
        <v>3.9</v>
      </c>
      <c r="G94" s="184">
        <f>G74</f>
        <v>36.42</v>
      </c>
      <c r="H94" s="137"/>
    </row>
    <row r="95" spans="1:8">
      <c r="B95" s="140" t="s">
        <v>74</v>
      </c>
      <c r="C95" s="142" t="s">
        <v>61</v>
      </c>
      <c r="D95" s="139">
        <v>56100</v>
      </c>
      <c r="E95" s="150">
        <v>92</v>
      </c>
      <c r="F95" s="139">
        <v>3</v>
      </c>
      <c r="G95" s="184">
        <v>37.9</v>
      </c>
      <c r="H95" s="137" t="s">
        <v>94</v>
      </c>
    </row>
    <row r="96" spans="1:8">
      <c r="B96" s="140" t="s">
        <v>76</v>
      </c>
      <c r="C96" s="142" t="s">
        <v>62</v>
      </c>
      <c r="D96" s="139">
        <v>63100</v>
      </c>
      <c r="E96" s="150">
        <v>62</v>
      </c>
      <c r="F96" s="139">
        <v>0.2</v>
      </c>
      <c r="G96" s="184">
        <f>G78</f>
        <v>26.62</v>
      </c>
      <c r="H96" s="137"/>
    </row>
    <row r="97" spans="1:8">
      <c r="D97" s="147"/>
      <c r="E97" s="147"/>
      <c r="F97" s="147"/>
      <c r="G97" s="168"/>
      <c r="H97" s="137"/>
    </row>
    <row r="98" spans="1:8" s="146" customFormat="1">
      <c r="A98" s="145" t="s">
        <v>95</v>
      </c>
      <c r="B98" s="164"/>
      <c r="C98" s="164"/>
      <c r="D98" s="165"/>
      <c r="E98" s="166"/>
      <c r="F98" s="165"/>
      <c r="G98" s="182"/>
    </row>
    <row r="99" spans="1:8">
      <c r="D99" s="789" t="s">
        <v>86</v>
      </c>
      <c r="E99" s="789"/>
      <c r="F99" s="789"/>
      <c r="G99" s="183" t="s">
        <v>87</v>
      </c>
      <c r="H99" s="137"/>
    </row>
    <row r="100" spans="1:8">
      <c r="B100" s="140"/>
      <c r="C100" s="138"/>
      <c r="D100" s="881" t="s">
        <v>88</v>
      </c>
      <c r="E100" s="882"/>
      <c r="F100" s="883"/>
      <c r="G100" s="184" t="s">
        <v>89</v>
      </c>
      <c r="H100" s="137"/>
    </row>
    <row r="101" spans="1:8">
      <c r="B101" s="140"/>
      <c r="C101" s="142" t="s">
        <v>90</v>
      </c>
      <c r="D101" s="139" t="s">
        <v>16</v>
      </c>
      <c r="E101" s="156" t="s">
        <v>26</v>
      </c>
      <c r="F101" s="139" t="s">
        <v>27</v>
      </c>
      <c r="G101" s="184" t="s">
        <v>91</v>
      </c>
      <c r="H101" s="137"/>
    </row>
    <row r="102" spans="1:8">
      <c r="B102" s="143" t="s">
        <v>78</v>
      </c>
      <c r="C102" s="142"/>
      <c r="D102" s="139"/>
      <c r="E102" s="150"/>
      <c r="F102" s="139"/>
      <c r="G102" s="184"/>
      <c r="H102" s="137"/>
    </row>
    <row r="103" spans="1:8">
      <c r="B103" s="144" t="s">
        <v>79</v>
      </c>
      <c r="C103" s="142" t="s">
        <v>62</v>
      </c>
      <c r="D103" s="139">
        <v>74100</v>
      </c>
      <c r="E103" s="150">
        <v>4.1500000000000004</v>
      </c>
      <c r="F103" s="139">
        <v>28.6</v>
      </c>
      <c r="G103" s="184">
        <v>36.42</v>
      </c>
      <c r="H103" s="137"/>
    </row>
    <row r="104" spans="1:8">
      <c r="B104" s="144" t="s">
        <v>81</v>
      </c>
      <c r="C104" s="142" t="s">
        <v>62</v>
      </c>
      <c r="D104" s="139">
        <v>74100</v>
      </c>
      <c r="E104" s="150">
        <v>4.1500000000000004</v>
      </c>
      <c r="F104" s="139">
        <v>28.6</v>
      </c>
      <c r="G104" s="184">
        <v>36.42</v>
      </c>
      <c r="H104" s="137"/>
    </row>
    <row r="105" spans="1:8">
      <c r="B105" s="144" t="s">
        <v>82</v>
      </c>
      <c r="C105" s="142" t="s">
        <v>62</v>
      </c>
      <c r="D105" s="139">
        <v>74100</v>
      </c>
      <c r="E105" s="150">
        <v>4.1500000000000004</v>
      </c>
      <c r="F105" s="139">
        <v>28.6</v>
      </c>
      <c r="G105" s="184">
        <v>36.42</v>
      </c>
      <c r="H105" s="137"/>
    </row>
    <row r="106" spans="1:8">
      <c r="B106" s="144" t="s">
        <v>83</v>
      </c>
      <c r="C106" s="142" t="s">
        <v>62</v>
      </c>
      <c r="D106" s="139">
        <v>74100</v>
      </c>
      <c r="E106" s="150">
        <v>4.1500000000000004</v>
      </c>
      <c r="F106" s="139">
        <v>28.6</v>
      </c>
      <c r="G106" s="184">
        <v>36.42</v>
      </c>
      <c r="H106" s="137"/>
    </row>
    <row r="107" spans="1:8">
      <c r="B107" s="143" t="s">
        <v>84</v>
      </c>
      <c r="C107" s="142"/>
      <c r="D107" s="139"/>
      <c r="E107" s="150"/>
      <c r="F107" s="139"/>
      <c r="G107" s="184"/>
      <c r="H107" s="137"/>
    </row>
    <row r="108" spans="1:8">
      <c r="B108" s="144" t="s">
        <v>79</v>
      </c>
      <c r="C108" s="142" t="s">
        <v>62</v>
      </c>
      <c r="D108" s="151">
        <v>69300</v>
      </c>
      <c r="E108" s="151">
        <v>80</v>
      </c>
      <c r="F108" s="151">
        <v>2</v>
      </c>
      <c r="G108" s="184">
        <v>31.48</v>
      </c>
      <c r="H108" s="137"/>
    </row>
    <row r="109" spans="1:8">
      <c r="B109" s="144" t="s">
        <v>81</v>
      </c>
      <c r="C109" s="142" t="s">
        <v>62</v>
      </c>
      <c r="D109" s="151">
        <v>69300</v>
      </c>
      <c r="E109" s="151"/>
      <c r="F109" s="151"/>
      <c r="G109" s="184">
        <v>31.48</v>
      </c>
      <c r="H109" s="137"/>
    </row>
    <row r="110" spans="1:8">
      <c r="B110" s="144" t="s">
        <v>82</v>
      </c>
      <c r="C110" s="142" t="s">
        <v>62</v>
      </c>
      <c r="D110" s="151">
        <v>69300</v>
      </c>
      <c r="E110" s="151">
        <v>50</v>
      </c>
      <c r="F110" s="151">
        <v>2</v>
      </c>
      <c r="G110" s="184">
        <v>31.48</v>
      </c>
      <c r="H110" s="137"/>
    </row>
    <row r="111" spans="1:8">
      <c r="B111" s="144" t="s">
        <v>83</v>
      </c>
      <c r="C111" s="142" t="s">
        <v>62</v>
      </c>
      <c r="D111" s="151">
        <v>69300</v>
      </c>
      <c r="E111" s="151">
        <v>120</v>
      </c>
      <c r="F111" s="151">
        <v>2</v>
      </c>
      <c r="G111" s="184">
        <v>31.48</v>
      </c>
      <c r="H111" s="137"/>
    </row>
    <row r="112" spans="1:8">
      <c r="B112" s="143" t="s">
        <v>85</v>
      </c>
      <c r="C112" s="138"/>
      <c r="D112" s="153"/>
      <c r="E112" s="153"/>
      <c r="F112" s="153"/>
      <c r="G112" s="185"/>
      <c r="H112" s="137"/>
    </row>
    <row r="113" spans="2:8">
      <c r="B113" s="144" t="s">
        <v>79</v>
      </c>
      <c r="C113" s="142" t="s">
        <v>62</v>
      </c>
      <c r="D113" s="151">
        <v>69300</v>
      </c>
      <c r="E113" s="151">
        <v>140</v>
      </c>
      <c r="F113" s="151">
        <v>0.4</v>
      </c>
      <c r="G113" s="184">
        <v>31.48</v>
      </c>
      <c r="H113" s="137"/>
    </row>
    <row r="114" spans="2:8">
      <c r="B114" s="144" t="s">
        <v>81</v>
      </c>
      <c r="C114" s="142" t="s">
        <v>62</v>
      </c>
      <c r="D114" s="151">
        <v>69300</v>
      </c>
      <c r="E114" s="151">
        <v>170</v>
      </c>
      <c r="F114" s="151">
        <v>0.4</v>
      </c>
      <c r="G114" s="184">
        <v>31.48</v>
      </c>
      <c r="H114" s="137"/>
    </row>
    <row r="115" spans="2:8">
      <c r="B115" s="144" t="s">
        <v>82</v>
      </c>
      <c r="C115" s="142" t="s">
        <v>62</v>
      </c>
      <c r="D115" s="151">
        <v>69300</v>
      </c>
      <c r="E115" s="151">
        <v>130</v>
      </c>
      <c r="F115" s="151">
        <v>0.4</v>
      </c>
      <c r="G115" s="184">
        <v>31.48</v>
      </c>
      <c r="H115" s="137"/>
    </row>
    <row r="116" spans="2:8">
      <c r="B116" s="144" t="s">
        <v>83</v>
      </c>
      <c r="C116" s="142" t="s">
        <v>62</v>
      </c>
      <c r="D116" s="151">
        <v>69300</v>
      </c>
      <c r="E116" s="151">
        <v>180</v>
      </c>
      <c r="F116" s="151">
        <v>0.4</v>
      </c>
      <c r="G116" s="184">
        <v>31.48</v>
      </c>
      <c r="H116" s="137"/>
    </row>
    <row r="117" spans="2:8">
      <c r="D117" s="147"/>
      <c r="E117" s="147"/>
      <c r="F117" s="147"/>
      <c r="G117" s="168"/>
      <c r="H117" s="137"/>
    </row>
    <row r="118" spans="2:8">
      <c r="D118" s="147"/>
      <c r="E118" s="147"/>
      <c r="F118" s="147"/>
      <c r="G118" s="168"/>
      <c r="H118" s="137"/>
    </row>
    <row r="119" spans="2:8">
      <c r="D119" s="147"/>
      <c r="E119" s="147"/>
      <c r="F119" s="147"/>
      <c r="G119" s="168"/>
      <c r="H119" s="137"/>
    </row>
    <row r="120" spans="2:8">
      <c r="D120" s="147"/>
      <c r="E120" s="147"/>
      <c r="F120" s="147"/>
      <c r="G120" s="168"/>
      <c r="H120" s="137"/>
    </row>
    <row r="121" spans="2:8">
      <c r="D121" s="147"/>
      <c r="E121" s="147"/>
      <c r="F121" s="147"/>
      <c r="G121" s="168"/>
      <c r="H121" s="137"/>
    </row>
    <row r="122" spans="2:8">
      <c r="D122" s="147"/>
      <c r="E122" s="147"/>
      <c r="F122" s="147"/>
      <c r="G122" s="168"/>
      <c r="H122" s="137"/>
    </row>
    <row r="123" spans="2:8">
      <c r="D123" s="147"/>
      <c r="E123" s="147"/>
      <c r="F123" s="147"/>
      <c r="G123" s="168"/>
      <c r="H123" s="137"/>
    </row>
    <row r="124" spans="2:8">
      <c r="D124" s="147"/>
      <c r="E124" s="147"/>
      <c r="F124" s="147"/>
      <c r="G124" s="147"/>
    </row>
    <row r="125" spans="2:8">
      <c r="D125" s="147"/>
      <c r="E125" s="147"/>
      <c r="F125" s="147"/>
      <c r="G125" s="147"/>
    </row>
    <row r="126" spans="2:8">
      <c r="D126" s="147"/>
      <c r="E126" s="147"/>
      <c r="F126" s="147"/>
      <c r="G126" s="147"/>
    </row>
    <row r="127" spans="2:8">
      <c r="D127" s="147"/>
      <c r="E127" s="147"/>
      <c r="F127" s="147"/>
      <c r="G127" s="147"/>
    </row>
    <row r="128" spans="2:8">
      <c r="D128" s="147"/>
      <c r="E128" s="147"/>
      <c r="F128" s="147"/>
      <c r="G128" s="147"/>
    </row>
    <row r="129" spans="4:7">
      <c r="D129" s="147"/>
      <c r="E129" s="147"/>
      <c r="F129" s="147"/>
      <c r="G129" s="147"/>
    </row>
    <row r="130" spans="4:7">
      <c r="D130" s="147"/>
      <c r="E130" s="147"/>
      <c r="F130" s="147"/>
      <c r="G130" s="147"/>
    </row>
    <row r="131" spans="4:7">
      <c r="D131" s="147"/>
      <c r="E131" s="147"/>
      <c r="F131" s="147"/>
      <c r="G131" s="147"/>
    </row>
    <row r="132" spans="4:7">
      <c r="D132" s="147"/>
      <c r="E132" s="147"/>
      <c r="F132" s="147"/>
      <c r="G132" s="147"/>
    </row>
    <row r="133" spans="4:7">
      <c r="D133" s="147"/>
      <c r="E133" s="147"/>
      <c r="F133" s="147"/>
      <c r="G133" s="147"/>
    </row>
    <row r="134" spans="4:7">
      <c r="D134" s="147"/>
      <c r="E134" s="147"/>
      <c r="F134" s="147"/>
      <c r="G134" s="147"/>
    </row>
    <row r="135" spans="4:7">
      <c r="D135" s="147"/>
      <c r="E135" s="147"/>
      <c r="F135" s="147"/>
      <c r="G135" s="147"/>
    </row>
    <row r="136" spans="4:7">
      <c r="D136" s="147"/>
      <c r="E136" s="147"/>
      <c r="F136" s="147"/>
      <c r="G136" s="147"/>
    </row>
    <row r="137" spans="4:7">
      <c r="D137" s="147"/>
      <c r="E137" s="147"/>
      <c r="F137" s="147"/>
      <c r="G137" s="147"/>
    </row>
    <row r="138" spans="4:7">
      <c r="D138" s="147"/>
      <c r="E138" s="147"/>
      <c r="F138" s="147"/>
      <c r="G138" s="147"/>
    </row>
    <row r="139" spans="4:7">
      <c r="D139" s="147"/>
      <c r="E139" s="147"/>
      <c r="F139" s="147"/>
      <c r="G139" s="147"/>
    </row>
    <row r="140" spans="4:7">
      <c r="D140" s="147"/>
      <c r="E140" s="147"/>
      <c r="F140" s="147"/>
      <c r="G140" s="147"/>
    </row>
    <row r="141" spans="4:7">
      <c r="D141" s="147"/>
      <c r="E141" s="147"/>
      <c r="F141" s="147"/>
      <c r="G141" s="147"/>
    </row>
    <row r="142" spans="4:7">
      <c r="D142" s="147"/>
      <c r="E142" s="147"/>
      <c r="F142" s="147"/>
      <c r="G142" s="147"/>
    </row>
    <row r="143" spans="4:7">
      <c r="D143" s="147"/>
      <c r="E143" s="147"/>
      <c r="F143" s="147"/>
      <c r="G143" s="147"/>
    </row>
    <row r="144" spans="4:7">
      <c r="D144" s="147"/>
      <c r="E144" s="147"/>
      <c r="F144" s="147"/>
      <c r="G144" s="147"/>
    </row>
    <row r="145" spans="4:7">
      <c r="D145" s="147"/>
      <c r="E145" s="147"/>
      <c r="F145" s="147"/>
      <c r="G145" s="147"/>
    </row>
    <row r="146" spans="4:7">
      <c r="D146" s="147"/>
      <c r="E146" s="147"/>
      <c r="F146" s="147"/>
      <c r="G146" s="147"/>
    </row>
    <row r="147" spans="4:7">
      <c r="D147" s="147"/>
      <c r="E147" s="147"/>
      <c r="F147" s="147"/>
      <c r="G147" s="147"/>
    </row>
    <row r="148" spans="4:7">
      <c r="D148" s="147"/>
      <c r="E148" s="147"/>
      <c r="F148" s="147"/>
      <c r="G148" s="147"/>
    </row>
    <row r="149" spans="4:7">
      <c r="D149" s="147"/>
      <c r="E149" s="147"/>
      <c r="F149" s="147"/>
      <c r="G149" s="147"/>
    </row>
    <row r="150" spans="4:7">
      <c r="D150" s="147"/>
      <c r="E150" s="147"/>
      <c r="F150" s="147"/>
      <c r="G150" s="147"/>
    </row>
    <row r="151" spans="4:7">
      <c r="D151" s="147"/>
      <c r="E151" s="147"/>
      <c r="F151" s="147"/>
      <c r="G151" s="147"/>
    </row>
    <row r="152" spans="4:7">
      <c r="D152" s="147"/>
      <c r="E152" s="147"/>
      <c r="F152" s="147"/>
      <c r="G152" s="147"/>
    </row>
    <row r="153" spans="4:7">
      <c r="D153" s="147"/>
      <c r="E153" s="147"/>
      <c r="F153" s="147"/>
      <c r="G153" s="147"/>
    </row>
    <row r="154" spans="4:7">
      <c r="D154" s="147"/>
      <c r="E154" s="147"/>
      <c r="F154" s="147"/>
      <c r="G154" s="147"/>
    </row>
    <row r="155" spans="4:7">
      <c r="D155" s="147"/>
      <c r="E155" s="147"/>
      <c r="F155" s="147"/>
      <c r="G155" s="147"/>
    </row>
    <row r="156" spans="4:7">
      <c r="D156" s="147"/>
      <c r="E156" s="147"/>
      <c r="F156" s="147"/>
      <c r="G156" s="147"/>
    </row>
    <row r="157" spans="4:7">
      <c r="D157" s="147"/>
      <c r="E157" s="147"/>
      <c r="F157" s="147"/>
      <c r="G157" s="147"/>
    </row>
    <row r="158" spans="4:7">
      <c r="D158" s="147"/>
      <c r="E158" s="147"/>
      <c r="F158" s="147"/>
      <c r="G158" s="147"/>
    </row>
    <row r="159" spans="4:7">
      <c r="D159" s="147"/>
      <c r="E159" s="147"/>
      <c r="F159" s="147"/>
      <c r="G159" s="147"/>
    </row>
    <row r="160" spans="4:7">
      <c r="D160" s="147"/>
      <c r="E160" s="147"/>
      <c r="F160" s="147"/>
      <c r="G160" s="147"/>
    </row>
    <row r="161" spans="4:7">
      <c r="D161" s="147"/>
      <c r="E161" s="147"/>
      <c r="F161" s="147"/>
      <c r="G161" s="147"/>
    </row>
    <row r="162" spans="4:7">
      <c r="D162" s="147"/>
      <c r="E162" s="147"/>
      <c r="F162" s="147"/>
      <c r="G162" s="147"/>
    </row>
    <row r="163" spans="4:7">
      <c r="D163" s="147"/>
      <c r="E163" s="147"/>
      <c r="F163" s="147"/>
      <c r="G163" s="147"/>
    </row>
    <row r="164" spans="4:7">
      <c r="D164" s="147"/>
      <c r="E164" s="147"/>
      <c r="F164" s="147"/>
      <c r="G164" s="147"/>
    </row>
    <row r="165" spans="4:7">
      <c r="D165" s="147"/>
      <c r="E165" s="147"/>
      <c r="F165" s="147"/>
      <c r="G165" s="147"/>
    </row>
    <row r="166" spans="4:7">
      <c r="D166" s="147"/>
      <c r="E166" s="147"/>
      <c r="F166" s="147"/>
      <c r="G166" s="147"/>
    </row>
    <row r="167" spans="4:7">
      <c r="D167" s="147"/>
      <c r="E167" s="147"/>
      <c r="F167" s="147"/>
      <c r="G167" s="147"/>
    </row>
    <row r="168" spans="4:7">
      <c r="D168" s="147"/>
      <c r="E168" s="147"/>
      <c r="F168" s="147"/>
      <c r="G168" s="147"/>
    </row>
    <row r="169" spans="4:7">
      <c r="D169" s="147"/>
      <c r="E169" s="147"/>
      <c r="F169" s="147"/>
      <c r="G169" s="147"/>
    </row>
    <row r="170" spans="4:7">
      <c r="D170" s="147"/>
      <c r="E170" s="147"/>
      <c r="F170" s="147"/>
      <c r="G170" s="147"/>
    </row>
    <row r="171" spans="4:7">
      <c r="D171" s="147"/>
      <c r="E171" s="147"/>
      <c r="F171" s="147"/>
      <c r="G171" s="147"/>
    </row>
    <row r="172" spans="4:7">
      <c r="D172" s="147"/>
      <c r="E172" s="147"/>
      <c r="F172" s="147"/>
      <c r="G172" s="147"/>
    </row>
    <row r="173" spans="4:7">
      <c r="D173" s="147"/>
      <c r="E173" s="147"/>
      <c r="F173" s="147"/>
      <c r="G173" s="147"/>
    </row>
    <row r="174" spans="4:7">
      <c r="D174" s="147"/>
      <c r="E174" s="147"/>
      <c r="F174" s="147"/>
      <c r="G174" s="147"/>
    </row>
    <row r="175" spans="4:7">
      <c r="D175" s="147"/>
      <c r="E175" s="147"/>
      <c r="F175" s="147"/>
      <c r="G175" s="147"/>
    </row>
    <row r="176" spans="4:7">
      <c r="D176" s="147"/>
      <c r="E176" s="147"/>
      <c r="F176" s="147"/>
      <c r="G176" s="147"/>
    </row>
    <row r="177" spans="4:7">
      <c r="D177" s="147"/>
      <c r="E177" s="147"/>
      <c r="F177" s="147"/>
      <c r="G177" s="147"/>
    </row>
    <row r="178" spans="4:7">
      <c r="D178" s="147"/>
      <c r="E178" s="147"/>
      <c r="F178" s="147"/>
      <c r="G178" s="147"/>
    </row>
    <row r="179" spans="4:7">
      <c r="D179" s="147"/>
      <c r="E179" s="147"/>
      <c r="F179" s="147"/>
      <c r="G179" s="147"/>
    </row>
    <row r="180" spans="4:7">
      <c r="D180" s="147"/>
      <c r="E180" s="147"/>
      <c r="F180" s="147"/>
      <c r="G180" s="147"/>
    </row>
    <row r="181" spans="4:7">
      <c r="D181" s="147"/>
      <c r="E181" s="147"/>
      <c r="F181" s="147"/>
      <c r="G181" s="147"/>
    </row>
    <row r="182" spans="4:7">
      <c r="D182" s="147"/>
      <c r="E182" s="147"/>
      <c r="F182" s="147"/>
      <c r="G182" s="147"/>
    </row>
    <row r="183" spans="4:7">
      <c r="D183" s="147"/>
      <c r="E183" s="147"/>
      <c r="F183" s="147"/>
      <c r="G183" s="147"/>
    </row>
    <row r="184" spans="4:7">
      <c r="D184" s="147"/>
      <c r="E184" s="147"/>
      <c r="F184" s="147"/>
      <c r="G184" s="147"/>
    </row>
    <row r="185" spans="4:7">
      <c r="D185" s="147"/>
      <c r="E185" s="147"/>
      <c r="F185" s="147"/>
      <c r="G185" s="147"/>
    </row>
  </sheetData>
  <mergeCells count="11">
    <mergeCell ref="D68:F68"/>
    <mergeCell ref="D89:F89"/>
    <mergeCell ref="D100:F100"/>
    <mergeCell ref="D99:F99"/>
    <mergeCell ref="D88:F88"/>
    <mergeCell ref="I2:I4"/>
    <mergeCell ref="K2:L2"/>
    <mergeCell ref="A2:A4"/>
    <mergeCell ref="B2:B4"/>
    <mergeCell ref="C2:C4"/>
    <mergeCell ref="D2:H2"/>
  </mergeCells>
  <phoneticPr fontId="80" type="noConversion"/>
  <hyperlinks>
    <hyperlink ref="E63" r:id="rId1" xr:uid="{00000000-0004-0000-0800-000000000000}"/>
  </hyperlinks>
  <pageMargins left="0.7" right="0.7" top="0.75" bottom="0.75" header="0.3" footer="0.3"/>
  <pageSetup orientation="portrait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workbookViewId="0">
      <selection activeCell="E43" sqref="E43"/>
    </sheetView>
  </sheetViews>
  <sheetFormatPr defaultColWidth="8.85546875" defaultRowHeight="15"/>
  <cols>
    <col min="1" max="1" width="13.85546875" customWidth="1"/>
    <col min="2" max="2" width="5.85546875" bestFit="1" customWidth="1"/>
    <col min="3" max="3" width="18.140625" bestFit="1" customWidth="1"/>
    <col min="4" max="4" width="12.42578125" customWidth="1"/>
    <col min="5" max="5" width="74.140625" customWidth="1"/>
    <col min="6" max="6" width="36.140625" hidden="1" customWidth="1"/>
  </cols>
  <sheetData>
    <row r="1" spans="1:6">
      <c r="A1" s="884" t="s">
        <v>134</v>
      </c>
      <c r="B1" s="884"/>
      <c r="C1" s="884"/>
      <c r="D1" s="884"/>
      <c r="E1" s="884"/>
      <c r="F1" s="884"/>
    </row>
    <row r="2" spans="1:6">
      <c r="A2" s="214" t="s">
        <v>117</v>
      </c>
      <c r="B2" s="214" t="s">
        <v>135</v>
      </c>
      <c r="C2" s="214" t="s">
        <v>136</v>
      </c>
      <c r="D2" s="214" t="s">
        <v>137</v>
      </c>
      <c r="E2" s="214" t="s">
        <v>138</v>
      </c>
      <c r="F2" s="214" t="s">
        <v>162</v>
      </c>
    </row>
    <row r="3" spans="1:6">
      <c r="A3" s="214"/>
      <c r="B3" s="214"/>
      <c r="C3" s="214"/>
      <c r="D3" s="214"/>
      <c r="E3" s="214"/>
      <c r="F3" s="214"/>
    </row>
    <row r="4" spans="1:6">
      <c r="A4" s="132">
        <v>241864</v>
      </c>
      <c r="B4" s="214">
        <v>1</v>
      </c>
      <c r="C4" s="214" t="s">
        <v>2</v>
      </c>
      <c r="D4" s="214" t="s">
        <v>139</v>
      </c>
      <c r="E4" s="133" t="s">
        <v>140</v>
      </c>
      <c r="F4" s="214" t="s">
        <v>163</v>
      </c>
    </row>
    <row r="5" spans="1:6">
      <c r="A5" s="132">
        <v>241864</v>
      </c>
      <c r="B5" s="214">
        <v>2</v>
      </c>
      <c r="C5" s="214" t="s">
        <v>40</v>
      </c>
      <c r="D5" s="214" t="s">
        <v>141</v>
      </c>
      <c r="E5" s="133" t="s">
        <v>142</v>
      </c>
      <c r="F5" s="214" t="s">
        <v>163</v>
      </c>
    </row>
    <row r="6" spans="1:6">
      <c r="A6" s="132">
        <v>241864</v>
      </c>
      <c r="B6" s="214">
        <v>3</v>
      </c>
      <c r="C6" s="214" t="s">
        <v>40</v>
      </c>
      <c r="D6" s="214" t="s">
        <v>144</v>
      </c>
      <c r="E6" s="133" t="s">
        <v>145</v>
      </c>
      <c r="F6" s="214" t="s">
        <v>163</v>
      </c>
    </row>
    <row r="7" spans="1:6">
      <c r="A7" s="132">
        <v>241864</v>
      </c>
      <c r="B7" s="136">
        <v>4</v>
      </c>
      <c r="C7" s="214" t="s">
        <v>146</v>
      </c>
      <c r="D7" s="2"/>
      <c r="E7" s="2" t="s">
        <v>147</v>
      </c>
      <c r="F7" s="214" t="s">
        <v>163</v>
      </c>
    </row>
    <row r="8" spans="1:6">
      <c r="A8" s="132">
        <v>242229</v>
      </c>
      <c r="B8" s="136">
        <v>5</v>
      </c>
      <c r="C8" s="214" t="s">
        <v>146</v>
      </c>
      <c r="D8" s="2"/>
      <c r="E8" s="133" t="s">
        <v>153</v>
      </c>
      <c r="F8" s="214" t="s">
        <v>163</v>
      </c>
    </row>
    <row r="9" spans="1:6">
      <c r="A9" s="132">
        <v>242229</v>
      </c>
      <c r="B9" s="136">
        <v>6</v>
      </c>
      <c r="C9" s="214" t="s">
        <v>2</v>
      </c>
      <c r="D9" s="2"/>
      <c r="E9" s="133" t="s">
        <v>164</v>
      </c>
      <c r="F9" s="214" t="s">
        <v>163</v>
      </c>
    </row>
    <row r="10" spans="1:6">
      <c r="A10" s="132">
        <v>242355</v>
      </c>
      <c r="B10" s="136">
        <v>7</v>
      </c>
      <c r="C10" s="214" t="s">
        <v>40</v>
      </c>
      <c r="D10" s="2"/>
      <c r="E10" s="133" t="s">
        <v>165</v>
      </c>
      <c r="F10" s="214" t="s">
        <v>163</v>
      </c>
    </row>
    <row r="11" spans="1:6">
      <c r="A11" s="132">
        <v>242433</v>
      </c>
      <c r="B11" s="136">
        <v>8</v>
      </c>
      <c r="C11" s="214" t="s">
        <v>146</v>
      </c>
      <c r="D11" s="2"/>
      <c r="E11" s="133" t="s">
        <v>177</v>
      </c>
      <c r="F11" s="214" t="s">
        <v>163</v>
      </c>
    </row>
    <row r="12" spans="1:6">
      <c r="A12" s="132">
        <v>242433</v>
      </c>
      <c r="B12" s="136">
        <v>9</v>
      </c>
      <c r="C12" s="214" t="s">
        <v>182</v>
      </c>
      <c r="D12" s="2"/>
      <c r="E12" s="133" t="s">
        <v>260</v>
      </c>
      <c r="F12" s="214" t="s">
        <v>163</v>
      </c>
    </row>
    <row r="13" spans="1:6">
      <c r="A13" s="132">
        <v>242783</v>
      </c>
      <c r="B13" s="136">
        <v>10</v>
      </c>
      <c r="C13" s="214" t="s">
        <v>213</v>
      </c>
      <c r="D13" s="2"/>
      <c r="E13" s="133" t="s">
        <v>261</v>
      </c>
      <c r="F13" s="214" t="s">
        <v>163</v>
      </c>
    </row>
    <row r="14" spans="1:6">
      <c r="A14" s="132">
        <v>242783</v>
      </c>
      <c r="B14" s="136">
        <v>11</v>
      </c>
      <c r="C14" s="214" t="s">
        <v>214</v>
      </c>
      <c r="D14" s="2"/>
      <c r="E14" s="133" t="s">
        <v>262</v>
      </c>
      <c r="F14" s="214" t="s">
        <v>163</v>
      </c>
    </row>
    <row r="15" spans="1:6">
      <c r="A15" s="132">
        <v>242783</v>
      </c>
      <c r="B15" s="136">
        <v>12</v>
      </c>
      <c r="C15" s="214" t="s">
        <v>264</v>
      </c>
      <c r="D15" s="2"/>
      <c r="E15" s="133" t="s">
        <v>263</v>
      </c>
      <c r="F15" s="214" t="s">
        <v>163</v>
      </c>
    </row>
    <row r="16" spans="1:6">
      <c r="A16" s="132">
        <v>242879</v>
      </c>
      <c r="B16" s="136">
        <v>13</v>
      </c>
      <c r="C16" s="214" t="s">
        <v>214</v>
      </c>
      <c r="D16" s="2"/>
      <c r="E16" s="133" t="s">
        <v>266</v>
      </c>
      <c r="F16" s="214" t="s">
        <v>163</v>
      </c>
    </row>
    <row r="17" spans="1:6">
      <c r="A17" s="132">
        <v>242879</v>
      </c>
      <c r="B17" s="136">
        <v>14</v>
      </c>
      <c r="C17" s="214" t="s">
        <v>209</v>
      </c>
      <c r="D17" s="2"/>
      <c r="E17" s="133" t="s">
        <v>267</v>
      </c>
      <c r="F17" s="214" t="s">
        <v>163</v>
      </c>
    </row>
    <row r="18" spans="1:6">
      <c r="A18" s="132">
        <v>243016</v>
      </c>
      <c r="B18" s="136">
        <v>15</v>
      </c>
      <c r="C18" s="214" t="s">
        <v>209</v>
      </c>
      <c r="D18" s="2"/>
      <c r="E18" s="133" t="s">
        <v>269</v>
      </c>
      <c r="F18" s="214" t="s">
        <v>163</v>
      </c>
    </row>
    <row r="19" spans="1:6">
      <c r="A19" s="132">
        <v>243016</v>
      </c>
      <c r="B19" s="136">
        <v>16</v>
      </c>
      <c r="C19" s="214" t="s">
        <v>209</v>
      </c>
      <c r="D19" s="2"/>
      <c r="E19" s="133" t="s">
        <v>269</v>
      </c>
      <c r="F19" s="214" t="s">
        <v>163</v>
      </c>
    </row>
    <row r="20" spans="1:6">
      <c r="A20" s="132">
        <v>243016</v>
      </c>
      <c r="B20" s="136">
        <v>17</v>
      </c>
      <c r="C20" s="214" t="s">
        <v>214</v>
      </c>
      <c r="D20" s="2"/>
      <c r="E20" s="133" t="s">
        <v>269</v>
      </c>
      <c r="F20" s="214" t="s">
        <v>163</v>
      </c>
    </row>
    <row r="21" spans="1:6">
      <c r="A21" s="132">
        <v>244347</v>
      </c>
      <c r="B21" s="136">
        <v>18</v>
      </c>
      <c r="C21" s="214" t="s">
        <v>214</v>
      </c>
      <c r="D21" s="2"/>
      <c r="E21" s="133" t="s">
        <v>510</v>
      </c>
      <c r="F21" s="214" t="s">
        <v>163</v>
      </c>
    </row>
    <row r="22" spans="1:6">
      <c r="A22" s="132">
        <v>244347</v>
      </c>
      <c r="B22" s="136">
        <v>19</v>
      </c>
      <c r="C22" s="214" t="s">
        <v>214</v>
      </c>
      <c r="D22" s="2"/>
      <c r="E22" s="133" t="s">
        <v>512</v>
      </c>
      <c r="F22" s="214" t="s">
        <v>511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 V2</vt:lpstr>
      <vt:lpstr>EF TGO AR5</vt:lpstr>
      <vt:lpstr>บันทึกการปรับปรุง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Natanee Vorayos</dc:creator>
  <cp:lastModifiedBy>Thada Varoonchotikul</cp:lastModifiedBy>
  <dcterms:created xsi:type="dcterms:W3CDTF">2016-07-25T18:04:14Z</dcterms:created>
  <dcterms:modified xsi:type="dcterms:W3CDTF">2026-01-06T06:54:02Z</dcterms:modified>
</cp:coreProperties>
</file>